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6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7.xml" ContentType="application/vnd.openxmlformats-officedocument.themeOverrid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anshaoyun/Desktop/大學/財資管/"/>
    </mc:Choice>
  </mc:AlternateContent>
  <xr:revisionPtr revIDLastSave="0" documentId="8_{1D976379-B727-264C-9785-4B571183E728}" xr6:coauthVersionLast="47" xr6:coauthVersionMax="47" xr10:uidLastSave="{00000000-0000-0000-0000-000000000000}"/>
  <bookViews>
    <workbookView xWindow="0" yWindow="500" windowWidth="23040" windowHeight="8880" tabRatio="587" activeTab="4" xr2:uid="{4B5428BB-3493-4DD5-BFB3-9DE5424EADD2}"/>
  </bookViews>
  <sheets>
    <sheet name="Input" sheetId="3" r:id="rId1"/>
    <sheet name="上市櫃產業類股當日指數" sheetId="213" r:id="rId2"/>
    <sheet name="財務比率" sheetId="291" r:id="rId3"/>
    <sheet name="最新季獲利能力比較繪圖" sheetId="327" r:id="rId4"/>
    <sheet name="評價分析" sheetId="370" r:id="rId5"/>
    <sheet name="個股歷史本益比" sheetId="364" r:id="rId6"/>
    <sheet name="股價評價分析(均價法)" sheetId="368" r:id="rId7"/>
    <sheet name="財務比率計算" sheetId="290" r:id="rId8"/>
    <sheet name="EPS資料" sheetId="369" r:id="rId9"/>
    <sheet name="YoY" sheetId="292" r:id="rId10"/>
    <sheet name="產業別" sheetId="207" r:id="rId11"/>
    <sheet name="歷史本益比整合" sheetId="365" r:id="rId12"/>
    <sheet name="上市公司歷史本益比" sheetId="362" r:id="rId13"/>
    <sheet name="上櫃公司歷史本益比" sheetId="363" r:id="rId14"/>
    <sheet name="上市產業類股" sheetId="359" r:id="rId15"/>
    <sheet name="上櫃產業類股" sheetId="360" r:id="rId16"/>
    <sheet name="stock1 BS" sheetId="455" r:id="rId17"/>
    <sheet name="stock1 IS" sheetId="456" r:id="rId18"/>
    <sheet name="stock2 BS" sheetId="457" r:id="rId19"/>
    <sheet name="stock2 IS" sheetId="458" r:id="rId20"/>
    <sheet name="stock3 BS" sheetId="459" r:id="rId21"/>
    <sheet name="stock3 IS" sheetId="460" r:id="rId22"/>
    <sheet name="stock4 BS" sheetId="461" r:id="rId23"/>
    <sheet name="stock4 IS" sheetId="462" r:id="rId24"/>
    <sheet name="stock5 BS" sheetId="463" r:id="rId25"/>
    <sheet name="stock5 IS" sheetId="464" r:id="rId26"/>
    <sheet name="Stock1" sheetId="465" r:id="rId27"/>
    <sheet name="Stock2" sheetId="466" r:id="rId28"/>
    <sheet name="Stock3" sheetId="467" r:id="rId29"/>
    <sheet name="Stock4" sheetId="468" r:id="rId30"/>
    <sheet name="Stock5" sheetId="469" r:id="rId31"/>
  </sheets>
  <functionGroups builtInGroupCount="19"/>
  <definedNames>
    <definedName name="外部資料_1" localSheetId="8">EPS資料!$A$1:$M$40</definedName>
    <definedName name="外部資料_1" localSheetId="26" hidden="1">Stock1!$A$1:$F$23</definedName>
    <definedName name="外部資料_1" localSheetId="27" hidden="1">Stock2!$A$1:$F$23</definedName>
    <definedName name="外部資料_1" localSheetId="28" hidden="1">Stock3!$A$1:$F$23</definedName>
    <definedName name="外部資料_1" localSheetId="29" hidden="1">Stock4!$A$1:$F$23</definedName>
    <definedName name="外部資料_1" localSheetId="30" hidden="1">Stock5!$A$1:$F$23</definedName>
    <definedName name="外部資料_1" localSheetId="12">上市公司歷史本益比!$A$1:$G$970</definedName>
    <definedName name="外部資料_1" localSheetId="13">上櫃公司歷史本益比!$A$1:$G$810</definedName>
    <definedName name="外部資料_10" localSheetId="8">EPS資料!$A$1:$M$29</definedName>
    <definedName name="外部資料_100" localSheetId="8">EPS資料!$A$1:$M$28</definedName>
    <definedName name="外部資料_1000" localSheetId="8">EPS資料!$A$1:$M$40</definedName>
    <definedName name="外部資料_1001" localSheetId="8">EPS資料!$A$1:$M$40</definedName>
    <definedName name="外部資料_1002" localSheetId="8">EPS資料!$A$1:$M$41</definedName>
    <definedName name="外部資料_1003" localSheetId="8">EPS資料!$A$1:$M$40</definedName>
    <definedName name="外部資料_1004" localSheetId="8">EPS資料!$A$1:$M$32</definedName>
    <definedName name="外部資料_1005" localSheetId="8">EPS資料!$A$1:$M$38</definedName>
    <definedName name="外部資料_1006" localSheetId="8">EPS資料!$A$1:$M$40</definedName>
    <definedName name="外部資料_1007" localSheetId="8">EPS資料!$A$1:$M$37</definedName>
    <definedName name="外部資料_1008" localSheetId="8">EPS資料!$A$1:$M$40</definedName>
    <definedName name="外部資料_1009" localSheetId="8">EPS資料!$A$1:$M$39</definedName>
    <definedName name="外部資料_101" localSheetId="8">EPS資料!$A$1:$M$40</definedName>
    <definedName name="外部資料_1010" localSheetId="8">EPS資料!$A$1:$M$40</definedName>
    <definedName name="外部資料_1011" localSheetId="8">EPS資料!$A$1:$M$40</definedName>
    <definedName name="外部資料_1012" localSheetId="8">EPS資料!$A$1:$M$39</definedName>
    <definedName name="外部資料_1013" localSheetId="8">EPS資料!$A$1:$M$38</definedName>
    <definedName name="外部資料_1014" localSheetId="8">EPS資料!$A$1:$M$38</definedName>
    <definedName name="外部資料_1015" localSheetId="8">EPS資料!$A$1:$M$40</definedName>
    <definedName name="外部資料_1016" localSheetId="8">EPS資料!$A$1:$M$38</definedName>
    <definedName name="外部資料_1017" localSheetId="8">EPS資料!$A$1:$M$32</definedName>
    <definedName name="外部資料_1018" localSheetId="8">EPS資料!$A$1:$M$32</definedName>
    <definedName name="外部資料_1019" localSheetId="8">EPS資料!$A$1:$M$31</definedName>
    <definedName name="外部資料_102" localSheetId="8">EPS資料!$A$1:$M$39</definedName>
    <definedName name="外部資料_1020" localSheetId="8">EPS資料!$A$1:$M$34</definedName>
    <definedName name="外部資料_1021" localSheetId="8">EPS資料!$A$1:$M$32</definedName>
    <definedName name="外部資料_1022" localSheetId="8">EPS資料!$A$1:$M$40</definedName>
    <definedName name="外部資料_1023" localSheetId="8">EPS資料!$A$1:$M$40</definedName>
    <definedName name="外部資料_1024" localSheetId="8">EPS資料!$A$1:$M$39</definedName>
    <definedName name="外部資料_1025" localSheetId="8">EPS資料!$A$1:$M$34</definedName>
    <definedName name="外部資料_1026" localSheetId="8">EPS資料!$A$1:$M$40</definedName>
    <definedName name="外部資料_1027" localSheetId="8">EPS資料!$A$1:$M$38</definedName>
    <definedName name="外部資料_1028" localSheetId="8">EPS資料!$A$1:$M$29</definedName>
    <definedName name="外部資料_1029" localSheetId="8">EPS資料!$A$1:$M$49</definedName>
    <definedName name="外部資料_103" localSheetId="8">EPS資料!$A$1:$M$30</definedName>
    <definedName name="外部資料_1030" localSheetId="8">EPS資料!$A$1:$M$42</definedName>
    <definedName name="外部資料_1031" localSheetId="8">EPS資料!$A$1:$M$41</definedName>
    <definedName name="外部資料_1032" localSheetId="8">EPS資料!$A$1:$M$40</definedName>
    <definedName name="外部資料_1033" localSheetId="8">EPS資料!$A$1:$M$38</definedName>
    <definedName name="外部資料_1034" localSheetId="8">EPS資料!$A$1:$M$29</definedName>
    <definedName name="外部資料_1035" localSheetId="8">EPS資料!$A$1:$M$40</definedName>
    <definedName name="外部資料_1036" localSheetId="8">EPS資料!$A$1:$M$35</definedName>
    <definedName name="外部資料_1037" localSheetId="8">EPS資料!$A$1:$M$34</definedName>
    <definedName name="外部資料_1038" localSheetId="8">EPS資料!$A$1:$M$40</definedName>
    <definedName name="外部資料_1039" localSheetId="8">EPS資料!$A$1:$M$32</definedName>
    <definedName name="外部資料_104" localSheetId="8">EPS資料!$A$1:$M$40</definedName>
    <definedName name="外部資料_1040" localSheetId="8">EPS資料!$A$1:$M$40</definedName>
    <definedName name="外部資料_1041" localSheetId="8">EPS資料!$A$1:$M$39</definedName>
    <definedName name="外部資料_1042" localSheetId="8">EPS資料!$A$1:$M$38</definedName>
    <definedName name="外部資料_1043" localSheetId="8">EPS資料!$A$1:$M$40</definedName>
    <definedName name="外部資料_1044" localSheetId="8">EPS資料!$A$1:$M$38</definedName>
    <definedName name="外部資料_1045" localSheetId="8">EPS資料!$A$1:$M$28</definedName>
    <definedName name="外部資料_1046" localSheetId="8">EPS資料!$A$1:$M$33</definedName>
    <definedName name="外部資料_1047" localSheetId="8">EPS資料!$A$1:$M$32</definedName>
    <definedName name="外部資料_1048" localSheetId="8">EPS資料!$A$1:$M$31</definedName>
    <definedName name="外部資料_1049" localSheetId="8">EPS資料!$A$1:$M$40</definedName>
    <definedName name="外部資料_105" localSheetId="8">EPS資料!$A$1:$M$41</definedName>
    <definedName name="外部資料_1050" localSheetId="8">EPS資料!$A$1:$M$41</definedName>
    <definedName name="外部資料_1051" localSheetId="8">EPS資料!$A$1:$M$40</definedName>
    <definedName name="外部資料_1052" localSheetId="8">EPS資料!$A$1:$M$34</definedName>
    <definedName name="外部資料_1053" localSheetId="8">EPS資料!$A$1:$M$40</definedName>
    <definedName name="外部資料_1054" localSheetId="8">EPS資料!$A$1:$M$36</definedName>
    <definedName name="外部資料_1055" localSheetId="8">EPS資料!$A$1:$M$39</definedName>
    <definedName name="外部資料_1056" localSheetId="8">EPS資料!$A$1:$M$43</definedName>
    <definedName name="外部資料_1057" localSheetId="8">EPS資料!$A$1:$M$37</definedName>
    <definedName name="外部資料_1058" localSheetId="8">EPS資料!$A$1:$M$35</definedName>
    <definedName name="外部資料_1059" localSheetId="8">EPS資料!$A$1:$M$39</definedName>
    <definedName name="外部資料_106" localSheetId="8">EPS資料!$A$1:$M$40</definedName>
    <definedName name="外部資料_1060" localSheetId="8">EPS資料!$A$1:$M$40</definedName>
    <definedName name="外部資料_1061" localSheetId="8">EPS資料!$A$1:$M$40</definedName>
    <definedName name="外部資料_1062" localSheetId="8">EPS資料!$A$1:$M$40</definedName>
    <definedName name="外部資料_1063" localSheetId="8">EPS資料!$A$1:$M$34</definedName>
    <definedName name="外部資料_1064" localSheetId="8">EPS資料!$A$1:$M$40</definedName>
    <definedName name="外部資料_1065" localSheetId="8">EPS資料!$A$1:$M$35</definedName>
    <definedName name="外部資料_1066" localSheetId="8">EPS資料!$A$1:$M$40</definedName>
    <definedName name="外部資料_1067" localSheetId="8">EPS資料!$A$1:$M$34</definedName>
    <definedName name="外部資料_1068" localSheetId="8">EPS資料!$A$1:$M$36</definedName>
    <definedName name="外部資料_1069" localSheetId="8">EPS資料!$A$1:$M$37</definedName>
    <definedName name="外部資料_107" localSheetId="8">EPS資料!$A$1:$M$40</definedName>
    <definedName name="外部資料_1070" localSheetId="8">EPS資料!$A$1:$M$40</definedName>
    <definedName name="外部資料_1071" localSheetId="8">EPS資料!$A$1:$M$40</definedName>
    <definedName name="外部資料_1072" localSheetId="8">EPS資料!$A$1:$M$40</definedName>
    <definedName name="外部資料_1073" localSheetId="8">EPS資料!$A$1:$M$40</definedName>
    <definedName name="外部資料_1074" localSheetId="8">EPS資料!$A$1:$M$39</definedName>
    <definedName name="外部資料_1075" localSheetId="8">EPS資料!$A$1:$M$39</definedName>
    <definedName name="外部資料_1076" localSheetId="8">EPS資料!$A$1:$M$37</definedName>
    <definedName name="外部資料_1077" localSheetId="8">EPS資料!$A$1:$M$40</definedName>
    <definedName name="外部資料_1078" localSheetId="8">EPS資料!$A$1:$M$40</definedName>
    <definedName name="外部資料_1079" localSheetId="8">EPS資料!$A$1:$M$38</definedName>
    <definedName name="外部資料_108" localSheetId="8">EPS資料!$A$1:$M$29</definedName>
    <definedName name="外部資料_1080" localSheetId="8">EPS資料!$A$1:$M$30</definedName>
    <definedName name="外部資料_1081" localSheetId="8">EPS資料!$A$1:$M$40</definedName>
    <definedName name="外部資料_1082" localSheetId="8">EPS資料!$A$1:$M$28</definedName>
    <definedName name="外部資料_1083" localSheetId="8">EPS資料!$A$1:$M$36</definedName>
    <definedName name="外部資料_1084" localSheetId="8">EPS資料!$A$1:$M$40</definedName>
    <definedName name="外部資料_1085" localSheetId="8">EPS資料!$A$1:$M$30</definedName>
    <definedName name="外部資料_1086" localSheetId="8">EPS資料!$A$1:$M$38</definedName>
    <definedName name="外部資料_1087" localSheetId="8">EPS資料!$A$1:$M$39</definedName>
    <definedName name="外部資料_1088" localSheetId="8">EPS資料!$A$1:$M$41</definedName>
    <definedName name="外部資料_1089" localSheetId="8">EPS資料!$A$1:$M$43</definedName>
    <definedName name="外部資料_109" localSheetId="8">EPS資料!$A$1:$M$29</definedName>
    <definedName name="外部資料_1090" localSheetId="8">EPS資料!$A$1:$M$37</definedName>
    <definedName name="外部資料_1091" localSheetId="8">EPS資料!$A$1:$M$33</definedName>
    <definedName name="外部資料_1092" localSheetId="8">EPS資料!$A$1:$M$36</definedName>
    <definedName name="外部資料_1093" localSheetId="8">EPS資料!$A$1:$M$38</definedName>
    <definedName name="外部資料_1094" localSheetId="8">EPS資料!$A$1:$M$31</definedName>
    <definedName name="外部資料_1095" localSheetId="8">EPS資料!$A$1:$M$36</definedName>
    <definedName name="外部資料_1096" localSheetId="8">EPS資料!$A$1:$M$40</definedName>
    <definedName name="外部資料_1097" localSheetId="8">EPS資料!$A$1:$M$41</definedName>
    <definedName name="外部資料_1098" localSheetId="8">EPS資料!$A$1:$M$36</definedName>
    <definedName name="外部資料_1099" localSheetId="8">EPS資料!$A$1:$M$38</definedName>
    <definedName name="外部資料_11" localSheetId="8">EPS資料!$A$1:$M$39</definedName>
    <definedName name="外部資料_110" localSheetId="8">EPS資料!$A$1:$M$41</definedName>
    <definedName name="外部資料_1100" localSheetId="8">EPS資料!$A$1:$M$39</definedName>
    <definedName name="外部資料_1101" localSheetId="8">EPS資料!$A$1:$M$39</definedName>
    <definedName name="外部資料_1102" localSheetId="8">EPS資料!$A$1:$M$35</definedName>
    <definedName name="外部資料_1103" localSheetId="8">EPS資料!$A$1:$M$38</definedName>
    <definedName name="外部資料_1104" localSheetId="8">EPS資料!$A$1:$M$37</definedName>
    <definedName name="外部資料_1105" localSheetId="8">EPS資料!$A$1:$M$40</definedName>
    <definedName name="外部資料_1106" localSheetId="8">EPS資料!$A$1:$M$37</definedName>
    <definedName name="外部資料_1107" localSheetId="8">EPS資料!$A$1:$M$40</definedName>
    <definedName name="外部資料_1108" localSheetId="8">EPS資料!$A$1:$M$35</definedName>
    <definedName name="外部資料_1109" localSheetId="8">EPS資料!$A$1:$M$52</definedName>
    <definedName name="外部資料_111" localSheetId="8">EPS資料!$A$1:$M$39</definedName>
    <definedName name="外部資料_1110" localSheetId="8">EPS資料!$A$1:$M$34</definedName>
    <definedName name="外部資料_1111" localSheetId="8">EPS資料!$A$1:$M$44</definedName>
    <definedName name="外部資料_1112" localSheetId="8">EPS資料!$A$1:$M$38</definedName>
    <definedName name="外部資料_1113" localSheetId="8">EPS資料!$A$1:$M$40</definedName>
    <definedName name="外部資料_1114" localSheetId="8">EPS資料!$A$1:$M$43</definedName>
    <definedName name="外部資料_1115" localSheetId="8">EPS資料!$A$1:$M$39</definedName>
    <definedName name="外部資料_1116" localSheetId="8">EPS資料!$A$1:$M$39</definedName>
    <definedName name="外部資料_1117" localSheetId="8">EPS資料!$A$1:$M$37</definedName>
    <definedName name="外部資料_1118" localSheetId="8">EPS資料!$A$1:$M$40</definedName>
    <definedName name="外部資料_1119" localSheetId="8">EPS資料!$A$1:$M$30</definedName>
    <definedName name="外部資料_112" localSheetId="8">EPS資料!$A$1:$M$36</definedName>
    <definedName name="外部資料_1120" localSheetId="8">EPS資料!$A$1:$M$28</definedName>
    <definedName name="外部資料_1121" localSheetId="8">EPS資料!$A$1:$M$46</definedName>
    <definedName name="外部資料_1122" localSheetId="8">EPS資料!$A$1:$M$28</definedName>
    <definedName name="外部資料_1123" localSheetId="8">EPS資料!$A$1:$M$33</definedName>
    <definedName name="外部資料_1124" localSheetId="8">EPS資料!$A$1:$M$40</definedName>
    <definedName name="外部資料_1125" localSheetId="8">EPS資料!$A$1:$M$28</definedName>
    <definedName name="外部資料_1126" localSheetId="8">EPS資料!$A$1:$M$35</definedName>
    <definedName name="外部資料_1127" localSheetId="8">EPS資料!$A$1:$M$29</definedName>
    <definedName name="外部資料_1128" localSheetId="8">EPS資料!$A$1:$M$32</definedName>
    <definedName name="外部資料_1129" localSheetId="8">EPS資料!$A$1:$M$31</definedName>
    <definedName name="外部資料_113" localSheetId="8">EPS資料!$A$1:$M$35</definedName>
    <definedName name="外部資料_1130" localSheetId="8">EPS資料!$A$1:$M$28</definedName>
    <definedName name="外部資料_1131" localSheetId="8">EPS資料!$A$1:$M$30</definedName>
    <definedName name="外部資料_1132" localSheetId="8">EPS資料!$A$1:$M$29</definedName>
    <definedName name="外部資料_1133" localSheetId="8">EPS資料!$A$1:$M$40</definedName>
    <definedName name="外部資料_1134" localSheetId="8">EPS資料!$A$1:$M$28</definedName>
    <definedName name="外部資料_1135" localSheetId="8">EPS資料!$A$1:$M$31</definedName>
    <definedName name="外部資料_1136" localSheetId="8">EPS資料!$A$1:$M$40</definedName>
    <definedName name="外部資料_1137" localSheetId="8">EPS資料!$A$1:$M$29</definedName>
    <definedName name="外部資料_1138" localSheetId="8">EPS資料!$A$1:$M$40</definedName>
    <definedName name="外部資料_1139" localSheetId="8">EPS資料!$A$1:$M$31</definedName>
    <definedName name="外部資料_114" localSheetId="8">EPS資料!$A$1:$M$40</definedName>
    <definedName name="外部資料_1140" localSheetId="8">EPS資料!$A$1:$M$39</definedName>
    <definedName name="外部資料_1141" localSheetId="8">EPS資料!$A$1:$M$28</definedName>
    <definedName name="外部資料_1142" localSheetId="8">EPS資料!$A$1:$M$31</definedName>
    <definedName name="外部資料_1143" localSheetId="8">EPS資料!$A$1:$M$38</definedName>
    <definedName name="外部資料_1144" localSheetId="8">EPS資料!$A$1:$M$41</definedName>
    <definedName name="外部資料_1145" localSheetId="8">EPS資料!$A$1:$M$40</definedName>
    <definedName name="外部資料_1146" localSheetId="8">EPS資料!$A$1:$M$33</definedName>
    <definedName name="外部資料_1147" localSheetId="8">EPS資料!$A$1:$M$40</definedName>
    <definedName name="外部資料_1148" localSheetId="8">EPS資料!$A$1:$M$40</definedName>
    <definedName name="外部資料_1149" localSheetId="8">EPS資料!$A$1:$M$40</definedName>
    <definedName name="外部資料_115" localSheetId="8">EPS資料!$A$1:$M$41</definedName>
    <definedName name="外部資料_1150" localSheetId="8">EPS資料!$A$1:$M$36</definedName>
    <definedName name="外部資料_1151" localSheetId="8">EPS資料!$A$1:$M$30</definedName>
    <definedName name="外部資料_1152" localSheetId="8">EPS資料!$A$1:$M$40</definedName>
    <definedName name="外部資料_1153" localSheetId="8">EPS資料!$A$1:$M$40</definedName>
    <definedName name="外部資料_1154" localSheetId="8">EPS資料!$A$1:$M$41</definedName>
    <definedName name="外部資料_1155" localSheetId="8">EPS資料!$A$1:$M$39</definedName>
    <definedName name="外部資料_1156" localSheetId="8">EPS資料!$A$1:$M$30</definedName>
    <definedName name="外部資料_1157" localSheetId="8">EPS資料!$A$1:$M$39</definedName>
    <definedName name="外部資料_1158" localSheetId="8">EPS資料!$A$1:$M$28</definedName>
    <definedName name="外部資料_1159" localSheetId="8">EPS資料!$A$1:$M$33</definedName>
    <definedName name="外部資料_116" localSheetId="8">EPS資料!$A$1:$M$40</definedName>
    <definedName name="外部資料_1160" localSheetId="8">EPS資料!$A$1:$M$38</definedName>
    <definedName name="外部資料_1161" localSheetId="8">EPS資料!$A$1:$M$38</definedName>
    <definedName name="外部資料_1162" localSheetId="8">EPS資料!$A$1:$M$36</definedName>
    <definedName name="外部資料_1163" localSheetId="8">EPS資料!$A$1:$M$30</definedName>
    <definedName name="外部資料_1164" localSheetId="8">EPS資料!$A$1:$M$42</definedName>
    <definedName name="外部資料_1165" localSheetId="8">EPS資料!$A$1:$M$40</definedName>
    <definedName name="外部資料_1166" localSheetId="8">EPS資料!$A$1:$M$39</definedName>
    <definedName name="外部資料_1167" localSheetId="8">EPS資料!$A$1:$M$29</definedName>
    <definedName name="外部資料_1168" localSheetId="8">EPS資料!$A$1:$M$40</definedName>
    <definedName name="外部資料_1169" localSheetId="8">EPS資料!$A$1:$M$31</definedName>
    <definedName name="外部資料_117" localSheetId="8">EPS資料!$A$1:$M$38</definedName>
    <definedName name="外部資料_1170" localSheetId="8">EPS資料!$A$1:$M$43</definedName>
    <definedName name="外部資料_1171" localSheetId="8">EPS資料!$A$1:$M$29</definedName>
    <definedName name="外部資料_1172" localSheetId="8">EPS資料!$A$1:$M$39</definedName>
    <definedName name="外部資料_1173" localSheetId="8">EPS資料!$A$1:$M$30</definedName>
    <definedName name="外部資料_1174" localSheetId="8">EPS資料!$A$1:$M$40</definedName>
    <definedName name="外部資料_1175" localSheetId="8">EPS資料!$A$1:$M$39</definedName>
    <definedName name="外部資料_1176" localSheetId="8">EPS資料!$A$1:$M$40</definedName>
    <definedName name="外部資料_1177" localSheetId="8">EPS資料!$A$1:$M$31</definedName>
    <definedName name="外部資料_1178" localSheetId="8">EPS資料!$A$1:$M$40</definedName>
    <definedName name="外部資料_1179" localSheetId="8">EPS資料!$A$1:$M$40</definedName>
    <definedName name="外部資料_118" localSheetId="8">EPS資料!$A$1:$M$35</definedName>
    <definedName name="外部資料_1180" localSheetId="8">EPS資料!$A$1:$M$39</definedName>
    <definedName name="外部資料_1181" localSheetId="8">EPS資料!$A$1:$M$37</definedName>
    <definedName name="外部資料_1182" localSheetId="8">EPS資料!$A$1:$M$41</definedName>
    <definedName name="外部資料_1183" localSheetId="8">EPS資料!$A$1:$M$32</definedName>
    <definedName name="外部資料_1184" localSheetId="8">EPS資料!$A$1:$M$41</definedName>
    <definedName name="外部資料_1185" localSheetId="8">EPS資料!$A$1:$M$40</definedName>
    <definedName name="外部資料_1186" localSheetId="8">EPS資料!$A$1:$M$34</definedName>
    <definedName name="外部資料_1187" localSheetId="8">EPS資料!$A$1:$M$44</definedName>
    <definedName name="外部資料_1188" localSheetId="8">EPS資料!$A$1:$M$34</definedName>
    <definedName name="外部資料_1189" localSheetId="8">EPS資料!$A$1:$M$39</definedName>
    <definedName name="外部資料_119" localSheetId="8">EPS資料!$A$1:$M$40</definedName>
    <definedName name="外部資料_1190" localSheetId="8">EPS資料!$A$1:$M$32</definedName>
    <definedName name="外部資料_1191" localSheetId="8">EPS資料!$A$1:$M$39</definedName>
    <definedName name="外部資料_1192" localSheetId="8">EPS資料!$A$1:$M$36</definedName>
    <definedName name="外部資料_1193" localSheetId="8">EPS資料!$A$1:$M$40</definedName>
    <definedName name="外部資料_1194" localSheetId="8">EPS資料!$A$1:$M$41</definedName>
    <definedName name="外部資料_1195" localSheetId="8">EPS資料!$A$1:$M$41</definedName>
    <definedName name="外部資料_1196" localSheetId="8">EPS資料!$A$1:$M$38</definedName>
    <definedName name="外部資料_1197" localSheetId="8">EPS資料!$A$1:$M$40</definedName>
    <definedName name="外部資料_1198" localSheetId="8">EPS資料!$A$1:$M$33</definedName>
    <definedName name="外部資料_1199" localSheetId="8">EPS資料!$A$1:$M$40</definedName>
    <definedName name="外部資料_12" localSheetId="8">EPS資料!$A$1:$M$39</definedName>
    <definedName name="外部資料_120" localSheetId="8">EPS資料!$A$1:$M$38</definedName>
    <definedName name="外部資料_1200" localSheetId="8">EPS資料!$A$1:$M$37</definedName>
    <definedName name="外部資料_1201" localSheetId="8">EPS資料!$A$1:$M$40</definedName>
    <definedName name="外部資料_1202" localSheetId="8">EPS資料!$A$1:$M$36</definedName>
    <definedName name="外部資料_1203" localSheetId="8">EPS資料!$A$1:$M$37</definedName>
    <definedName name="外部資料_1204" localSheetId="8">EPS資料!$A$1:$M$40</definedName>
    <definedName name="外部資料_1205" localSheetId="8">EPS資料!$A$1:$M$28</definedName>
    <definedName name="外部資料_1206" localSheetId="8">EPS資料!$A$1:$M$35</definedName>
    <definedName name="外部資料_1207" localSheetId="8">EPS資料!$A$1:$M$39</definedName>
    <definedName name="外部資料_1208" localSheetId="8">EPS資料!$A$1:$M$41</definedName>
    <definedName name="外部資料_1209" localSheetId="8">EPS資料!$A$1:$M$37</definedName>
    <definedName name="外部資料_121" localSheetId="8">EPS資料!$A$1:$M$40</definedName>
    <definedName name="外部資料_1210" localSheetId="8">EPS資料!$A$1:$M$42</definedName>
    <definedName name="外部資料_1211" localSheetId="8">EPS資料!$A$1:$M$40</definedName>
    <definedName name="外部資料_1212" localSheetId="8">EPS資料!$A$1:$M$40</definedName>
    <definedName name="外部資料_1213" localSheetId="8">EPS資料!$A$1:$M$42</definedName>
    <definedName name="外部資料_1214" localSheetId="8">EPS資料!$A$1:$M$30</definedName>
    <definedName name="外部資料_1215" localSheetId="8">EPS資料!$A$1:$M$40</definedName>
    <definedName name="外部資料_1216" localSheetId="8">EPS資料!$A$1:$M$40</definedName>
    <definedName name="外部資料_1217" localSheetId="8">EPS資料!$A$1:$M$36</definedName>
    <definedName name="外部資料_1218" localSheetId="8">EPS資料!$A$1:$M$31</definedName>
    <definedName name="外部資料_1219" localSheetId="8">EPS資料!$A$1:$M$38</definedName>
    <definedName name="外部資料_122" localSheetId="8">EPS資料!$A$1:$M$40</definedName>
    <definedName name="外部資料_1220" localSheetId="8">EPS資料!$A$1:$M$40</definedName>
    <definedName name="外部資料_1221" localSheetId="8">EPS資料!$A$1:$M$35</definedName>
    <definedName name="外部資料_1222" localSheetId="8">EPS資料!$A$1:$M$34</definedName>
    <definedName name="外部資料_1223" localSheetId="8">EPS資料!$A$1:$M$37</definedName>
    <definedName name="外部資料_1224" localSheetId="8">EPS資料!$A$1:$M$33</definedName>
    <definedName name="外部資料_1225" localSheetId="8">EPS資料!$A$1:$M$41</definedName>
    <definedName name="外部資料_1226" localSheetId="8">EPS資料!$A$1:$M$41</definedName>
    <definedName name="外部資料_1227" localSheetId="8">EPS資料!$A$1:$M$38</definedName>
    <definedName name="外部資料_1228" localSheetId="8">EPS資料!$A$1:$M$29</definedName>
    <definedName name="外部資料_1229" localSheetId="8">EPS資料!$A$1:$M$28</definedName>
    <definedName name="外部資料_123" localSheetId="8">EPS資料!$A$1:$M$32</definedName>
    <definedName name="外部資料_1230" localSheetId="8">EPS資料!$A$1:$M$37</definedName>
    <definedName name="外部資料_1231" localSheetId="8">EPS資料!$A$1:$M$40</definedName>
    <definedName name="外部資料_1232" localSheetId="8">EPS資料!$A$1:$M$35</definedName>
    <definedName name="外部資料_1233" localSheetId="8">EPS資料!$A$1:$M$32</definedName>
    <definedName name="外部資料_1234" localSheetId="8">EPS資料!$A$1:$M$41</definedName>
    <definedName name="外部資料_1235" localSheetId="8">EPS資料!$A$1:$M$28</definedName>
    <definedName name="外部資料_1236" localSheetId="8">EPS資料!$A$1:$M$36</definedName>
    <definedName name="外部資料_1237" localSheetId="8">EPS資料!$A$1:$M$40</definedName>
    <definedName name="外部資料_1238" localSheetId="8">EPS資料!$A$1:$M$35</definedName>
    <definedName name="外部資料_1239" localSheetId="8">EPS資料!$A$1:$M$33</definedName>
    <definedName name="外部資料_124" localSheetId="8">EPS資料!$A$1:$M$40</definedName>
    <definedName name="外部資料_1240" localSheetId="8">EPS資料!$A$1:$M$32</definedName>
    <definedName name="外部資料_1241" localSheetId="8">EPS資料!$A$1:$M$38</definedName>
    <definedName name="外部資料_1242" localSheetId="8">EPS資料!$A$1:$M$41</definedName>
    <definedName name="外部資料_1243" localSheetId="8">EPS資料!$A$1:$M$34</definedName>
    <definedName name="外部資料_1244" localSheetId="8">EPS資料!$A$1:$M$45</definedName>
    <definedName name="外部資料_1245" localSheetId="8">EPS資料!$A$1:$M$28</definedName>
    <definedName name="外部資料_1246" localSheetId="8">EPS資料!$A$1:$M$39</definedName>
    <definedName name="外部資料_1247" localSheetId="8">EPS資料!$A$1:$M$37</definedName>
    <definedName name="外部資料_1248" localSheetId="8">EPS資料!$A$1:$M$31</definedName>
    <definedName name="外部資料_1249" localSheetId="8">EPS資料!$A$1:$M$42</definedName>
    <definedName name="外部資料_125" localSheetId="8">EPS資料!$A$1:$M$40</definedName>
    <definedName name="外部資料_1250" localSheetId="8">EPS資料!$A$1:$M$31</definedName>
    <definedName name="外部資料_1251" localSheetId="8">EPS資料!$A$1:$M$32</definedName>
    <definedName name="外部資料_1252" localSheetId="8">EPS資料!$A$1:$M$36</definedName>
    <definedName name="外部資料_1253" localSheetId="8">EPS資料!$A$1:$M$28</definedName>
    <definedName name="外部資料_1254" localSheetId="8">EPS資料!$A$1:$M$40</definedName>
    <definedName name="外部資料_1255" localSheetId="8">EPS資料!$A$1:$M$40</definedName>
    <definedName name="外部資料_1256" localSheetId="8">EPS資料!$A$1:$M$40</definedName>
    <definedName name="外部資料_1257" localSheetId="8">EPS資料!$A$1:$M$31</definedName>
    <definedName name="外部資料_1258" localSheetId="8">EPS資料!$A$1:$M$39</definedName>
    <definedName name="外部資料_1259" localSheetId="8">EPS資料!$A$1:$M$32</definedName>
    <definedName name="外部資料_126" localSheetId="8">EPS資料!$A$1:$M$40</definedName>
    <definedName name="外部資料_1260" localSheetId="8">EPS資料!$A$1:$M$40</definedName>
    <definedName name="外部資料_1261" localSheetId="8">EPS資料!$A$1:$M$28</definedName>
    <definedName name="外部資料_1262" localSheetId="8">EPS資料!$A$1:$M$40</definedName>
    <definedName name="外部資料_1263" localSheetId="8">EPS資料!$A$1:$M$40</definedName>
    <definedName name="外部資料_1264" localSheetId="8">EPS資料!$A$1:$M$34</definedName>
    <definedName name="外部資料_1265" localSheetId="8">EPS資料!$A$1:$M$33</definedName>
    <definedName name="外部資料_1266" localSheetId="8">EPS資料!$A$1:$M$40</definedName>
    <definedName name="外部資料_1267" localSheetId="8">EPS資料!$A$1:$M$32</definedName>
    <definedName name="外部資料_1268" localSheetId="8">EPS資料!$A$1:$M$40</definedName>
    <definedName name="外部資料_1269" localSheetId="8">EPS資料!$A$1:$M$40</definedName>
    <definedName name="外部資料_127" localSheetId="8">EPS資料!$A$1:$M$38</definedName>
    <definedName name="外部資料_1270" localSheetId="8">EPS資料!$A$1:$M$40</definedName>
    <definedName name="外部資料_1271" localSheetId="8">EPS資料!$A$1:$M$36</definedName>
    <definedName name="外部資料_1272" localSheetId="8">EPS資料!$A$1:$M$38</definedName>
    <definedName name="外部資料_1273" localSheetId="8">EPS資料!$A$1:$M$37</definedName>
    <definedName name="外部資料_1274" localSheetId="8">EPS資料!$A$1:$M$39</definedName>
    <definedName name="外部資料_1275" localSheetId="8">EPS資料!$A$1:$M$36</definedName>
    <definedName name="外部資料_1276" localSheetId="8">EPS資料!$A$1:$M$37</definedName>
    <definedName name="外部資料_1277" localSheetId="8">EPS資料!$A$1:$M$28</definedName>
    <definedName name="外部資料_1278" localSheetId="8">EPS資料!$A$1:$M$40</definedName>
    <definedName name="外部資料_1279" localSheetId="8">EPS資料!$A$1:$M$30</definedName>
    <definedName name="外部資料_128" localSheetId="8">EPS資料!$A$1:$M$40</definedName>
    <definedName name="外部資料_1280" localSheetId="8">EPS資料!$A$1:$M$36</definedName>
    <definedName name="外部資料_1281" localSheetId="8">EPS資料!$A$1:$M$29</definedName>
    <definedName name="外部資料_1282" localSheetId="8">EPS資料!$A$1:$M$36</definedName>
    <definedName name="外部資料_1283" localSheetId="8">EPS資料!$A$1:$M$37</definedName>
    <definedName name="外部資料_1284" localSheetId="8">EPS資料!$A$1:$M$37</definedName>
    <definedName name="外部資料_1285" localSheetId="8">EPS資料!$A$1:$M$38</definedName>
    <definedName name="外部資料_1286" localSheetId="8">EPS資料!$A$1:$M$40</definedName>
    <definedName name="外部資料_1287" localSheetId="8">EPS資料!$A$1:$M$41</definedName>
    <definedName name="外部資料_1288" localSheetId="8">EPS資料!$A$1:$M$41</definedName>
    <definedName name="外部資料_1289" localSheetId="8">EPS資料!$A$1:$M$39</definedName>
    <definedName name="外部資料_129" localSheetId="8">EPS資料!$A$1:$M$40</definedName>
    <definedName name="外部資料_1290" localSheetId="8">EPS資料!$A$1:$M$38</definedName>
    <definedName name="外部資料_1291" localSheetId="8">EPS資料!$A$1:$M$35</definedName>
    <definedName name="外部資料_1292" localSheetId="8">EPS資料!$A$1:$M$40</definedName>
    <definedName name="外部資料_1293" localSheetId="8">EPS資料!$A$1:$M$41</definedName>
    <definedName name="外部資料_1294" localSheetId="8">EPS資料!$A$1:$M$40</definedName>
    <definedName name="外部資料_1295" localSheetId="8">EPS資料!$A$1:$M$40</definedName>
    <definedName name="外部資料_1296" localSheetId="8">EPS資料!$A$1:$M$38</definedName>
    <definedName name="外部資料_1297" localSheetId="8">EPS資料!$A$1:$M$40</definedName>
    <definedName name="外部資料_1298" localSheetId="8">EPS資料!$A$1:$M$40</definedName>
    <definedName name="外部資料_1299" localSheetId="8">EPS資料!$A$1:$M$36</definedName>
    <definedName name="外部資料_13" localSheetId="8">EPS資料!$A$1:$M$31</definedName>
    <definedName name="外部資料_130" localSheetId="8">EPS資料!$A$1:$M$40</definedName>
    <definedName name="外部資料_1300" localSheetId="8">EPS資料!$A$1:$M$35</definedName>
    <definedName name="外部資料_1301" localSheetId="8">EPS資料!$A$1:$M$42</definedName>
    <definedName name="外部資料_1302" localSheetId="8">EPS資料!$A$1:$M$40</definedName>
    <definedName name="外部資料_1303" localSheetId="8">EPS資料!$A$1:$M$40</definedName>
    <definedName name="外部資料_1304" localSheetId="8">EPS資料!$A$1:$M$40</definedName>
    <definedName name="外部資料_1305" localSheetId="8">EPS資料!$A$1:$M$39</definedName>
    <definedName name="外部資料_1306" localSheetId="8">EPS資料!$A$1:$M$29</definedName>
    <definedName name="外部資料_1307" localSheetId="8">EPS資料!$A$1:$M$31</definedName>
    <definedName name="外部資料_1308" localSheetId="8">EPS資料!$A$1:$M$40</definedName>
    <definedName name="外部資料_1309" localSheetId="8">EPS資料!$A$1:$M$40</definedName>
    <definedName name="外部資料_131" localSheetId="8">EPS資料!$A$1:$M$28</definedName>
    <definedName name="外部資料_1310" localSheetId="8">EPS資料!$A$1:$M$40</definedName>
    <definedName name="外部資料_1311" localSheetId="8">EPS資料!$A$1:$M$43</definedName>
    <definedName name="外部資料_1312" localSheetId="8">EPS資料!$A$1:$M$42</definedName>
    <definedName name="外部資料_1313" localSheetId="8">EPS資料!$A$1:$M$41</definedName>
    <definedName name="外部資料_1314" localSheetId="8">EPS資料!$A$1:$M$40</definedName>
    <definedName name="外部資料_1315" localSheetId="8">EPS資料!$A$1:$M$40</definedName>
    <definedName name="外部資料_1316" localSheetId="8">EPS資料!$A$1:$M$35</definedName>
    <definedName name="外部資料_1317" localSheetId="8">EPS資料!$A$1:$M$40</definedName>
    <definedName name="外部資料_1318" localSheetId="8">EPS資料!$A$1:$M$33</definedName>
    <definedName name="外部資料_1319" localSheetId="8">EPS資料!$A$1:$M$41</definedName>
    <definedName name="外部資料_132" localSheetId="8">EPS資料!$A$1:$M$36</definedName>
    <definedName name="外部資料_1320" localSheetId="8">EPS資料!$A$1:$M$40</definedName>
    <definedName name="外部資料_1321" localSheetId="8">EPS資料!$A$1:$M$39</definedName>
    <definedName name="外部資料_1322" localSheetId="8">EPS資料!$A$1:$M$40</definedName>
    <definedName name="外部資料_1323" localSheetId="8">EPS資料!$A$1:$M$40</definedName>
    <definedName name="外部資料_1324" localSheetId="8">EPS資料!$A$1:$M$39</definedName>
    <definedName name="外部資料_1325" localSheetId="8">EPS資料!$A$1:$M$39</definedName>
    <definedName name="外部資料_1326" localSheetId="8">EPS資料!$A$1:$M$39</definedName>
    <definedName name="外部資料_1327" localSheetId="8">EPS資料!$A$1:$M$39</definedName>
    <definedName name="外部資料_1328" localSheetId="8">EPS資料!$A$1:$M$29</definedName>
    <definedName name="外部資料_1329" localSheetId="8">EPS資料!$A$1:$M$40</definedName>
    <definedName name="外部資料_133" localSheetId="8">EPS資料!$A$1:$M$40</definedName>
    <definedName name="外部資料_1330" localSheetId="8">EPS資料!$A$1:$M$41</definedName>
    <definedName name="外部資料_1331" localSheetId="8">EPS資料!$A$1:$M$28</definedName>
    <definedName name="外部資料_1332" localSheetId="8">EPS資料!$A$1:$M$35</definedName>
    <definedName name="外部資料_1333" localSheetId="8">EPS資料!$A$1:$M$40</definedName>
    <definedName name="外部資料_1334" localSheetId="8">EPS資料!$A$1:$M$28</definedName>
    <definedName name="外部資料_1335" localSheetId="8">EPS資料!$A$1:$M$40</definedName>
    <definedName name="外部資料_1336" localSheetId="8">EPS資料!$A$1:$M$40</definedName>
    <definedName name="外部資料_1337" localSheetId="8">EPS資料!$A$1:$M$40</definedName>
    <definedName name="外部資料_1338" localSheetId="8">EPS資料!$A$1:$M$29</definedName>
    <definedName name="外部資料_1339" localSheetId="8">EPS資料!$A$1:$M$40</definedName>
    <definedName name="外部資料_134" localSheetId="8">EPS資料!$A$1:$M$36</definedName>
    <definedName name="外部資料_1340" localSheetId="8">EPS資料!$A$1:$M$36</definedName>
    <definedName name="外部資料_1341" localSheetId="8">EPS資料!$A$1:$M$28</definedName>
    <definedName name="外部資料_1342" localSheetId="8">EPS資料!$A$1:$M$40</definedName>
    <definedName name="外部資料_1343" localSheetId="8">EPS資料!$A$1:$M$40</definedName>
    <definedName name="外部資料_1344" localSheetId="8">EPS資料!$A$1:$M$28</definedName>
    <definedName name="外部資料_1345" localSheetId="8">EPS資料!$A$1:$M$32</definedName>
    <definedName name="外部資料_1346" localSheetId="8">EPS資料!$A$1:$M$37</definedName>
    <definedName name="外部資料_1347" localSheetId="8">EPS資料!$A$1:$M$30</definedName>
    <definedName name="外部資料_1348" localSheetId="8">EPS資料!$A$1:$M$33</definedName>
    <definedName name="外部資料_1349" localSheetId="8">EPS資料!$A$1:$M$40</definedName>
    <definedName name="外部資料_135" localSheetId="8">EPS資料!$A$1:$M$40</definedName>
    <definedName name="外部資料_1350" localSheetId="8">EPS資料!$A$1:$M$31</definedName>
    <definedName name="外部資料_1351" localSheetId="8">EPS資料!$A$1:$M$33</definedName>
    <definedName name="外部資料_1352" localSheetId="8">EPS資料!$A$1:$M$35</definedName>
    <definedName name="外部資料_1353" localSheetId="8">EPS資料!$A$1:$M$40</definedName>
    <definedName name="外部資料_1354" localSheetId="8">EPS資料!$A$1:$M$30</definedName>
    <definedName name="外部資料_1355" localSheetId="8">EPS資料!$A$1:$M$40</definedName>
    <definedName name="外部資料_1356" localSheetId="8">EPS資料!$A$1:$M$40</definedName>
    <definedName name="外部資料_1357" localSheetId="8">EPS資料!$A$1:$M$28</definedName>
    <definedName name="外部資料_1358" localSheetId="8">EPS資料!$A$1:$M$32</definedName>
    <definedName name="外部資料_1359" localSheetId="8">EPS資料!$A$1:$M$40</definedName>
    <definedName name="外部資料_136" localSheetId="8">EPS資料!$A$1:$M$40</definedName>
    <definedName name="外部資料_1360" localSheetId="8">EPS資料!$A$1:$M$40</definedName>
    <definedName name="外部資料_1361" localSheetId="8">EPS資料!$A$1:$M$40</definedName>
    <definedName name="外部資料_1362" localSheetId="8">EPS資料!$A$1:$M$40</definedName>
    <definedName name="外部資料_1363" localSheetId="8">EPS資料!$A$1:$M$40</definedName>
    <definedName name="外部資料_1364" localSheetId="8">EPS資料!$A$1:$M$35</definedName>
    <definedName name="外部資料_1365" localSheetId="8">EPS資料!$A$1:$M$35</definedName>
    <definedName name="外部資料_1366" localSheetId="8">EPS資料!$A$1:$M$44</definedName>
    <definedName name="外部資料_1367" localSheetId="8">EPS資料!$A$1:$M$40</definedName>
    <definedName name="外部資料_1368" localSheetId="8">EPS資料!$A$1:$M$40</definedName>
    <definedName name="外部資料_1369" localSheetId="8">EPS資料!$A$1:$M$40</definedName>
    <definedName name="外部資料_137" localSheetId="8">EPS資料!$A$1:$M$40</definedName>
    <definedName name="外部資料_1370" localSheetId="8">EPS資料!$A$1:$M$40</definedName>
    <definedName name="外部資料_1371" localSheetId="8">EPS資料!$A$1:$M$29</definedName>
    <definedName name="外部資料_1372" localSheetId="8">EPS資料!$A$1:$M$39</definedName>
    <definedName name="外部資料_1373" localSheetId="8">EPS資料!$A$1:$M$40</definedName>
    <definedName name="外部資料_1374" localSheetId="8">EPS資料!$A$1:$M$28</definedName>
    <definedName name="外部資料_1375" localSheetId="8">EPS資料!$A$1:$M$38</definedName>
    <definedName name="外部資料_1376" localSheetId="8">EPS資料!$A$1:$M$40</definedName>
    <definedName name="外部資料_1377" localSheetId="8">EPS資料!$A$1:$M$29</definedName>
    <definedName name="外部資料_1378" localSheetId="8">EPS資料!$A$1:$M$40</definedName>
    <definedName name="外部資料_1379" localSheetId="8">EPS資料!$A$1:$M$37</definedName>
    <definedName name="外部資料_138" localSheetId="8">EPS資料!$A$1:$M$40</definedName>
    <definedName name="外部資料_1380" localSheetId="8">EPS資料!$A$1:$M$32</definedName>
    <definedName name="外部資料_1381" localSheetId="8">EPS資料!$A$1:$M$40</definedName>
    <definedName name="外部資料_1382" localSheetId="8">EPS資料!$A$1:$M$40</definedName>
    <definedName name="外部資料_1383" localSheetId="8">EPS資料!$A$1:$M$41</definedName>
    <definedName name="外部資料_1384" localSheetId="8">EPS資料!$A$1:$M$40</definedName>
    <definedName name="外部資料_1385" localSheetId="8">EPS資料!$A$1:$M$40</definedName>
    <definedName name="外部資料_1386" localSheetId="8">EPS資料!$A$1:$M$38</definedName>
    <definedName name="外部資料_1387" localSheetId="8">EPS資料!$A$1:$M$40</definedName>
    <definedName name="外部資料_1388" localSheetId="8">EPS資料!$A$1:$M$39</definedName>
    <definedName name="外部資料_1389" localSheetId="8">EPS資料!$A$1:$M$38</definedName>
    <definedName name="外部資料_139" localSheetId="8">EPS資料!$A$1:$M$37</definedName>
    <definedName name="外部資料_1390" localSheetId="8">EPS資料!$A$1:$M$34</definedName>
    <definedName name="外部資料_1391" localSheetId="8">EPS資料!$A$1:$M$40</definedName>
    <definedName name="外部資料_1392" localSheetId="8">EPS資料!$A$1:$M$40</definedName>
    <definedName name="外部資料_1393" localSheetId="8">EPS資料!$A$1:$M$31</definedName>
    <definedName name="外部資料_1394" localSheetId="8">EPS資料!$A$1:$M$40</definedName>
    <definedName name="外部資料_1395" localSheetId="8">EPS資料!$A$1:$M$38</definedName>
    <definedName name="外部資料_1396" localSheetId="8">EPS資料!$A$1:$M$38</definedName>
    <definedName name="外部資料_1397" localSheetId="8">EPS資料!$A$1:$M$38</definedName>
    <definedName name="外部資料_1398" localSheetId="8">EPS資料!$A$1:$M$39</definedName>
    <definedName name="外部資料_1399" localSheetId="8">EPS資料!$A$1:$M$32</definedName>
    <definedName name="外部資料_14" localSheetId="8">EPS資料!$A$1:$M$35</definedName>
    <definedName name="外部資料_140" localSheetId="8">EPS資料!$A$1:$M$36</definedName>
    <definedName name="外部資料_1400" localSheetId="8">EPS資料!$A$1:$M$30</definedName>
    <definedName name="外部資料_1401" localSheetId="8">EPS資料!$A$1:$M$39</definedName>
    <definedName name="外部資料_1402" localSheetId="8">EPS資料!$A$1:$M$37</definedName>
    <definedName name="外部資料_1403" localSheetId="8">EPS資料!$A$1:$M$36</definedName>
    <definedName name="外部資料_1404" localSheetId="8">EPS資料!$A$1:$M$39</definedName>
    <definedName name="外部資料_1405" localSheetId="8">EPS資料!$A$1:$M$30</definedName>
    <definedName name="外部資料_1406" localSheetId="8">EPS資料!$A$1:$M$34</definedName>
    <definedName name="外部資料_1407" localSheetId="8">EPS資料!$A$1:$M$41</definedName>
    <definedName name="外部資料_1408" localSheetId="8">EPS資料!$A$1:$M$36</definedName>
    <definedName name="外部資料_1409" localSheetId="8">EPS資料!$A$1:$M$39</definedName>
    <definedName name="外部資料_141" localSheetId="8">EPS資料!$A$1:$M$40</definedName>
    <definedName name="外部資料_1410" localSheetId="8">EPS資料!$A$1:$M$38</definedName>
    <definedName name="外部資料_1411" localSheetId="8">EPS資料!$A$1:$M$38</definedName>
    <definedName name="外部資料_1412" localSheetId="8">EPS資料!$A$1:$M$38</definedName>
    <definedName name="外部資料_1413" localSheetId="8">EPS資料!$A$1:$M$33</definedName>
    <definedName name="外部資料_1414" localSheetId="8">EPS資料!$A$1:$M$36</definedName>
    <definedName name="外部資料_1415" localSheetId="8">EPS資料!$A$1:$M$38</definedName>
    <definedName name="外部資料_1416" localSheetId="8">EPS資料!$A$1:$M$41</definedName>
    <definedName name="外部資料_1417" localSheetId="8">EPS資料!$A$1:$M$34</definedName>
    <definedName name="外部資料_1418" localSheetId="8">EPS資料!$A$1:$M$30</definedName>
    <definedName name="外部資料_1419" localSheetId="8">EPS資料!$A$1:$M$40</definedName>
    <definedName name="外部資料_142" localSheetId="8">EPS資料!$A$1:$M$40</definedName>
    <definedName name="外部資料_1420" localSheetId="8">EPS資料!$A$1:$M$38</definedName>
    <definedName name="外部資料_1421" localSheetId="8">EPS資料!$A$1:$M$33</definedName>
    <definedName name="外部資料_1422" localSheetId="8">EPS資料!$A$1:$M$40</definedName>
    <definedName name="外部資料_1423" localSheetId="8">EPS資料!$A$1:$M$41</definedName>
    <definedName name="外部資料_1424" localSheetId="8">EPS資料!$A$1:$M$40</definedName>
    <definedName name="外部資料_1425" localSheetId="8">EPS資料!$A$1:$M$40</definedName>
    <definedName name="外部資料_1426" localSheetId="8">EPS資料!$A$1:$M$40</definedName>
    <definedName name="外部資料_1427" localSheetId="8">EPS資料!$A$1:$M$40</definedName>
    <definedName name="外部資料_1428" localSheetId="8">EPS資料!$A$1:$M$38</definedName>
    <definedName name="外部資料_1429" localSheetId="8">EPS資料!$A$1:$M$36</definedName>
    <definedName name="外部資料_143" localSheetId="8">EPS資料!$A$1:$M$39</definedName>
    <definedName name="外部資料_1430" localSheetId="8">EPS資料!$A$1:$M$37</definedName>
    <definedName name="外部資料_1431" localSheetId="8">EPS資料!$A$1:$M$40</definedName>
    <definedName name="外部資料_1432" localSheetId="8">EPS資料!$A$1:$M$31</definedName>
    <definedName name="外部資料_1433" localSheetId="8">EPS資料!$A$1:$M$49</definedName>
    <definedName name="外部資料_1434" localSheetId="8">EPS資料!$A$1:$M$36</definedName>
    <definedName name="外部資料_1435" localSheetId="8">EPS資料!$A$1:$M$38</definedName>
    <definedName name="外部資料_1436" localSheetId="8">EPS資料!$A$1:$M$36</definedName>
    <definedName name="外部資料_1437" localSheetId="8">EPS資料!$A$1:$M$40</definedName>
    <definedName name="外部資料_1438" localSheetId="8">EPS資料!$A$1:$M$37</definedName>
    <definedName name="外部資料_1439" localSheetId="8">EPS資料!$A$1:$M$36</definedName>
    <definedName name="外部資料_144" localSheetId="8">EPS資料!$A$1:$M$31</definedName>
    <definedName name="外部資料_1440" localSheetId="8">EPS資料!$A$1:$M$29</definedName>
    <definedName name="外部資料_1441" localSheetId="8">EPS資料!$A$1:$M$39</definedName>
    <definedName name="外部資料_1442" localSheetId="8">EPS資料!$A$1:$M$32</definedName>
    <definedName name="外部資料_1443" localSheetId="8">EPS資料!$A$1:$M$33</definedName>
    <definedName name="外部資料_1444" localSheetId="8">EPS資料!$A$1:$M$35</definedName>
    <definedName name="外部資料_1445" localSheetId="8">EPS資料!$A$1:$M$32</definedName>
    <definedName name="外部資料_1446" localSheetId="8">EPS資料!$A$1:$M$43</definedName>
    <definedName name="外部資料_1447" localSheetId="8">EPS資料!$A$1:$M$31</definedName>
    <definedName name="外部資料_1448" localSheetId="8">EPS資料!$A$1:$M$36</definedName>
    <definedName name="外部資料_1449" localSheetId="8">EPS資料!$A$1:$M$38</definedName>
    <definedName name="外部資料_145" localSheetId="8">EPS資料!$A$1:$M$39</definedName>
    <definedName name="外部資料_1450" localSheetId="8">EPS資料!$A$1:$M$34</definedName>
    <definedName name="外部資料_1451" localSheetId="8">EPS資料!$A$1:$M$38</definedName>
    <definedName name="外部資料_1452" localSheetId="8">EPS資料!$A$1:$M$36</definedName>
    <definedName name="外部資料_1453" localSheetId="8">EPS資料!$A$1:$M$37</definedName>
    <definedName name="外部資料_1454" localSheetId="8">EPS資料!$A$1:$M$40</definedName>
    <definedName name="外部資料_1455" localSheetId="8">EPS資料!$A$1:$M$39</definedName>
    <definedName name="外部資料_1456" localSheetId="8">EPS資料!$A$1:$M$31</definedName>
    <definedName name="外部資料_1457" localSheetId="8">EPS資料!$A$1:$M$38</definedName>
    <definedName name="外部資料_1458" localSheetId="8">EPS資料!$A$1:$M$32</definedName>
    <definedName name="外部資料_1459" localSheetId="8">EPS資料!$A$1:$M$39</definedName>
    <definedName name="外部資料_146" localSheetId="8">EPS資料!$A$1:$M$41</definedName>
    <definedName name="外部資料_1460" localSheetId="8">EPS資料!$A$1:$M$40</definedName>
    <definedName name="外部資料_1461" localSheetId="8">EPS資料!$A$1:$M$39</definedName>
    <definedName name="外部資料_1462" localSheetId="8">EPS資料!$A$1:$M$38</definedName>
    <definedName name="外部資料_1463" localSheetId="8">EPS資料!$A$1:$M$37</definedName>
    <definedName name="外部資料_1464" localSheetId="8">EPS資料!$A$1:$M$36</definedName>
    <definedName name="外部資料_1465" localSheetId="8">EPS資料!$A$1:$M$37</definedName>
    <definedName name="外部資料_1466" localSheetId="8">EPS資料!$A$1:$M$31</definedName>
    <definedName name="外部資料_1467" localSheetId="8">EPS資料!$A$1:$M$39</definedName>
    <definedName name="外部資料_1468" localSheetId="8">EPS資料!$A$1:$M$38</definedName>
    <definedName name="外部資料_1469" localSheetId="8">EPS資料!$A$1:$M$41</definedName>
    <definedName name="外部資料_147" localSheetId="8">EPS資料!$A$1:$M$38</definedName>
    <definedName name="外部資料_1470" localSheetId="8">EPS資料!$A$1:$M$36</definedName>
    <definedName name="外部資料_1471" localSheetId="8">EPS資料!$A$1:$M$33</definedName>
    <definedName name="外部資料_1472" localSheetId="8">EPS資料!$A$1:$M$39</definedName>
    <definedName name="外部資料_1473" localSheetId="8">EPS資料!$A$1:$M$31</definedName>
    <definedName name="外部資料_1474" localSheetId="8">EPS資料!$A$1:$M$40</definedName>
    <definedName name="外部資料_1475" localSheetId="8">EPS資料!$A$1:$M$41</definedName>
    <definedName name="外部資料_1476" localSheetId="8">EPS資料!$A$1:$M$40</definedName>
    <definedName name="外部資料_1477" localSheetId="8">EPS資料!$A$1:$M$34</definedName>
    <definedName name="外部資料_1478" localSheetId="8">EPS資料!$A$1:$M$38</definedName>
    <definedName name="外部資料_1479" localSheetId="8">EPS資料!$A$1:$M$37</definedName>
    <definedName name="外部資料_148" localSheetId="8">EPS資料!$A$1:$M$40</definedName>
    <definedName name="外部資料_1480" localSheetId="8">EPS資料!$A$1:$M$35</definedName>
    <definedName name="外部資料_1481" localSheetId="8">EPS資料!$A$1:$M$34</definedName>
    <definedName name="外部資料_1482" localSheetId="8">EPS資料!$A$1:$M$35</definedName>
    <definedName name="外部資料_1483" localSheetId="8">EPS資料!$A$1:$M$35</definedName>
    <definedName name="外部資料_1484" localSheetId="8">EPS資料!$A$1:$M$34</definedName>
    <definedName name="外部資料_1485" localSheetId="8">EPS資料!$A$1:$M$33</definedName>
    <definedName name="外部資料_1486" localSheetId="8">EPS資料!$A$1:$M$40</definedName>
    <definedName name="外部資料_1487" localSheetId="8">EPS資料!$A$1:$M$34</definedName>
    <definedName name="外部資料_1488" localSheetId="8">EPS資料!$A$1:$M$30</definedName>
    <definedName name="外部資料_1489" localSheetId="8">EPS資料!$A$1:$M$39</definedName>
    <definedName name="外部資料_149" localSheetId="8">EPS資料!$A$1:$M$38</definedName>
    <definedName name="外部資料_1490" localSheetId="8">EPS資料!$A$1:$M$37</definedName>
    <definedName name="外部資料_1491" localSheetId="8">EPS資料!$A$1:$M$40</definedName>
    <definedName name="外部資料_1492" localSheetId="8">EPS資料!$A$1:$M$35</definedName>
    <definedName name="外部資料_1493" localSheetId="8">EPS資料!$A$1:$M$37</definedName>
    <definedName name="外部資料_1494" localSheetId="8">EPS資料!$A$1:$M$38</definedName>
    <definedName name="外部資料_1495" localSheetId="8">EPS資料!$A$1:$M$34</definedName>
    <definedName name="外部資料_1496" localSheetId="8">EPS資料!$A$1:$M$40</definedName>
    <definedName name="外部資料_1497" localSheetId="8">EPS資料!$A$1:$M$35</definedName>
    <definedName name="外部資料_1498" localSheetId="8">EPS資料!$A$1:$M$39</definedName>
    <definedName name="外部資料_1499" localSheetId="8">EPS資料!$A$1:$M$36</definedName>
    <definedName name="外部資料_15" localSheetId="8">EPS資料!$A$1:$M$40</definedName>
    <definedName name="外部資料_150" localSheetId="8">EPS資料!$A$1:$M$40</definedName>
    <definedName name="外部資料_1500" localSheetId="8">EPS資料!$A$1:$M$36</definedName>
    <definedName name="外部資料_1501" localSheetId="8">EPS資料!$A$1:$M$35</definedName>
    <definedName name="外部資料_1502" localSheetId="8">EPS資料!$A$1:$M$41</definedName>
    <definedName name="外部資料_1503" localSheetId="8">EPS資料!$A$1:$M$34</definedName>
    <definedName name="外部資料_1504" localSheetId="8">EPS資料!$A$1:$M$36</definedName>
    <definedName name="外部資料_1505" localSheetId="8">EPS資料!$A$1:$M$40</definedName>
    <definedName name="外部資料_1506" localSheetId="8">EPS資料!$A$1:$M$32</definedName>
    <definedName name="外部資料_1507" localSheetId="8">EPS資料!$A$1:$M$34</definedName>
    <definedName name="外部資料_1508" localSheetId="8">EPS資料!$A$1:$M$35</definedName>
    <definedName name="外部資料_1509" localSheetId="8">EPS資料!$A$1:$M$35</definedName>
    <definedName name="外部資料_151" localSheetId="8">EPS資料!$A$1:$M$40</definedName>
    <definedName name="外部資料_1510" localSheetId="8">EPS資料!$A$1:$M$29</definedName>
    <definedName name="外部資料_1511" localSheetId="8">EPS資料!$A$1:$M$28</definedName>
    <definedName name="外部資料_1512" localSheetId="8">EPS資料!$A$1:$M$34</definedName>
    <definedName name="外部資料_1513" localSheetId="8">EPS資料!$A$1:$M$32</definedName>
    <definedName name="外部資料_1514" localSheetId="8">EPS資料!$A$1:$M$36</definedName>
    <definedName name="外部資料_1515" localSheetId="8">EPS資料!$A$1:$M$38</definedName>
    <definedName name="外部資料_1516" localSheetId="8">EPS資料!$A$1:$M$36</definedName>
    <definedName name="外部資料_1517" localSheetId="8">EPS資料!$A$1:$M$30</definedName>
    <definedName name="外部資料_1518" localSheetId="8">EPS資料!$A$1:$M$34</definedName>
    <definedName name="外部資料_1519" localSheetId="8">EPS資料!$A$1:$M$37</definedName>
    <definedName name="外部資料_152" localSheetId="8">EPS資料!$A$1:$M$40</definedName>
    <definedName name="外部資料_1520" localSheetId="8">EPS資料!$A$1:$M$33</definedName>
    <definedName name="外部資料_1521" localSheetId="8">EPS資料!$A$1:$M$37</definedName>
    <definedName name="外部資料_1522" localSheetId="8">EPS資料!$A$1:$M$36</definedName>
    <definedName name="外部資料_1523" localSheetId="8">EPS資料!$A$1:$M$34</definedName>
    <definedName name="外部資料_1524" localSheetId="8">EPS資料!$A$1:$M$37</definedName>
    <definedName name="外部資料_1525" localSheetId="8">EPS資料!$A$1:$M$30</definedName>
    <definedName name="外部資料_1526" localSheetId="8">EPS資料!$A$1:$M$34</definedName>
    <definedName name="外部資料_1527" localSheetId="8">EPS資料!$A$1:$M$30</definedName>
    <definedName name="外部資料_1528" localSheetId="8">EPS資料!$A$1:$M$36</definedName>
    <definedName name="外部資料_1529" localSheetId="8">EPS資料!$A$1:$M$34</definedName>
    <definedName name="外部資料_153" localSheetId="8">EPS資料!$A$1:$M$39</definedName>
    <definedName name="外部資料_1530" localSheetId="8">EPS資料!$A$1:$M$33</definedName>
    <definedName name="外部資料_1531" localSheetId="8">EPS資料!$A$1:$M$34</definedName>
    <definedName name="外部資料_1532" localSheetId="8">EPS資料!$A$1:$M$33</definedName>
    <definedName name="外部資料_1533" localSheetId="8">EPS資料!$A$1:$M$32</definedName>
    <definedName name="外部資料_1534" localSheetId="8">EPS資料!$A$1:$M$35</definedName>
    <definedName name="外部資料_1535" localSheetId="8">EPS資料!$A$1:$M$34</definedName>
    <definedName name="外部資料_1536" localSheetId="8">EPS資料!$A$1:$M$37</definedName>
    <definedName name="外部資料_1537" localSheetId="8">EPS資料!$A$1:$M$28</definedName>
    <definedName name="外部資料_1538" localSheetId="8">EPS資料!$A$1:$M$32</definedName>
    <definedName name="外部資料_1539" localSheetId="8">EPS資料!$A$1:$M$35</definedName>
    <definedName name="外部資料_154" localSheetId="8">EPS資料!$A$1:$M$40</definedName>
    <definedName name="外部資料_1540" localSheetId="8">EPS資料!$A$1:$M$35</definedName>
    <definedName name="外部資料_1541" localSheetId="8">EPS資料!$A$1:$M$31</definedName>
    <definedName name="外部資料_1542" localSheetId="8">EPS資料!$A$1:$M$33</definedName>
    <definedName name="外部資料_1543" localSheetId="8">EPS資料!$A$1:$M$37</definedName>
    <definedName name="外部資料_1544" localSheetId="8">EPS資料!$A$1:$M$34</definedName>
    <definedName name="外部資料_1545" localSheetId="8">EPS資料!$A$1:$M$36</definedName>
    <definedName name="外部資料_1546" localSheetId="8">EPS資料!$A$1:$M$38</definedName>
    <definedName name="外部資料_1547" localSheetId="8">EPS資料!$A$1:$M$35</definedName>
    <definedName name="外部資料_1548" localSheetId="8">EPS資料!$A$1:$M$37</definedName>
    <definedName name="外部資料_1549" localSheetId="8">EPS資料!$A$1:$M$32</definedName>
    <definedName name="外部資料_155" localSheetId="8">EPS資料!$A$1:$M$36</definedName>
    <definedName name="外部資料_1550" localSheetId="8">EPS資料!$A$1:$M$40</definedName>
    <definedName name="外部資料_1551" localSheetId="8">EPS資料!$A$1:$M$36</definedName>
    <definedName name="外部資料_1552" localSheetId="8">EPS資料!$A$1:$M$33</definedName>
    <definedName name="外部資料_1553" localSheetId="8">EPS資料!$A$1:$M$29</definedName>
    <definedName name="外部資料_1554" localSheetId="8">EPS資料!$A$1:$M$34</definedName>
    <definedName name="外部資料_1555" localSheetId="8">EPS資料!$A$1:$M$34</definedName>
    <definedName name="外部資料_1556" localSheetId="8">EPS資料!$A$1:$M$29</definedName>
    <definedName name="外部資料_1557" localSheetId="8">EPS資料!$A$1:$M$32</definedName>
    <definedName name="外部資料_1558" localSheetId="8">EPS資料!$A$1:$M$29</definedName>
    <definedName name="外部資料_1559" localSheetId="8">EPS資料!$A$1:$M$33</definedName>
    <definedName name="外部資料_156" localSheetId="8">EPS資料!$A$1:$M$41</definedName>
    <definedName name="外部資料_1560" localSheetId="8">EPS資料!$A$1:$M$30</definedName>
    <definedName name="外部資料_1561" localSheetId="8">EPS資料!$A$1:$M$28</definedName>
    <definedName name="外部資料_1562" localSheetId="8">EPS資料!$A$1:$M$29</definedName>
    <definedName name="外部資料_1563" localSheetId="8">EPS資料!$A$1:$M$32</definedName>
    <definedName name="外部資料_1564" localSheetId="8">EPS資料!$A$1:$M$31</definedName>
    <definedName name="外部資料_1565" localSheetId="8">EPS資料!$A$1:$M$38</definedName>
    <definedName name="外部資料_1566" localSheetId="8">EPS資料!$A$1:$M$35</definedName>
    <definedName name="外部資料_1567" localSheetId="8">EPS資料!$A$1:$M$35</definedName>
    <definedName name="外部資料_1568" localSheetId="8">EPS資料!$A$1:$M$40</definedName>
    <definedName name="外部資料_1569" localSheetId="8">EPS資料!$A$1:$M$40</definedName>
    <definedName name="外部資料_157" localSheetId="8">EPS資料!$A$1:$M$36</definedName>
    <definedName name="外部資料_1570" localSheetId="8">EPS資料!$A$1:$M$38</definedName>
    <definedName name="外部資料_1571" localSheetId="8">EPS資料!$A$1:$M$38</definedName>
    <definedName name="外部資料_1572" localSheetId="8">EPS資料!$A$1:$M$38</definedName>
    <definedName name="外部資料_1573" localSheetId="8">EPS資料!$A$1:$M$40</definedName>
    <definedName name="外部資料_1574" localSheetId="8">EPS資料!$A$1:$M$30</definedName>
    <definedName name="外部資料_1575" localSheetId="8">EPS資料!$A$1:$M$31</definedName>
    <definedName name="外部資料_1576" localSheetId="8">EPS資料!$A$1:$M$29</definedName>
    <definedName name="外部資料_1577" localSheetId="8">EPS資料!$A$1:$M$40</definedName>
    <definedName name="外部資料_1578" localSheetId="8">EPS資料!$A$1:$M$31</definedName>
    <definedName name="外部資料_1579" localSheetId="8">EPS資料!$A$1:$M$40</definedName>
    <definedName name="外部資料_158" localSheetId="8">EPS資料!$A$1:$M$35</definedName>
    <definedName name="外部資料_1580" localSheetId="8">EPS資料!$A$1:$M$40</definedName>
    <definedName name="外部資料_1581" localSheetId="8">EPS資料!$A$1:$M$38</definedName>
    <definedName name="外部資料_1582" localSheetId="8">EPS資料!$A$1:$M$38</definedName>
    <definedName name="外部資料_1583" localSheetId="8">EPS資料!$A$1:$M$37</definedName>
    <definedName name="外部資料_1584" localSheetId="8">EPS資料!$A$1:$M$40</definedName>
    <definedName name="外部資料_1585" localSheetId="8">EPS資料!$A$1:$M$38</definedName>
    <definedName name="外部資料_1586" localSheetId="8">EPS資料!$A$1:$M$40</definedName>
    <definedName name="外部資料_1587" localSheetId="8">EPS資料!$A$1:$M$40</definedName>
    <definedName name="外部資料_1588" localSheetId="8">EPS資料!$A$1:$M$31</definedName>
    <definedName name="外部資料_1589" localSheetId="8">EPS資料!$A$1:$M$37</definedName>
    <definedName name="外部資料_159" localSheetId="8">EPS資料!$A$1:$M$36</definedName>
    <definedName name="外部資料_1590" localSheetId="8">EPS資料!$A$1:$M$37</definedName>
    <definedName name="外部資料_1591" localSheetId="8">EPS資料!$A$1:$M$28</definedName>
    <definedName name="外部資料_1592" localSheetId="8">EPS資料!$A$1:$M$29</definedName>
    <definedName name="外部資料_1593" localSheetId="8">EPS資料!$A$1:$M$37</definedName>
    <definedName name="外部資料_1594" localSheetId="8">EPS資料!$A$1:$M$44</definedName>
    <definedName name="外部資料_1595" localSheetId="8">EPS資料!$A$1:$M$40</definedName>
    <definedName name="外部資料_1596" localSheetId="8">EPS資料!$A$1:$M$40</definedName>
    <definedName name="外部資料_1597" localSheetId="8">EPS資料!$A$1:$M$40</definedName>
    <definedName name="外部資料_1598" localSheetId="8">EPS資料!$A$1:$M$39</definedName>
    <definedName name="外部資料_1599" localSheetId="8">EPS資料!$A$1:$M$28</definedName>
    <definedName name="外部資料_16" localSheetId="8">EPS資料!$A$1:$M$39</definedName>
    <definedName name="外部資料_160" localSheetId="8">EPS資料!$A$1:$M$37</definedName>
    <definedName name="外部資料_1600" localSheetId="8">EPS資料!$A$1:$M$29</definedName>
    <definedName name="外部資料_1601" localSheetId="8">EPS資料!$A$1:$M$39</definedName>
    <definedName name="外部資料_1602" localSheetId="8">EPS資料!$A$1:$M$40</definedName>
    <definedName name="外部資料_1603" localSheetId="8">EPS資料!$A$1:$M$29</definedName>
    <definedName name="外部資料_1604" localSheetId="8">EPS資料!$A$1:$M$30</definedName>
    <definedName name="外部資料_1605" localSheetId="8">EPS資料!$A$1:$M$38</definedName>
    <definedName name="外部資料_1606" localSheetId="8">EPS資料!$A$1:$M$30</definedName>
    <definedName name="外部資料_1607" localSheetId="8">EPS資料!$A$1:$M$40</definedName>
    <definedName name="外部資料_1608" localSheetId="8">EPS資料!$A$1:$M$35</definedName>
    <definedName name="外部資料_1609" localSheetId="8">EPS資料!$A$1:$M$40</definedName>
    <definedName name="外部資料_161" localSheetId="8">EPS資料!$A$1:$M$41</definedName>
    <definedName name="外部資料_1610" localSheetId="8">EPS資料!$A$1:$M$29</definedName>
    <definedName name="外部資料_1611" localSheetId="8">EPS資料!$A$1:$M$28</definedName>
    <definedName name="外部資料_1612" localSheetId="8">EPS資料!$A$1:$M$36</definedName>
    <definedName name="外部資料_1613" localSheetId="8">EPS資料!$A$1:$M$31</definedName>
    <definedName name="外部資料_1614" localSheetId="8">EPS資料!$A$1:$M$40</definedName>
    <definedName name="外部資料_1615" localSheetId="8">EPS資料!$A$1:$M$29</definedName>
    <definedName name="外部資料_1616" localSheetId="8">EPS資料!$A$1:$M$40</definedName>
    <definedName name="外部資料_1617" localSheetId="8">EPS資料!$A$1:$M$39</definedName>
    <definedName name="外部資料_1618" localSheetId="8">EPS資料!$A$1:$M$33</definedName>
    <definedName name="外部資料_1619" localSheetId="8">EPS資料!$A$1:$M$35</definedName>
    <definedName name="外部資料_162" localSheetId="8">EPS資料!$A$1:$M$39</definedName>
    <definedName name="外部資料_1620" localSheetId="8">EPS資料!$A$1:$M$41</definedName>
    <definedName name="外部資料_1621" localSheetId="8">EPS資料!$A$1:$M$39</definedName>
    <definedName name="外部資料_1622" localSheetId="8">EPS資料!$A$1:$M$33</definedName>
    <definedName name="外部資料_1623" localSheetId="8">EPS資料!$A$1:$M$41</definedName>
    <definedName name="外部資料_1624" localSheetId="8">EPS資料!$A$1:$M$40</definedName>
    <definedName name="外部資料_1625" localSheetId="8">EPS資料!$A$1:$M$30</definedName>
    <definedName name="外部資料_1626" localSheetId="8">EPS資料!$A$1:$M$40</definedName>
    <definedName name="外部資料_1627" localSheetId="8">EPS資料!$A$1:$M$39</definedName>
    <definedName name="外部資料_1628" localSheetId="8">EPS資料!$A$1:$M$39</definedName>
    <definedName name="外部資料_1629" localSheetId="8">EPS資料!$A$1:$M$40</definedName>
    <definedName name="外部資料_163" localSheetId="8">EPS資料!$A$1:$M$39</definedName>
    <definedName name="外部資料_1630" localSheetId="8">EPS資料!$A$1:$M$40</definedName>
    <definedName name="外部資料_1631" localSheetId="8">EPS資料!$A$1:$M$33</definedName>
    <definedName name="外部資料_1632" localSheetId="8">EPS資料!$A$1:$M$34</definedName>
    <definedName name="外部資料_1633" localSheetId="8">EPS資料!$A$1:$M$40</definedName>
    <definedName name="外部資料_1634" localSheetId="8">EPS資料!$A$1:$M$36</definedName>
    <definedName name="外部資料_1635" localSheetId="8">EPS資料!$A$1:$M$29</definedName>
    <definedName name="外部資料_1636" localSheetId="8">EPS資料!$A$1:$M$40</definedName>
    <definedName name="外部資料_1637" localSheetId="8">EPS資料!$A$1:$M$40</definedName>
    <definedName name="外部資料_1638" localSheetId="8">EPS資料!$A$1:$M$37</definedName>
    <definedName name="外部資料_1639" localSheetId="8">EPS資料!$A$1:$M$37</definedName>
    <definedName name="外部資料_164" localSheetId="8">EPS資料!$A$1:$M$28</definedName>
    <definedName name="外部資料_1640" localSheetId="8">EPS資料!$A$1:$M$29</definedName>
    <definedName name="外部資料_1641" localSheetId="8">EPS資料!$A$1:$M$40</definedName>
    <definedName name="外部資料_1642" localSheetId="8">EPS資料!$A$1:$M$38</definedName>
    <definedName name="外部資料_1643" localSheetId="8">EPS資料!$A$1:$M$40</definedName>
    <definedName name="外部資料_1644" localSheetId="8">EPS資料!$A$1:$M$41</definedName>
    <definedName name="外部資料_1645" localSheetId="8">EPS資料!$A$1:$M$38</definedName>
    <definedName name="外部資料_1646" localSheetId="8">EPS資料!$A$1:$M$40</definedName>
    <definedName name="外部資料_1647" localSheetId="8">EPS資料!$A$1:$M$29</definedName>
    <definedName name="外部資料_1648" localSheetId="8">EPS資料!$A$1:$M$36</definedName>
    <definedName name="外部資料_1649" localSheetId="8">EPS資料!$A$1:$M$39</definedName>
    <definedName name="外部資料_165" localSheetId="8">EPS資料!$A$1:$M$38</definedName>
    <definedName name="外部資料_1650" localSheetId="8">EPS資料!$A$1:$M$38</definedName>
    <definedName name="外部資料_1651" localSheetId="8">EPS資料!$A$1:$M$28</definedName>
    <definedName name="外部資料_1652" localSheetId="8">EPS資料!$A$1:$M$42</definedName>
    <definedName name="外部資料_1653" localSheetId="8">EPS資料!$A$1:$M$40</definedName>
    <definedName name="外部資料_1654" localSheetId="8">EPS資料!$A$1:$M$39</definedName>
    <definedName name="外部資料_1655" localSheetId="8">EPS資料!$A$1:$M$41</definedName>
    <definedName name="外部資料_1656" localSheetId="8">EPS資料!$A$1:$M$40</definedName>
    <definedName name="外部資料_1657" localSheetId="8">EPS資料!$A$1:$M$35</definedName>
    <definedName name="外部資料_1658" localSheetId="8">EPS資料!$A$1:$M$41</definedName>
    <definedName name="外部資料_1659" localSheetId="8">EPS資料!$A$1:$M$41</definedName>
    <definedName name="外部資料_166" localSheetId="8">EPS資料!$A$1:$M$39</definedName>
    <definedName name="外部資料_1660" localSheetId="8">EPS資料!$A$1:$M$40</definedName>
    <definedName name="外部資料_1661" localSheetId="8">EPS資料!$A$1:$M$40</definedName>
    <definedName name="外部資料_1662" localSheetId="8">EPS資料!$A$1:$M$39</definedName>
    <definedName name="外部資料_1663" localSheetId="8">EPS資料!$A$1:$M$39</definedName>
    <definedName name="外部資料_1664" localSheetId="8">EPS資料!$A$1:$M$41</definedName>
    <definedName name="外部資料_1665" localSheetId="8">EPS資料!$A$1:$M$30</definedName>
    <definedName name="外部資料_1666" localSheetId="8">EPS資料!$A$1:$M$40</definedName>
    <definedName name="外部資料_1667" localSheetId="8">EPS資料!$A$1:$M$38</definedName>
    <definedName name="外部資料_1668" localSheetId="8">EPS資料!$A$1:$M$39</definedName>
    <definedName name="外部資料_1669" localSheetId="8">EPS資料!$A$1:$M$40</definedName>
    <definedName name="外部資料_167" localSheetId="8">EPS資料!$A$1:$M$34</definedName>
    <definedName name="外部資料_1670" localSheetId="8">EPS資料!$A$1:$M$32</definedName>
    <definedName name="外部資料_1671" localSheetId="8">EPS資料!$A$1:$M$38</definedName>
    <definedName name="外部資料_1672" localSheetId="8">EPS資料!$A$1:$M$35</definedName>
    <definedName name="外部資料_1673" localSheetId="8">EPS資料!$A$1:$M$40</definedName>
    <definedName name="外部資料_1674" localSheetId="8">EPS資料!$A$1:$M$40</definedName>
    <definedName name="外部資料_1675" localSheetId="8">EPS資料!$A$1:$M$41</definedName>
    <definedName name="外部資料_1676" localSheetId="8">EPS資料!$A$1:$M$35</definedName>
    <definedName name="外部資料_1677" localSheetId="8">EPS資料!$A$1:$M$36</definedName>
    <definedName name="外部資料_1678" localSheetId="8">EPS資料!$A$1:$M$36</definedName>
    <definedName name="外部資料_1679" localSheetId="8">EPS資料!$A$1:$M$40</definedName>
    <definedName name="外部資料_168" localSheetId="8">EPS資料!$A$1:$M$40</definedName>
    <definedName name="外部資料_1680" localSheetId="8">EPS資料!$A$1:$M$40</definedName>
    <definedName name="外部資料_1681" localSheetId="8">EPS資料!$A$1:$M$40</definedName>
    <definedName name="外部資料_1682" localSheetId="8">EPS資料!$A$1:$M$40</definedName>
    <definedName name="外部資料_1683" localSheetId="8">EPS資料!$A$1:$M$37</definedName>
    <definedName name="外部資料_1684" localSheetId="8">EPS資料!$A$1:$M$37</definedName>
    <definedName name="外部資料_1685" localSheetId="8">EPS資料!$A$1:$M$40</definedName>
    <definedName name="外部資料_1686" localSheetId="8">EPS資料!$A$1:$M$35</definedName>
    <definedName name="外部資料_1687" localSheetId="8">EPS資料!$A$1:$M$38</definedName>
    <definedName name="外部資料_1688" localSheetId="8">EPS資料!$A$1:$M$40</definedName>
    <definedName name="外部資料_1689" localSheetId="8">EPS資料!$A$1:$M$41</definedName>
    <definedName name="外部資料_169" localSheetId="8">EPS資料!$A$1:$M$40</definedName>
    <definedName name="外部資料_1690" localSheetId="8">EPS資料!$A$1:$M$36</definedName>
    <definedName name="外部資料_1691" localSheetId="8">EPS資料!$A$1:$M$40</definedName>
    <definedName name="外部資料_1692" localSheetId="8">EPS資料!$A$1:$M$34</definedName>
    <definedName name="外部資料_1693" localSheetId="8">EPS資料!$A$1:$M$39</definedName>
    <definedName name="外部資料_1694" localSheetId="8">EPS資料!$A$1:$M$37</definedName>
    <definedName name="外部資料_1695" localSheetId="8">EPS資料!$A$1:$M$37</definedName>
    <definedName name="外部資料_1696" localSheetId="8">EPS資料!$A$1:$M$38</definedName>
    <definedName name="外部資料_1697" localSheetId="8">EPS資料!$A$1:$M$35</definedName>
    <definedName name="外部資料_1698" localSheetId="8">EPS資料!$A$1:$M$38</definedName>
    <definedName name="外部資料_1699" localSheetId="8">EPS資料!$A$1:$M$38</definedName>
    <definedName name="外部資料_17" localSheetId="8">EPS資料!$A$1:$M$40</definedName>
    <definedName name="外部資料_170" localSheetId="8">EPS資料!$A$1:$M$39</definedName>
    <definedName name="外部資料_1700" localSheetId="8">EPS資料!$A$1:$M$37</definedName>
    <definedName name="外部資料_1701" localSheetId="8">EPS資料!$A$1:$M$35</definedName>
    <definedName name="外部資料_1702" localSheetId="8">EPS資料!$A$1:$M$38</definedName>
    <definedName name="外部資料_1703" localSheetId="8">EPS資料!$A$1:$M$41</definedName>
    <definedName name="外部資料_1704" localSheetId="8">EPS資料!$A$1:$M$35</definedName>
    <definedName name="外部資料_1705" localSheetId="8">EPS資料!$A$1:$M$36</definedName>
    <definedName name="外部資料_1706" localSheetId="8">EPS資料!$A$1:$M$37</definedName>
    <definedName name="外部資料_1707" localSheetId="8">EPS資料!$A$1:$M$37</definedName>
    <definedName name="外部資料_1708" localSheetId="8">EPS資料!$A$1:$M$40</definedName>
    <definedName name="外部資料_1709" localSheetId="8">EPS資料!$A$1:$M$33</definedName>
    <definedName name="外部資料_171" localSheetId="8">EPS資料!$A$1:$M$40</definedName>
    <definedName name="外部資料_1710" localSheetId="8">EPS資料!$A$1:$M$40</definedName>
    <definedName name="外部資料_1711" localSheetId="8">EPS資料!$A$1:$M$40</definedName>
    <definedName name="外部資料_1712" localSheetId="8">EPS資料!$A$1:$M$40</definedName>
    <definedName name="外部資料_1713" localSheetId="8">EPS資料!$A$1:$M$40</definedName>
    <definedName name="外部資料_1714" localSheetId="8">EPS資料!$A$1:$M$40</definedName>
    <definedName name="外部資料_1715" localSheetId="8">EPS資料!$A$1:$M$37</definedName>
    <definedName name="外部資料_1716" localSheetId="8">EPS資料!$A$1:$M$42</definedName>
    <definedName name="外部資料_1717" localSheetId="8">EPS資料!$A$1:$M$35</definedName>
    <definedName name="外部資料_1718" localSheetId="8">EPS資料!$A$1:$M$37</definedName>
    <definedName name="外部資料_1719" localSheetId="8">EPS資料!$A$1:$M$38</definedName>
    <definedName name="外部資料_172" localSheetId="8">EPS資料!$A$1:$M$40</definedName>
    <definedName name="外部資料_1720" localSheetId="8">EPS資料!$A$1:$M$39</definedName>
    <definedName name="外部資料_1721" localSheetId="8">EPS資料!$A$1:$M$40</definedName>
    <definedName name="外部資料_1722" localSheetId="8">EPS資料!$A$1:$M$30</definedName>
    <definedName name="外部資料_1723" localSheetId="8">EPS資料!$A$1:$M$36</definedName>
    <definedName name="外部資料_1724" localSheetId="8">EPS資料!$A$1:$M$28</definedName>
    <definedName name="外部資料_1725" localSheetId="8">EPS資料!$A$1:$M$38</definedName>
    <definedName name="外部資料_1726" localSheetId="8">EPS資料!$A$1:$M$33</definedName>
    <definedName name="外部資料_1727" localSheetId="8">EPS資料!$A$1:$M$40</definedName>
    <definedName name="外部資料_1728" localSheetId="8">EPS資料!$A$1:$M$30</definedName>
    <definedName name="外部資料_1729" localSheetId="8">EPS資料!$A$1:$M$39</definedName>
    <definedName name="外部資料_173" localSheetId="8">EPS資料!$A$1:$M$39</definedName>
    <definedName name="外部資料_1730" localSheetId="8">EPS資料!$A$1:$M$42</definedName>
    <definedName name="外部資料_1731" localSheetId="8">EPS資料!$A$1:$M$40</definedName>
    <definedName name="外部資料_1732" localSheetId="8">EPS資料!$A$1:$M$43</definedName>
    <definedName name="外部資料_1733" localSheetId="8">EPS資料!$A$1:$M$33</definedName>
    <definedName name="外部資料_1734" localSheetId="8">EPS資料!$A$1:$M$39</definedName>
    <definedName name="外部資料_1735" localSheetId="8">EPS資料!$A$1:$M$40</definedName>
    <definedName name="外部資料_1736" localSheetId="8">EPS資料!$A$1:$M$34</definedName>
    <definedName name="外部資料_1737" localSheetId="8">EPS資料!$A$1:$M$39</definedName>
    <definedName name="外部資料_1738" localSheetId="8">EPS資料!$A$1:$M$40</definedName>
    <definedName name="外部資料_1739" localSheetId="8">EPS資料!$A$1:$M$40</definedName>
    <definedName name="外部資料_174" localSheetId="8">EPS資料!$A$1:$M$40</definedName>
    <definedName name="外部資料_1740" localSheetId="8">EPS資料!$A$1:$M$40</definedName>
    <definedName name="外部資料_1741" localSheetId="8">EPS資料!$A$1:$M$31</definedName>
    <definedName name="外部資料_1742" localSheetId="8">EPS資料!$A$1:$M$40</definedName>
    <definedName name="外部資料_1743" localSheetId="8">EPS資料!$A$1:$M$40</definedName>
    <definedName name="外部資料_1744" localSheetId="8">EPS資料!$A$1:$M$43</definedName>
    <definedName name="外部資料_1745" localSheetId="8">EPS資料!$A$1:$M$41</definedName>
    <definedName name="外部資料_1746" localSheetId="8">EPS資料!$A$1:$M$40</definedName>
    <definedName name="外部資料_1747" localSheetId="8">EPS資料!$A$1:$M$40</definedName>
    <definedName name="外部資料_1748" localSheetId="8">EPS資料!$A$1:$M$40</definedName>
    <definedName name="外部資料_1749" localSheetId="8">EPS資料!$A$1:$M$41</definedName>
    <definedName name="外部資料_175" localSheetId="8">EPS資料!$A$1:$M$40</definedName>
    <definedName name="外部資料_1750" localSheetId="8">EPS資料!$A$1:$M$41</definedName>
    <definedName name="外部資料_1751" localSheetId="8">EPS資料!$A$1:$M$29</definedName>
    <definedName name="外部資料_1752" localSheetId="8">EPS資料!$A$1:$M$29</definedName>
    <definedName name="外部資料_1753" localSheetId="8">EPS資料!$A$1:$M$40</definedName>
    <definedName name="外部資料_1754" localSheetId="8">EPS資料!$A$1:$M$40</definedName>
    <definedName name="外部資料_1755" localSheetId="8">EPS資料!$A$1:$M$40</definedName>
    <definedName name="外部資料_1756" localSheetId="8">EPS資料!$A$1:$M$38</definedName>
    <definedName name="外部資料_1757" localSheetId="8">EPS資料!$A$1:$M$33</definedName>
    <definedName name="外部資料_1758" localSheetId="8">EPS資料!$A$1:$M$40</definedName>
    <definedName name="外部資料_1759" localSheetId="8">EPS資料!$A$1:$M$40</definedName>
    <definedName name="外部資料_176" localSheetId="8">EPS資料!$A$1:$M$39</definedName>
    <definedName name="外部資料_1760" localSheetId="8">EPS資料!$A$1:$M$40</definedName>
    <definedName name="外部資料_1761" localSheetId="8">EPS資料!$A$1:$M$41</definedName>
    <definedName name="外部資料_1762" localSheetId="8">EPS資料!$A$1:$M$40</definedName>
    <definedName name="外部資料_1763" localSheetId="8">EPS資料!$A$1:$M$40</definedName>
    <definedName name="外部資料_1764" localSheetId="8">EPS資料!$A$1:$M$42</definedName>
    <definedName name="外部資料_1765" localSheetId="8">EPS資料!$A$1:$M$39</definedName>
    <definedName name="外部資料_1766" localSheetId="8">EPS資料!$A$1:$M$38</definedName>
    <definedName name="外部資料_1767" localSheetId="8">EPS資料!$A$1:$M$39</definedName>
    <definedName name="外部資料_1768" localSheetId="8">EPS資料!$A$1:$M$32</definedName>
    <definedName name="外部資料_1769" localSheetId="8">EPS資料!$A$1:$M$35</definedName>
    <definedName name="外部資料_177" localSheetId="8">EPS資料!$A$1:$M$38</definedName>
    <definedName name="外部資料_1770" localSheetId="8">EPS資料!$A$1:$M$40</definedName>
    <definedName name="外部資料_1771" localSheetId="8">EPS資料!$A$1:$M$29</definedName>
    <definedName name="外部資料_1772" localSheetId="8">EPS資料!$A$1:$M$39</definedName>
    <definedName name="外部資料_1773" localSheetId="8">EPS資料!$A$1:$M$39</definedName>
    <definedName name="外部資料_1774" localSheetId="8">EPS資料!$A$1:$M$38</definedName>
    <definedName name="外部資料_1776" localSheetId="8">EPS資料!$A$1:$J$6</definedName>
    <definedName name="外部資料_1777" localSheetId="8">EPS資料!$A$1:$J$6</definedName>
    <definedName name="外部資料_1778" localSheetId="8">EPS資料!$A$1:$J$6</definedName>
    <definedName name="外部資料_178" localSheetId="8">EPS資料!$A$1:$M$40</definedName>
    <definedName name="外部資料_179" localSheetId="8">EPS資料!$A$1:$M$32</definedName>
    <definedName name="外部資料_18" localSheetId="8">EPS資料!$A$1:$M$39</definedName>
    <definedName name="外部資料_180" localSheetId="8">EPS資料!$A$1:$M$41</definedName>
    <definedName name="外部資料_181" localSheetId="8">EPS資料!$A$1:$M$32</definedName>
    <definedName name="外部資料_182" localSheetId="8">EPS資料!$A$1:$M$40</definedName>
    <definedName name="外部資料_183" localSheetId="8">EPS資料!$A$1:$M$41</definedName>
    <definedName name="外部資料_184" localSheetId="8">EPS資料!$A$1:$M$38</definedName>
    <definedName name="外部資料_185" localSheetId="8">EPS資料!$A$1:$M$41</definedName>
    <definedName name="外部資料_186" localSheetId="8">EPS資料!$A$1:$M$39</definedName>
    <definedName name="外部資料_187" localSheetId="8">EPS資料!$A$1:$M$40</definedName>
    <definedName name="外部資料_188" localSheetId="8">EPS資料!$A$1:$M$40</definedName>
    <definedName name="外部資料_189" localSheetId="8">EPS資料!$A$1:$M$31</definedName>
    <definedName name="外部資料_19" localSheetId="8">EPS資料!$A$1:$M$39</definedName>
    <definedName name="外部資料_190" localSheetId="8">EPS資料!$A$1:$M$40</definedName>
    <definedName name="外部資料_191" localSheetId="8">EPS資料!$A$1:$M$40</definedName>
    <definedName name="外部資料_192" localSheetId="8">EPS資料!$A$1:$M$39</definedName>
    <definedName name="外部資料_193" localSheetId="8">EPS資料!$A$1:$M$40</definedName>
    <definedName name="外部資料_194" localSheetId="8">EPS資料!$A$1:$M$40</definedName>
    <definedName name="外部資料_195" localSheetId="8">EPS資料!$A$1:$M$29</definedName>
    <definedName name="外部資料_196" localSheetId="8">EPS資料!$A$1:$M$40</definedName>
    <definedName name="外部資料_197" localSheetId="8">EPS資料!$A$1:$M$38</definedName>
    <definedName name="外部資料_198" localSheetId="8">EPS資料!$A$1:$M$40</definedName>
    <definedName name="外部資料_199" localSheetId="8">EPS資料!$A$1:$M$40</definedName>
    <definedName name="外部資料_2" localSheetId="8">EPS資料!$A$1:$M$40</definedName>
    <definedName name="外部資料_20" localSheetId="8">EPS資料!$A$1:$M$40</definedName>
    <definedName name="外部資料_200" localSheetId="8">EPS資料!$A$1:$M$40</definedName>
    <definedName name="外部資料_201" localSheetId="8">EPS資料!$A$1:$M$41</definedName>
    <definedName name="外部資料_202" localSheetId="8">EPS資料!$A$1:$M$30</definedName>
    <definedName name="外部資料_203" localSheetId="8">EPS資料!$A$1:$M$33</definedName>
    <definedName name="外部資料_204" localSheetId="8">EPS資料!$A$1:$M$37</definedName>
    <definedName name="外部資料_205" localSheetId="8">EPS資料!$A$1:$M$37</definedName>
    <definedName name="外部資料_206" localSheetId="8">EPS資料!$A$1:$M$37</definedName>
    <definedName name="外部資料_207" localSheetId="8">EPS資料!$A$1:$M$41</definedName>
    <definedName name="外部資料_208" localSheetId="8">EPS資料!$A$1:$M$40</definedName>
    <definedName name="外部資料_209" localSheetId="8">EPS資料!$A$1:$M$31</definedName>
    <definedName name="外部資料_21" localSheetId="8">EPS資料!$A$1:$M$40</definedName>
    <definedName name="外部資料_210" localSheetId="8">EPS資料!$A$1:$M$34</definedName>
    <definedName name="外部資料_211" localSheetId="8">EPS資料!$A$1:$M$28</definedName>
    <definedName name="外部資料_212" localSheetId="8">EPS資料!$A$1:$M$35</definedName>
    <definedName name="外部資料_213" localSheetId="8">EPS資料!$A$1:$M$30</definedName>
    <definedName name="外部資料_214" localSheetId="8">EPS資料!$A$1:$M$31</definedName>
    <definedName name="外部資料_215" localSheetId="8">EPS資料!$A$1:$M$40</definedName>
    <definedName name="外部資料_216" localSheetId="8">EPS資料!$A$1:$M$40</definedName>
    <definedName name="外部資料_217" localSheetId="8">EPS資料!$A$1:$M$37</definedName>
    <definedName name="外部資料_218" localSheetId="8">EPS資料!$A$1:$M$39</definedName>
    <definedName name="外部資料_219" localSheetId="8">EPS資料!$A$1:$M$37</definedName>
    <definedName name="外部資料_22" localSheetId="8">EPS資料!$A$1:$M$41</definedName>
    <definedName name="外部資料_220" localSheetId="8">EPS資料!$A$1:$M$40</definedName>
    <definedName name="外部資料_221" localSheetId="8">EPS資料!$A$1:$M$28</definedName>
    <definedName name="外部資料_222" localSheetId="8">EPS資料!$A$1:$M$40</definedName>
    <definedName name="外部資料_223" localSheetId="8">EPS資料!$A$1:$M$35</definedName>
    <definedName name="外部資料_224" localSheetId="8">EPS資料!$A$1:$M$36</definedName>
    <definedName name="外部資料_225" localSheetId="8">EPS資料!$A$1:$M$39</definedName>
    <definedName name="外部資料_226" localSheetId="8">EPS資料!$A$1:$M$39</definedName>
    <definedName name="外部資料_227" localSheetId="8">EPS資料!$A$1:$M$40</definedName>
    <definedName name="外部資料_228" localSheetId="8">EPS資料!$A$1:$M$41</definedName>
    <definedName name="外部資料_229" localSheetId="8">EPS資料!$A$1:$M$28</definedName>
    <definedName name="外部資料_23" localSheetId="8">EPS資料!$A$1:$M$40</definedName>
    <definedName name="外部資料_230" localSheetId="8">EPS資料!$A$1:$M$29</definedName>
    <definedName name="外部資料_231" localSheetId="8">EPS資料!$A$1:$M$33</definedName>
    <definedName name="外部資料_232" localSheetId="8">EPS資料!$A$1:$M$39</definedName>
    <definedName name="外部資料_233" localSheetId="8">EPS資料!$A$1:$M$39</definedName>
    <definedName name="外部資料_234" localSheetId="8">EPS資料!$A$1:$M$40</definedName>
    <definedName name="外部資料_235" localSheetId="8">EPS資料!$A$1:$M$32</definedName>
    <definedName name="外部資料_236" localSheetId="8">EPS資料!$A$1:$M$40</definedName>
    <definedName name="外部資料_237" localSheetId="8">EPS資料!$A$1:$M$35</definedName>
    <definedName name="外部資料_238" localSheetId="8">EPS資料!$A$1:$M$38</definedName>
    <definedName name="外部資料_239" localSheetId="8">EPS資料!$A$1:$M$29</definedName>
    <definedName name="外部資料_24" localSheetId="8">EPS資料!$A$1:$M$34</definedName>
    <definedName name="外部資料_240" localSheetId="8">EPS資料!$A$1:$M$37</definedName>
    <definedName name="外部資料_241" localSheetId="8">EPS資料!$A$1:$M$39</definedName>
    <definedName name="外部資料_242" localSheetId="8">EPS資料!$A$1:$M$28</definedName>
    <definedName name="外部資料_243" localSheetId="8">EPS資料!$A$1:$M$43</definedName>
    <definedName name="外部資料_244" localSheetId="8">EPS資料!$A$1:$M$31</definedName>
    <definedName name="外部資料_245" localSheetId="8">EPS資料!$A$1:$M$40</definedName>
    <definedName name="外部資料_246" localSheetId="8">EPS資料!$A$1:$M$36</definedName>
    <definedName name="外部資料_247" localSheetId="8">EPS資料!$A$1:$M$40</definedName>
    <definedName name="外部資料_248" localSheetId="8">EPS資料!$A$1:$M$40</definedName>
    <definedName name="外部資料_249" localSheetId="8">EPS資料!$A$1:$M$37</definedName>
    <definedName name="外部資料_25" localSheetId="8">EPS資料!$A$1:$M$42</definedName>
    <definedName name="外部資料_250" localSheetId="8">EPS資料!$A$1:$M$40</definedName>
    <definedName name="外部資料_251" localSheetId="8">EPS資料!$A$1:$M$28</definedName>
    <definedName name="外部資料_252" localSheetId="8">EPS資料!$A$1:$M$33</definedName>
    <definedName name="外部資料_253" localSheetId="8">EPS資料!$A$1:$M$41</definedName>
    <definedName name="外部資料_254" localSheetId="8">EPS資料!$A$1:$M$41</definedName>
    <definedName name="外部資料_255" localSheetId="8">EPS資料!$A$1:$M$30</definedName>
    <definedName name="外部資料_256" localSheetId="8">EPS資料!$A$1:$M$41</definedName>
    <definedName name="外部資料_257" localSheetId="8">EPS資料!$A$1:$M$43</definedName>
    <definedName name="外部資料_258" localSheetId="8">EPS資料!$A$1:$M$40</definedName>
    <definedName name="外部資料_259" localSheetId="8">EPS資料!$A$1:$M$44</definedName>
    <definedName name="外部資料_26" localSheetId="8">EPS資料!$A$1:$M$36</definedName>
    <definedName name="外部資料_260" localSheetId="8">EPS資料!$A$1:$M$40</definedName>
    <definedName name="外部資料_261" localSheetId="8">EPS資料!$A$1:$M$34</definedName>
    <definedName name="外部資料_262" localSheetId="8">EPS資料!$A$1:$M$37</definedName>
    <definedName name="外部資料_263" localSheetId="8">EPS資料!$A$1:$M$39</definedName>
    <definedName name="外部資料_264" localSheetId="8">EPS資料!$A$1:$M$38</definedName>
    <definedName name="外部資料_265" localSheetId="8">EPS資料!$A$1:$M$35</definedName>
    <definedName name="外部資料_266" localSheetId="8">EPS資料!$A$1:$M$40</definedName>
    <definedName name="外部資料_267" localSheetId="8">EPS資料!$A$1:$M$39</definedName>
    <definedName name="外部資料_268" localSheetId="8">EPS資料!$A$1:$M$41</definedName>
    <definedName name="外部資料_269" localSheetId="8">EPS資料!$A$1:$M$40</definedName>
    <definedName name="外部資料_27" localSheetId="8">EPS資料!$A$1:$M$41</definedName>
    <definedName name="外部資料_270" localSheetId="8">EPS資料!$A$1:$M$39</definedName>
    <definedName name="外部資料_271" localSheetId="8">EPS資料!$A$1:$M$40</definedName>
    <definedName name="外部資料_272" localSheetId="8">EPS資料!$A$1:$M$38</definedName>
    <definedName name="外部資料_273" localSheetId="8">EPS資料!$A$1:$M$41</definedName>
    <definedName name="外部資料_274" localSheetId="8">EPS資料!$A$1:$M$38</definedName>
    <definedName name="外部資料_275" localSheetId="8">EPS資料!$A$1:$M$39</definedName>
    <definedName name="外部資料_276" localSheetId="8">EPS資料!$A$1:$M$39</definedName>
    <definedName name="外部資料_277" localSheetId="8">EPS資料!$A$1:$M$37</definedName>
    <definedName name="外部資料_278" localSheetId="8">EPS資料!$A$1:$M$40</definedName>
    <definedName name="外部資料_279" localSheetId="8">EPS資料!$A$1:$M$36</definedName>
    <definedName name="外部資料_28" localSheetId="8">EPS資料!$A$1:$M$34</definedName>
    <definedName name="外部資料_280" localSheetId="8">EPS資料!$A$1:$M$32</definedName>
    <definedName name="外部資料_281" localSheetId="8">EPS資料!$A$1:$M$40</definedName>
    <definedName name="外部資料_282" localSheetId="8">EPS資料!$A$1:$M$41</definedName>
    <definedName name="外部資料_283" localSheetId="8">EPS資料!$A$1:$M$40</definedName>
    <definedName name="外部資料_284" localSheetId="8">EPS資料!$A$1:$M$37</definedName>
    <definedName name="外部資料_285" localSheetId="8">EPS資料!$A$1:$M$40</definedName>
    <definedName name="外部資料_286" localSheetId="8">EPS資料!$A$1:$M$40</definedName>
    <definedName name="外部資料_287" localSheetId="8">EPS資料!$A$1:$M$40</definedName>
    <definedName name="外部資料_288" localSheetId="8">EPS資料!$A$1:$M$39</definedName>
    <definedName name="外部資料_289" localSheetId="8">EPS資料!$A$1:$M$36</definedName>
    <definedName name="外部資料_29" localSheetId="8">EPS資料!$A$1:$M$40</definedName>
    <definedName name="外部資料_290" localSheetId="8">EPS資料!$A$1:$M$35</definedName>
    <definedName name="外部資料_291" localSheetId="8">EPS資料!$A$1:$M$32</definedName>
    <definedName name="外部資料_292" localSheetId="8">EPS資料!$A$1:$M$34</definedName>
    <definedName name="外部資料_293" localSheetId="8">EPS資料!$A$1:$M$32</definedName>
    <definedName name="外部資料_294" localSheetId="8">EPS資料!$A$1:$M$43</definedName>
    <definedName name="外部資料_295" localSheetId="8">EPS資料!$A$1:$M$34</definedName>
    <definedName name="外部資料_296" localSheetId="8">EPS資料!$A$1:$M$40</definedName>
    <definedName name="外部資料_297" localSheetId="8">EPS資料!$A$1:$M$28</definedName>
    <definedName name="外部資料_298" localSheetId="8">EPS資料!$A$1:$M$40</definedName>
    <definedName name="外部資料_299" localSheetId="8">EPS資料!$A$1:$M$38</definedName>
    <definedName name="外部資料_3" localSheetId="8">EPS資料!$A$1:$M$40</definedName>
    <definedName name="外部資料_30" localSheetId="8">EPS資料!$A$1:$M$39</definedName>
    <definedName name="外部資料_300" localSheetId="8">EPS資料!$A$1:$M$42</definedName>
    <definedName name="外部資料_301" localSheetId="8">EPS資料!$A$1:$M$33</definedName>
    <definedName name="外部資料_302" localSheetId="8">EPS資料!$A$1:$M$37</definedName>
    <definedName name="外部資料_303" localSheetId="8">EPS資料!$A$1:$M$39</definedName>
    <definedName name="外部資料_304" localSheetId="8">EPS資料!$A$1:$M$28</definedName>
    <definedName name="外部資料_305" localSheetId="8">EPS資料!$A$1:$M$31</definedName>
    <definedName name="外部資料_306" localSheetId="8">EPS資料!$A$1:$M$40</definedName>
    <definedName name="外部資料_307" localSheetId="8">EPS資料!$A$1:$M$38</definedName>
    <definedName name="外部資料_308" localSheetId="8">EPS資料!$A$1:$M$39</definedName>
    <definedName name="外部資料_309" localSheetId="8">EPS資料!$A$1:$M$31</definedName>
    <definedName name="外部資料_31" localSheetId="8">EPS資料!$A$1:$M$40</definedName>
    <definedName name="外部資料_310" localSheetId="8">EPS資料!$A$1:$M$54</definedName>
    <definedName name="外部資料_311" localSheetId="8">EPS資料!$A$1:$M$36</definedName>
    <definedName name="外部資料_312" localSheetId="8">EPS資料!$A$1:$M$38</definedName>
    <definedName name="外部資料_313" localSheetId="8">EPS資料!$A$1:$M$36</definedName>
    <definedName name="外部資料_314" localSheetId="8">EPS資料!$A$1:$M$38</definedName>
    <definedName name="外部資料_315" localSheetId="8">EPS資料!$A$1:$M$41</definedName>
    <definedName name="外部資料_316" localSheetId="8">EPS資料!$A$1:$M$34</definedName>
    <definedName name="外部資料_317" localSheetId="8">EPS資料!$A$1:$M$36</definedName>
    <definedName name="外部資料_318" localSheetId="8">EPS資料!$A$1:$M$41</definedName>
    <definedName name="外部資料_319" localSheetId="8">EPS資料!$A$1:$M$40</definedName>
    <definedName name="外部資料_32" localSheetId="8">EPS資料!$A$1:$M$41</definedName>
    <definedName name="外部資料_320" localSheetId="8">EPS資料!$A$1:$M$34</definedName>
    <definedName name="外部資料_321" localSheetId="8">EPS資料!$A$1:$M$28</definedName>
    <definedName name="外部資料_322" localSheetId="8">EPS資料!$A$1:$M$40</definedName>
    <definedName name="外部資料_323" localSheetId="8">EPS資料!$A$1:$M$37</definedName>
    <definedName name="外部資料_324" localSheetId="8">EPS資料!$A$1:$M$37</definedName>
    <definedName name="外部資料_325" localSheetId="8">EPS資料!$A$1:$M$40</definedName>
    <definedName name="外部資料_326" localSheetId="8">EPS資料!$A$1:$M$40</definedName>
    <definedName name="外部資料_327" localSheetId="8">EPS資料!$A$1:$M$41</definedName>
    <definedName name="外部資料_328" localSheetId="8">EPS資料!$A$1:$M$40</definedName>
    <definedName name="外部資料_329" localSheetId="8">EPS資料!$A$1:$M$34</definedName>
    <definedName name="外部資料_33" localSheetId="8">EPS資料!$A$1:$M$40</definedName>
    <definedName name="外部資料_330" localSheetId="8">EPS資料!$A$1:$M$40</definedName>
    <definedName name="外部資料_331" localSheetId="8">EPS資料!$A$1:$M$43</definedName>
    <definedName name="外部資料_332" localSheetId="8">EPS資料!$A$1:$M$41</definedName>
    <definedName name="外部資料_333" localSheetId="8">EPS資料!$A$1:$M$33</definedName>
    <definedName name="外部資料_334" localSheetId="8">EPS資料!$A$1:$M$29</definedName>
    <definedName name="外部資料_335" localSheetId="8">EPS資料!$A$1:$M$39</definedName>
    <definedName name="外部資料_336" localSheetId="8">EPS資料!$A$1:$M$37</definedName>
    <definedName name="外部資料_337" localSheetId="8">EPS資料!$A$1:$M$31</definedName>
    <definedName name="外部資料_338" localSheetId="8">EPS資料!$A$1:$M$38</definedName>
    <definedName name="外部資料_339" localSheetId="8">EPS資料!$A$1:$M$28</definedName>
    <definedName name="外部資料_34" localSheetId="8">EPS資料!$A$1:$M$41</definedName>
    <definedName name="外部資料_340" localSheetId="8">EPS資料!$A$1:$M$41</definedName>
    <definedName name="外部資料_341" localSheetId="8">EPS資料!$A$1:$M$39</definedName>
    <definedName name="外部資料_342" localSheetId="8">EPS資料!$A$1:$M$36</definedName>
    <definedName name="外部資料_343" localSheetId="8">EPS資料!$A$1:$M$41</definedName>
    <definedName name="外部資料_344" localSheetId="8">EPS資料!$A$1:$M$40</definedName>
    <definedName name="外部資料_345" localSheetId="8">EPS資料!$A$1:$M$40</definedName>
    <definedName name="外部資料_346" localSheetId="8">EPS資料!$A$1:$M$30</definedName>
    <definedName name="外部資料_347" localSheetId="8">EPS資料!$A$1:$M$40</definedName>
    <definedName name="外部資料_348" localSheetId="8">EPS資料!$A$1:$M$40</definedName>
    <definedName name="外部資料_349" localSheetId="8">EPS資料!$A$1:$M$41</definedName>
    <definedName name="外部資料_35" localSheetId="8">EPS資料!$A$1:$M$39</definedName>
    <definedName name="外部資料_350" localSheetId="8">EPS資料!$A$1:$M$40</definedName>
    <definedName name="外部資料_351" localSheetId="8">EPS資料!$A$1:$M$30</definedName>
    <definedName name="外部資料_352" localSheetId="8">EPS資料!$A$1:$M$32</definedName>
    <definedName name="外部資料_353" localSheetId="8">EPS資料!$A$1:$M$40</definedName>
    <definedName name="外部資料_354" localSheetId="8">EPS資料!$A$1:$M$40</definedName>
    <definedName name="外部資料_355" localSheetId="8">EPS資料!$A$1:$M$41</definedName>
    <definedName name="外部資料_356" localSheetId="8">EPS資料!$A$1:$M$40</definedName>
    <definedName name="外部資料_357" localSheetId="8">EPS資料!$A$1:$M$34</definedName>
    <definedName name="外部資料_358" localSheetId="8">EPS資料!$A$1:$M$37</definedName>
    <definedName name="外部資料_359" localSheetId="8">EPS資料!$A$1:$M$36</definedName>
    <definedName name="外部資料_36" localSheetId="8">EPS資料!$A$1:$M$41</definedName>
    <definedName name="外部資料_360" localSheetId="8">EPS資料!$A$1:$M$40</definedName>
    <definedName name="外部資料_361" localSheetId="8">EPS資料!$A$1:$M$32</definedName>
    <definedName name="外部資料_362" localSheetId="8">EPS資料!$A$1:$M$32</definedName>
    <definedName name="外部資料_363" localSheetId="8">EPS資料!$A$1:$M$37</definedName>
    <definedName name="外部資料_364" localSheetId="8">EPS資料!$A$1:$M$38</definedName>
    <definedName name="外部資料_365" localSheetId="8">EPS資料!$A$1:$M$40</definedName>
    <definedName name="外部資料_366" localSheetId="8">EPS資料!$A$1:$M$30</definedName>
    <definedName name="外部資料_367" localSheetId="8">EPS資料!$A$1:$M$40</definedName>
    <definedName name="外部資料_368" localSheetId="8">EPS資料!$A$1:$M$40</definedName>
    <definedName name="外部資料_369" localSheetId="8">EPS資料!$A$1:$M$41</definedName>
    <definedName name="外部資料_37" localSheetId="8">EPS資料!$A$1:$M$40</definedName>
    <definedName name="外部資料_370" localSheetId="8">EPS資料!$A$1:$M$41</definedName>
    <definedName name="外部資料_371" localSheetId="8">EPS資料!$A$1:$M$40</definedName>
    <definedName name="外部資料_372" localSheetId="8">EPS資料!$A$1:$M$40</definedName>
    <definedName name="外部資料_373" localSheetId="8">EPS資料!$A$1:$M$40</definedName>
    <definedName name="外部資料_374" localSheetId="8">EPS資料!$A$1:$M$28</definedName>
    <definedName name="外部資料_375" localSheetId="8">EPS資料!$A$1:$M$38</definedName>
    <definedName name="外部資料_376" localSheetId="8">EPS資料!$A$1:$M$37</definedName>
    <definedName name="外部資料_377" localSheetId="8">EPS資料!$A$1:$M$38</definedName>
    <definedName name="外部資料_378" localSheetId="8">EPS資料!$A$1:$M$41</definedName>
    <definedName name="外部資料_379" localSheetId="8">EPS資料!$A$1:$M$28</definedName>
    <definedName name="外部資料_38" localSheetId="8">EPS資料!$A$1:$M$35</definedName>
    <definedName name="外部資料_380" localSheetId="8">EPS資料!$A$1:$M$40</definedName>
    <definedName name="外部資料_381" localSheetId="8">EPS資料!$A$1:$M$34</definedName>
    <definedName name="外部資料_382" localSheetId="8">EPS資料!$A$1:$M$42</definedName>
    <definedName name="外部資料_383" localSheetId="8">EPS資料!$A$1:$M$28</definedName>
    <definedName name="外部資料_384" localSheetId="8">EPS資料!$A$1:$M$39</definedName>
    <definedName name="外部資料_385" localSheetId="8">EPS資料!$A$1:$M$28</definedName>
    <definedName name="外部資料_386" localSheetId="8">EPS資料!$A$1:$M$40</definedName>
    <definedName name="外部資料_387" localSheetId="8">EPS資料!$A$1:$M$28</definedName>
    <definedName name="外部資料_388" localSheetId="8">EPS資料!$A$1:$M$40</definedName>
    <definedName name="外部資料_389" localSheetId="8">EPS資料!$A$1:$M$36</definedName>
    <definedName name="外部資料_39" localSheetId="8">EPS資料!$A$1:$M$37</definedName>
    <definedName name="外部資料_390" localSheetId="8">EPS資料!$A$1:$M$28</definedName>
    <definedName name="外部資料_391" localSheetId="8">EPS資料!$A$1:$M$32</definedName>
    <definedName name="外部資料_392" localSheetId="8">EPS資料!$A$1:$M$41</definedName>
    <definedName name="外部資料_393" localSheetId="8">EPS資料!$A$1:$M$41</definedName>
    <definedName name="外部資料_394" localSheetId="8">EPS資料!$A$1:$M$42</definedName>
    <definedName name="外部資料_395" localSheetId="8">EPS資料!$A$1:$M$41</definedName>
    <definedName name="外部資料_396" localSheetId="8">EPS資料!$A$1:$M$40</definedName>
    <definedName name="外部資料_397" localSheetId="8">EPS資料!$A$1:$M$40</definedName>
    <definedName name="外部資料_398" localSheetId="8">EPS資料!$A$1:$M$34</definedName>
    <definedName name="外部資料_399" localSheetId="8">EPS資料!$A$1:$M$42</definedName>
    <definedName name="外部資料_4" localSheetId="8">EPS資料!$A$1:$M$36</definedName>
    <definedName name="外部資料_40" localSheetId="8">EPS資料!$A$1:$M$38</definedName>
    <definedName name="外部資料_400" localSheetId="8">EPS資料!$A$1:$M$41</definedName>
    <definedName name="外部資料_401" localSheetId="8">EPS資料!$A$1:$M$32</definedName>
    <definedName name="外部資料_402" localSheetId="8">EPS資料!$A$1:$M$40</definedName>
    <definedName name="外部資料_403" localSheetId="8">EPS資料!$A$1:$M$38</definedName>
    <definedName name="外部資料_404" localSheetId="8">EPS資料!$A$1:$M$39</definedName>
    <definedName name="外部資料_405" localSheetId="8">EPS資料!$A$1:$M$29</definedName>
    <definedName name="外部資料_406" localSheetId="8">EPS資料!$A$1:$M$30</definedName>
    <definedName name="外部資料_407" localSheetId="8">EPS資料!$A$1:$M$39</definedName>
    <definedName name="外部資料_408" localSheetId="8">EPS資料!$A$1:$M$41</definedName>
    <definedName name="外部資料_409" localSheetId="8">EPS資料!$A$1:$M$40</definedName>
    <definedName name="外部資料_41" localSheetId="8">EPS資料!$A$1:$M$40</definedName>
    <definedName name="外部資料_410" localSheetId="8">EPS資料!$A$1:$M$40</definedName>
    <definedName name="外部資料_411" localSheetId="8">EPS資料!$A$1:$M$42</definedName>
    <definedName name="外部資料_412" localSheetId="8">EPS資料!$A$1:$M$40</definedName>
    <definedName name="外部資料_413" localSheetId="8">EPS資料!$A$1:$M$39</definedName>
    <definedName name="外部資料_414" localSheetId="8">EPS資料!$A$1:$M$41</definedName>
    <definedName name="外部資料_415" localSheetId="8">EPS資料!$A$1:$M$41</definedName>
    <definedName name="外部資料_416" localSheetId="8">EPS資料!$A$1:$M$36</definedName>
    <definedName name="外部資料_417" localSheetId="8">EPS資料!$A$1:$M$31</definedName>
    <definedName name="外部資料_418" localSheetId="8">EPS資料!$A$1:$M$41</definedName>
    <definedName name="外部資料_419" localSheetId="8">EPS資料!$A$1:$M$38</definedName>
    <definedName name="外部資料_42" localSheetId="8">EPS資料!$A$1:$M$34</definedName>
    <definedName name="外部資料_420" localSheetId="8">EPS資料!$A$1:$M$36</definedName>
    <definedName name="外部資料_421" localSheetId="8">EPS資料!$A$1:$M$34</definedName>
    <definedName name="外部資料_422" localSheetId="8">EPS資料!$A$1:$M$40</definedName>
    <definedName name="外部資料_423" localSheetId="8">EPS資料!$A$1:$M$36</definedName>
    <definedName name="外部資料_424" localSheetId="8">EPS資料!$A$1:$M$30</definedName>
    <definedName name="外部資料_425" localSheetId="8">EPS資料!$A$1:$M$37</definedName>
    <definedName name="外部資料_426" localSheetId="8">EPS資料!$A$1:$M$40</definedName>
    <definedName name="外部資料_427" localSheetId="8">EPS資料!$A$1:$M$41</definedName>
    <definedName name="外部資料_428" localSheetId="8">EPS資料!$A$1:$M$35</definedName>
    <definedName name="外部資料_429" localSheetId="8">EPS資料!$A$1:$M$35</definedName>
    <definedName name="外部資料_43" localSheetId="8">EPS資料!$A$1:$M$44</definedName>
    <definedName name="外部資料_430" localSheetId="8">EPS資料!$A$1:$M$32</definedName>
    <definedName name="外部資料_431" localSheetId="8">EPS資料!$A$1:$M$39</definedName>
    <definedName name="外部資料_432" localSheetId="8">EPS資料!$A$1:$M$38</definedName>
    <definedName name="外部資料_433" localSheetId="8">EPS資料!$A$1:$M$37</definedName>
    <definedName name="外部資料_434" localSheetId="8">EPS資料!$A$1:$M$41</definedName>
    <definedName name="外部資料_435" localSheetId="8">EPS資料!$A$1:$M$38</definedName>
    <definedName name="外部資料_436" localSheetId="8">EPS資料!$A$1:$M$42</definedName>
    <definedName name="外部資料_437" localSheetId="8">EPS資料!$A$1:$M$35</definedName>
    <definedName name="外部資料_438" localSheetId="8">EPS資料!$A$1:$M$39</definedName>
    <definedName name="外部資料_439" localSheetId="8">EPS資料!$A$1:$M$34</definedName>
    <definedName name="外部資料_44" localSheetId="8">EPS資料!$A$1:$M$31</definedName>
    <definedName name="外部資料_440" localSheetId="8">EPS資料!$A$1:$M$40</definedName>
    <definedName name="外部資料_441" localSheetId="8">EPS資料!$A$1:$M$31</definedName>
    <definedName name="外部資料_442" localSheetId="8">EPS資料!$A$1:$M$40</definedName>
    <definedName name="外部資料_443" localSheetId="8">EPS資料!$A$1:$M$33</definedName>
    <definedName name="外部資料_444" localSheetId="8">EPS資料!$A$1:$M$36</definedName>
    <definedName name="外部資料_445" localSheetId="8">EPS資料!$A$1:$M$39</definedName>
    <definedName name="外部資料_446" localSheetId="8">EPS資料!$A$1:$M$41</definedName>
    <definedName name="外部資料_447" localSheetId="8">EPS資料!$A$1:$M$39</definedName>
    <definedName name="外部資料_448" localSheetId="8">EPS資料!$A$1:$M$35</definedName>
    <definedName name="外部資料_449" localSheetId="8">EPS資料!$A$1:$M$41</definedName>
    <definedName name="外部資料_45" localSheetId="8">EPS資料!$A$1:$M$40</definedName>
    <definedName name="外部資料_450" localSheetId="8">EPS資料!$A$1:$M$39</definedName>
    <definedName name="外部資料_451" localSheetId="8">EPS資料!$A$1:$M$32</definedName>
    <definedName name="外部資料_452" localSheetId="8">EPS資料!$A$1:$M$40</definedName>
    <definedName name="外部資料_453" localSheetId="8">EPS資料!$A$1:$M$31</definedName>
    <definedName name="外部資料_454" localSheetId="8">EPS資料!$A$1:$M$41</definedName>
    <definedName name="外部資料_455" localSheetId="8">EPS資料!$A$1:$M$40</definedName>
    <definedName name="外部資料_456" localSheetId="8">EPS資料!$A$1:$M$36</definedName>
    <definedName name="外部資料_457" localSheetId="8">EPS資料!$A$1:$M$40</definedName>
    <definedName name="外部資料_458" localSheetId="8">EPS資料!$A$1:$M$40</definedName>
    <definedName name="外部資料_459" localSheetId="8">EPS資料!$A$1:$M$41</definedName>
    <definedName name="外部資料_46" localSheetId="8">EPS資料!$A$1:$M$30</definedName>
    <definedName name="外部資料_460" localSheetId="8">EPS資料!$A$1:$M$34</definedName>
    <definedName name="外部資料_461" localSheetId="8">EPS資料!$A$1:$M$34</definedName>
    <definedName name="外部資料_462" localSheetId="8">EPS資料!$A$1:$M$42</definedName>
    <definedName name="外部資料_463" localSheetId="8">EPS資料!$A$1:$M$40</definedName>
    <definedName name="外部資料_464" localSheetId="8">EPS資料!$A$1:$M$39</definedName>
    <definedName name="外部資料_465" localSheetId="8">EPS資料!$A$1:$M$39</definedName>
    <definedName name="外部資料_466" localSheetId="8">EPS資料!$A$1:$M$32</definedName>
    <definedName name="外部資料_467" localSheetId="8">EPS資料!$A$1:$M$33</definedName>
    <definedName name="外部資料_468" localSheetId="8">EPS資料!$A$1:$M$35</definedName>
    <definedName name="外部資料_469" localSheetId="8">EPS資料!$A$1:$M$40</definedName>
    <definedName name="外部資料_47" localSheetId="8">EPS資料!$A$1:$M$40</definedName>
    <definedName name="外部資料_470" localSheetId="8">EPS資料!$A$1:$M$38</definedName>
    <definedName name="外部資料_471" localSheetId="8">EPS資料!$A$1:$M$33</definedName>
    <definedName name="外部資料_472" localSheetId="8">EPS資料!$A$1:$M$39</definedName>
    <definedName name="外部資料_473" localSheetId="8">EPS資料!$A$1:$M$40</definedName>
    <definedName name="外部資料_474" localSheetId="8">EPS資料!$A$1:$M$39</definedName>
    <definedName name="外部資料_475" localSheetId="8">EPS資料!$A$1:$M$35</definedName>
    <definedName name="外部資料_476" localSheetId="8">EPS資料!$A$1:$M$39</definedName>
    <definedName name="外部資料_477" localSheetId="8">EPS資料!$A$1:$M$38</definedName>
    <definedName name="外部資料_478" localSheetId="8">EPS資料!$A$1:$M$38</definedName>
    <definedName name="外部資料_479" localSheetId="8">EPS資料!$A$1:$M$43</definedName>
    <definedName name="外部資料_48" localSheetId="8">EPS資料!$A$1:$M$40</definedName>
    <definedName name="外部資料_480" localSheetId="8">EPS資料!$A$1:$M$41</definedName>
    <definedName name="外部資料_481" localSheetId="8">EPS資料!$A$1:$M$40</definedName>
    <definedName name="外部資料_482" localSheetId="8">EPS資料!$A$1:$M$38</definedName>
    <definedName name="外部資料_483" localSheetId="8">EPS資料!$A$1:$M$39</definedName>
    <definedName name="外部資料_484" localSheetId="8">EPS資料!$A$1:$M$39</definedName>
    <definedName name="外部資料_485" localSheetId="8">EPS資料!$A$1:$M$40</definedName>
    <definedName name="外部資料_486" localSheetId="8">EPS資料!$A$1:$M$37</definedName>
    <definedName name="外部資料_487" localSheetId="8">EPS資料!$A$1:$M$38</definedName>
    <definedName name="外部資料_488" localSheetId="8">EPS資料!$A$1:$M$30</definedName>
    <definedName name="外部資料_489" localSheetId="8">EPS資料!$A$1:$M$39</definedName>
    <definedName name="外部資料_49" localSheetId="8">EPS資料!$A$1:$M$41</definedName>
    <definedName name="外部資料_490" localSheetId="8">EPS資料!$A$1:$M$41</definedName>
    <definedName name="外部資料_491" localSheetId="8">EPS資料!$A$1:$M$37</definedName>
    <definedName name="外部資料_492" localSheetId="8">EPS資料!$A$1:$M$34</definedName>
    <definedName name="外部資料_493" localSheetId="8">EPS資料!$A$1:$M$32</definedName>
    <definedName name="外部資料_494" localSheetId="8">EPS資料!$A$1:$M$40</definedName>
    <definedName name="外部資料_495" localSheetId="8">EPS資料!$A$1:$M$40</definedName>
    <definedName name="外部資料_496" localSheetId="8">EPS資料!$A$1:$M$31</definedName>
    <definedName name="外部資料_497" localSheetId="8">EPS資料!$A$1:$M$38</definedName>
    <definedName name="外部資料_498" localSheetId="8">EPS資料!$A$1:$M$38</definedName>
    <definedName name="外部資料_499" localSheetId="8">EPS資料!$A$1:$M$39</definedName>
    <definedName name="外部資料_5" localSheetId="8">EPS資料!$A$1:$M$40</definedName>
    <definedName name="外部資料_50" localSheetId="8">EPS資料!$A$1:$M$39</definedName>
    <definedName name="外部資料_500" localSheetId="8">EPS資料!$A$1:$M$39</definedName>
    <definedName name="外部資料_501" localSheetId="8">EPS資料!$A$1:$M$42</definedName>
    <definedName name="外部資料_502" localSheetId="8">EPS資料!$A$1:$M$34</definedName>
    <definedName name="外部資料_503" localSheetId="8">EPS資料!$A$1:$M$37</definedName>
    <definedName name="外部資料_504" localSheetId="8">EPS資料!$A$1:$M$36</definedName>
    <definedName name="外部資料_505" localSheetId="8">EPS資料!$A$1:$M$32</definedName>
    <definedName name="外部資料_506" localSheetId="8">EPS資料!$A$1:$M$37</definedName>
    <definedName name="外部資料_507" localSheetId="8">EPS資料!$A$1:$M$36</definedName>
    <definedName name="外部資料_508" localSheetId="8">EPS資料!$A$1:$M$36</definedName>
    <definedName name="外部資料_509" localSheetId="8">EPS資料!$A$1:$M$36</definedName>
    <definedName name="外部資料_51" localSheetId="8">EPS資料!$A$1:$M$36</definedName>
    <definedName name="外部資料_510" localSheetId="8">EPS資料!$A$1:$M$40</definedName>
    <definedName name="外部資料_511" localSheetId="8">EPS資料!$A$1:$M$32</definedName>
    <definedName name="外部資料_512" localSheetId="8">EPS資料!$A$1:$M$35</definedName>
    <definedName name="外部資料_513" localSheetId="8">EPS資料!$A$1:$M$34</definedName>
    <definedName name="外部資料_514" localSheetId="8">EPS資料!$A$1:$M$39</definedName>
    <definedName name="外部資料_515" localSheetId="8">EPS資料!$A$1:$M$38</definedName>
    <definedName name="外部資料_516" localSheetId="8">EPS資料!$A$1:$M$42</definedName>
    <definedName name="外部資料_517" localSheetId="8">EPS資料!$A$1:$M$36</definedName>
    <definedName name="外部資料_518" localSheetId="8">EPS資料!$A$1:$M$40</definedName>
    <definedName name="外部資料_519" localSheetId="8">EPS資料!$A$1:$M$40</definedName>
    <definedName name="外部資料_52" localSheetId="8">EPS資料!$A$1:$M$35</definedName>
    <definedName name="外部資料_520" localSheetId="8">EPS資料!$A$1:$M$41</definedName>
    <definedName name="外部資料_521" localSheetId="8">EPS資料!$A$1:$M$41</definedName>
    <definedName name="外部資料_522" localSheetId="8">EPS資料!$A$1:$M$41</definedName>
    <definedName name="外部資料_523" localSheetId="8">EPS資料!$A$1:$M$40</definedName>
    <definedName name="外部資料_524" localSheetId="8">EPS資料!$A$1:$M$41</definedName>
    <definedName name="外部資料_525" localSheetId="8">EPS資料!$A$1:$M$40</definedName>
    <definedName name="外部資料_526" localSheetId="8">EPS資料!$A$1:$M$38</definedName>
    <definedName name="外部資料_527" localSheetId="8">EPS資料!$A$1:$M$39</definedName>
    <definedName name="外部資料_528" localSheetId="8">EPS資料!$A$1:$M$40</definedName>
    <definedName name="外部資料_529" localSheetId="8">EPS資料!$A$1:$M$42</definedName>
    <definedName name="外部資料_53" localSheetId="8">EPS資料!$A$1:$M$42</definedName>
    <definedName name="外部資料_530" localSheetId="8">EPS資料!$A$1:$M$40</definedName>
    <definedName name="外部資料_531" localSheetId="8">EPS資料!$A$1:$M$39</definedName>
    <definedName name="外部資料_532" localSheetId="8">EPS資料!$A$1:$M$41</definedName>
    <definedName name="外部資料_533" localSheetId="8">EPS資料!$A$1:$M$38</definedName>
    <definedName name="外部資料_534" localSheetId="8">EPS資料!$A$1:$M$43</definedName>
    <definedName name="外部資料_535" localSheetId="8">EPS資料!$A$1:$M$40</definedName>
    <definedName name="外部資料_536" localSheetId="8">EPS資料!$A$1:$M$43</definedName>
    <definedName name="外部資料_537" localSheetId="8">EPS資料!$A$1:$M$39</definedName>
    <definedName name="外部資料_538" localSheetId="8">EPS資料!$A$1:$M$39</definedName>
    <definedName name="外部資料_539" localSheetId="8">EPS資料!$A$1:$M$41</definedName>
    <definedName name="外部資料_54" localSheetId="8">EPS資料!$A$1:$M$40</definedName>
    <definedName name="外部資料_540" localSheetId="8">EPS資料!$A$1:$M$41</definedName>
    <definedName name="外部資料_541" localSheetId="8">EPS資料!$A$1:$M$40</definedName>
    <definedName name="外部資料_542" localSheetId="8">EPS資料!$A$1:$M$40</definedName>
    <definedName name="外部資料_543" localSheetId="8">EPS資料!$A$1:$M$39</definedName>
    <definedName name="外部資料_544" localSheetId="8">EPS資料!$A$1:$M$40</definedName>
    <definedName name="外部資料_545" localSheetId="8">EPS資料!$A$1:$M$39</definedName>
    <definedName name="外部資料_546" localSheetId="8">EPS資料!$A$1:$M$41</definedName>
    <definedName name="外部資料_547" localSheetId="8">EPS資料!$A$1:$M$40</definedName>
    <definedName name="外部資料_548" localSheetId="8">EPS資料!$A$1:$M$41</definedName>
    <definedName name="外部資料_549" localSheetId="8">EPS資料!$A$1:$M$39</definedName>
    <definedName name="外部資料_55" localSheetId="8">EPS資料!$A$1:$M$34</definedName>
    <definedName name="外部資料_550" localSheetId="8">EPS資料!$A$1:$M$36</definedName>
    <definedName name="外部資料_551" localSheetId="8">EPS資料!$A$1:$M$31</definedName>
    <definedName name="外部資料_552" localSheetId="8">EPS資料!$A$1:$M$40</definedName>
    <definedName name="外部資料_553" localSheetId="8">EPS資料!$A$1:$M$35</definedName>
    <definedName name="外部資料_554" localSheetId="8">EPS資料!$A$1:$M$40</definedName>
    <definedName name="外部資料_555" localSheetId="8">EPS資料!$A$1:$M$40</definedName>
    <definedName name="外部資料_556" localSheetId="8">EPS資料!$A$1:$M$39</definedName>
    <definedName name="外部資料_557" localSheetId="8">EPS資料!$A$1:$M$34</definedName>
    <definedName name="外部資料_558" localSheetId="8">EPS資料!$A$1:$M$38</definedName>
    <definedName name="外部資料_559" localSheetId="8">EPS資料!$A$1:$M$35</definedName>
    <definedName name="外部資料_56" localSheetId="8">EPS資料!$A$1:$M$34</definedName>
    <definedName name="外部資料_560" localSheetId="8">EPS資料!$A$1:$M$38</definedName>
    <definedName name="外部資料_561" localSheetId="8">EPS資料!$A$1:$M$34</definedName>
    <definedName name="外部資料_562" localSheetId="8">EPS資料!$A$1:$M$34</definedName>
    <definedName name="外部資料_563" localSheetId="8">EPS資料!$A$1:$M$36</definedName>
    <definedName name="外部資料_564" localSheetId="8">EPS資料!$A$1:$M$38</definedName>
    <definedName name="外部資料_565" localSheetId="8">EPS資料!$A$1:$M$41</definedName>
    <definedName name="外部資料_566" localSheetId="8">EPS資料!$A$1:$M$38</definedName>
    <definedName name="外部資料_567" localSheetId="8">EPS資料!$A$1:$M$40</definedName>
    <definedName name="外部資料_568" localSheetId="8">EPS資料!$A$1:$M$41</definedName>
    <definedName name="外部資料_569" localSheetId="8">EPS資料!$A$1:$M$43</definedName>
    <definedName name="外部資料_57" localSheetId="8">EPS資料!$A$1:$M$37</definedName>
    <definedName name="外部資料_570" localSheetId="8">EPS資料!$A$1:$M$40</definedName>
    <definedName name="外部資料_571" localSheetId="8">EPS資料!$A$1:$M$30</definedName>
    <definedName name="外部資料_572" localSheetId="8">EPS資料!$A$1:$M$36</definedName>
    <definedName name="外部資料_573" localSheetId="8">EPS資料!$A$1:$M$39</definedName>
    <definedName name="外部資料_574" localSheetId="8">EPS資料!$A$1:$M$41</definedName>
    <definedName name="外部資料_575" localSheetId="8">EPS資料!$A$1:$M$38</definedName>
    <definedName name="外部資料_576" localSheetId="8">EPS資料!$A$1:$M$41</definedName>
    <definedName name="外部資料_577" localSheetId="8">EPS資料!$A$1:$M$36</definedName>
    <definedName name="外部資料_578" localSheetId="8">EPS資料!$A$1:$M$38</definedName>
    <definedName name="外部資料_579" localSheetId="8">EPS資料!$A$1:$M$40</definedName>
    <definedName name="外部資料_58" localSheetId="8">EPS資料!$A$1:$M$40</definedName>
    <definedName name="外部資料_580" localSheetId="8">EPS資料!$A$1:$M$40</definedName>
    <definedName name="外部資料_581" localSheetId="8">EPS資料!$A$1:$M$33</definedName>
    <definedName name="外部資料_582" localSheetId="8">EPS資料!$A$1:$M$37</definedName>
    <definedName name="外部資料_583" localSheetId="8">EPS資料!$A$1:$M$40</definedName>
    <definedName name="外部資料_584" localSheetId="8">EPS資料!$A$1:$M$35</definedName>
    <definedName name="外部資料_585" localSheetId="8">EPS資料!$A$1:$M$41</definedName>
    <definedName name="外部資料_586" localSheetId="8">EPS資料!$A$1:$M$40</definedName>
    <definedName name="外部資料_587" localSheetId="8">EPS資料!$A$1:$M$40</definedName>
    <definedName name="外部資料_588" localSheetId="8">EPS資料!$A$1:$M$41</definedName>
    <definedName name="外部資料_589" localSheetId="8">EPS資料!$A$1:$M$40</definedName>
    <definedName name="外部資料_59" localSheetId="8">EPS資料!$A$1:$M$40</definedName>
    <definedName name="外部資料_590" localSheetId="8">EPS資料!$A$1:$M$40</definedName>
    <definedName name="外部資料_591" localSheetId="8">EPS資料!$A$1:$M$41</definedName>
    <definedName name="外部資料_592" localSheetId="8">EPS資料!$A$1:$M$40</definedName>
    <definedName name="外部資料_593" localSheetId="8">EPS資料!$A$1:$M$42</definedName>
    <definedName name="外部資料_594" localSheetId="8">EPS資料!$A$1:$M$41</definedName>
    <definedName name="外部資料_595" localSheetId="8">EPS資料!$A$1:$M$36</definedName>
    <definedName name="外部資料_596" localSheetId="8">EPS資料!$A$1:$M$40</definedName>
    <definedName name="外部資料_597" localSheetId="8">EPS資料!$A$1:$M$32</definedName>
    <definedName name="外部資料_598" localSheetId="8">EPS資料!$A$1:$M$40</definedName>
    <definedName name="外部資料_599" localSheetId="8">EPS資料!$A$1:$M$28</definedName>
    <definedName name="外部資料_6" localSheetId="8">EPS資料!$A$1:$M$41</definedName>
    <definedName name="外部資料_60" localSheetId="8">EPS資料!$A$1:$M$40</definedName>
    <definedName name="外部資料_600" localSheetId="8">EPS資料!$A$1:$M$41</definedName>
    <definedName name="外部資料_601" localSheetId="8">EPS資料!$A$1:$M$40</definedName>
    <definedName name="外部資料_602" localSheetId="8">EPS資料!$A$1:$M$31</definedName>
    <definedName name="外部資料_603" localSheetId="8">EPS資料!$A$1:$M$36</definedName>
    <definedName name="外部資料_604" localSheetId="8">EPS資料!$A$1:$M$41</definedName>
    <definedName name="外部資料_605" localSheetId="8">EPS資料!$A$1:$M$31</definedName>
    <definedName name="外部資料_606" localSheetId="8">EPS資料!$A$1:$M$37</definedName>
    <definedName name="外部資料_607" localSheetId="8">EPS資料!$A$1:$M$29</definedName>
    <definedName name="外部資料_608" localSheetId="8">EPS資料!$A$1:$M$38</definedName>
    <definedName name="外部資料_609" localSheetId="8">EPS資料!$A$1:$M$32</definedName>
    <definedName name="外部資料_61" localSheetId="8">EPS資料!$A$1:$M$28</definedName>
    <definedName name="外部資料_610" localSheetId="8">EPS資料!$A$1:$M$40</definedName>
    <definedName name="外部資料_611" localSheetId="8">EPS資料!$A$1:$M$40</definedName>
    <definedName name="外部資料_612" localSheetId="8">EPS資料!$A$1:$M$32</definedName>
    <definedName name="外部資料_613" localSheetId="8">EPS資料!$A$1:$M$37</definedName>
    <definedName name="外部資料_614" localSheetId="8">EPS資料!$A$1:$M$39</definedName>
    <definedName name="外部資料_615" localSheetId="8">EPS資料!$A$1:$M$38</definedName>
    <definedName name="外部資料_616" localSheetId="8">EPS資料!$A$1:$M$39</definedName>
    <definedName name="外部資料_617" localSheetId="8">EPS資料!$A$1:$M$30</definedName>
    <definedName name="外部資料_618" localSheetId="8">EPS資料!$A$1:$M$28</definedName>
    <definedName name="外部資料_619" localSheetId="8">EPS資料!$A$1:$M$29</definedName>
    <definedName name="外部資料_62" localSheetId="8">EPS資料!$A$1:$M$41</definedName>
    <definedName name="外部資料_620" localSheetId="8">EPS資料!$A$1:$M$35</definedName>
    <definedName name="外部資料_621" localSheetId="8">EPS資料!$A$1:$M$28</definedName>
    <definedName name="外部資料_622" localSheetId="8">EPS資料!$A$1:$M$40</definedName>
    <definedName name="外部資料_623" localSheetId="8">EPS資料!$A$1:$M$40</definedName>
    <definedName name="外部資料_624" localSheetId="8">EPS資料!$A$1:$M$30</definedName>
    <definedName name="外部資料_625" localSheetId="8">EPS資料!$A$1:$M$28</definedName>
    <definedName name="外部資料_626" localSheetId="8">EPS資料!$A$1:$M$30</definedName>
    <definedName name="外部資料_627" localSheetId="8">EPS資料!$A$1:$M$39</definedName>
    <definedName name="外部資料_628" localSheetId="8">EPS資料!$A$1:$M$28</definedName>
    <definedName name="外部資料_629" localSheetId="8">EPS資料!$A$1:$M$40</definedName>
    <definedName name="外部資料_63" localSheetId="8">EPS資料!$A$1:$M$37</definedName>
    <definedName name="外部資料_630" localSheetId="8">EPS資料!$A$1:$M$39</definedName>
    <definedName name="外部資料_631" localSheetId="8">EPS資料!$A$1:$M$40</definedName>
    <definedName name="外部資料_632" localSheetId="8">EPS資料!$A$1:$M$40</definedName>
    <definedName name="外部資料_633" localSheetId="8">EPS資料!$A$1:$M$28</definedName>
    <definedName name="外部資料_634" localSheetId="8">EPS資料!$A$1:$M$40</definedName>
    <definedName name="外部資料_635" localSheetId="8">EPS資料!$A$1:$M$40</definedName>
    <definedName name="外部資料_636" localSheetId="8">EPS資料!$A$1:$M$28</definedName>
    <definedName name="外部資料_637" localSheetId="8">EPS資料!$A$1:$M$40</definedName>
    <definedName name="外部資料_638" localSheetId="8">EPS資料!$A$1:$M$37</definedName>
    <definedName name="外部資料_639" localSheetId="8">EPS資料!$A$1:$M$36</definedName>
    <definedName name="外部資料_64" localSheetId="8">EPS資料!$A$1:$M$34</definedName>
    <definedName name="外部資料_640" localSheetId="8">EPS資料!$A$1:$M$40</definedName>
    <definedName name="外部資料_641" localSheetId="8">EPS資料!$A$1:$M$40</definedName>
    <definedName name="外部資料_642" localSheetId="8">EPS資料!$A$1:$M$39</definedName>
    <definedName name="外部資料_643" localSheetId="8">EPS資料!$A$1:$M$38</definedName>
    <definedName name="外部資料_644" localSheetId="8">EPS資料!$A$1:$M$40</definedName>
    <definedName name="外部資料_645" localSheetId="8">EPS資料!$A$1:$M$32</definedName>
    <definedName name="外部資料_646" localSheetId="8">EPS資料!$A$1:$M$39</definedName>
    <definedName name="外部資料_647" localSheetId="8">EPS資料!$A$1:$M$32</definedName>
    <definedName name="外部資料_648" localSheetId="8">EPS資料!$A$1:$M$38</definedName>
    <definedName name="外部資料_649" localSheetId="8">EPS資料!$A$1:$M$35</definedName>
    <definedName name="外部資料_65" localSheetId="8">EPS資料!$A$1:$M$28</definedName>
    <definedName name="外部資料_650" localSheetId="8">EPS資料!$A$1:$M$39</definedName>
    <definedName name="外部資料_651" localSheetId="8">EPS資料!$A$1:$M$40</definedName>
    <definedName name="外部資料_652" localSheetId="8">EPS資料!$A$1:$M$35</definedName>
    <definedName name="外部資料_653" localSheetId="8">EPS資料!$A$1:$M$28</definedName>
    <definedName name="外部資料_654" localSheetId="8">EPS資料!$A$1:$M$37</definedName>
    <definedName name="外部資料_655" localSheetId="8">EPS資料!$A$1:$M$33</definedName>
    <definedName name="外部資料_656" localSheetId="8">EPS資料!$A$1:$M$40</definedName>
    <definedName name="外部資料_657" localSheetId="8">EPS資料!$A$1:$M$29</definedName>
    <definedName name="外部資料_658" localSheetId="8">EPS資料!$A$1:$M$30</definedName>
    <definedName name="外部資料_659" localSheetId="8">EPS資料!$A$1:$M$31</definedName>
    <definedName name="外部資料_66" localSheetId="8">EPS資料!$A$1:$M$41</definedName>
    <definedName name="外部資料_660" localSheetId="8">EPS資料!$A$1:$M$41</definedName>
    <definedName name="外部資料_661" localSheetId="8">EPS資料!$A$1:$M$32</definedName>
    <definedName name="外部資料_662" localSheetId="8">EPS資料!$A$1:$M$41</definedName>
    <definedName name="外部資料_663" localSheetId="8">EPS資料!$A$1:$M$40</definedName>
    <definedName name="外部資料_664" localSheetId="8">EPS資料!$A$1:$M$40</definedName>
    <definedName name="外部資料_665" localSheetId="8">EPS資料!$A$1:$M$40</definedName>
    <definedName name="外部資料_666" localSheetId="8">EPS資料!$A$1:$M$40</definedName>
    <definedName name="外部資料_667" localSheetId="8">EPS資料!$A$1:$M$30</definedName>
    <definedName name="外部資料_668" localSheetId="8">EPS資料!$A$1:$M$40</definedName>
    <definedName name="外部資料_669" localSheetId="8">EPS資料!$A$1:$M$30</definedName>
    <definedName name="外部資料_67" localSheetId="8">EPS資料!$A$1:$M$32</definedName>
    <definedName name="外部資料_670" localSheetId="8">EPS資料!$A$1:$M$37</definedName>
    <definedName name="外部資料_671" localSheetId="8">EPS資料!$A$1:$M$40</definedName>
    <definedName name="外部資料_672" localSheetId="8">EPS資料!$A$1:$M$29</definedName>
    <definedName name="外部資料_673" localSheetId="8">EPS資料!$A$1:$M$29</definedName>
    <definedName name="外部資料_674" localSheetId="8">EPS資料!$A$1:$M$29</definedName>
    <definedName name="外部資料_675" localSheetId="8">EPS資料!$A$1:$M$40</definedName>
    <definedName name="外部資料_676" localSheetId="8">EPS資料!$A$1:$M$37</definedName>
    <definedName name="外部資料_677" localSheetId="8">EPS資料!$A$1:$M$35</definedName>
    <definedName name="外部資料_678" localSheetId="8">EPS資料!$A$1:$M$37</definedName>
    <definedName name="外部資料_679" localSheetId="8">EPS資料!$A$1:$M$31</definedName>
    <definedName name="外部資料_68" localSheetId="8">EPS資料!$A$1:$M$30</definedName>
    <definedName name="外部資料_680" localSheetId="8">EPS資料!$A$1:$M$40</definedName>
    <definedName name="外部資料_681" localSheetId="8">EPS資料!$A$1:$M$29</definedName>
    <definedName name="外部資料_682" localSheetId="8">EPS資料!$A$1:$M$40</definedName>
    <definedName name="外部資料_683" localSheetId="8">EPS資料!$A$1:$M$40</definedName>
    <definedName name="外部資料_684" localSheetId="8">EPS資料!$A$1:$M$40</definedName>
    <definedName name="外部資料_685" localSheetId="8">EPS資料!$A$1:$M$33</definedName>
    <definedName name="外部資料_686" localSheetId="8">EPS資料!$A$1:$M$32</definedName>
    <definedName name="外部資料_687" localSheetId="8">EPS資料!$A$1:$M$39</definedName>
    <definedName name="外部資料_688" localSheetId="8">EPS資料!$A$1:$M$34</definedName>
    <definedName name="外部資料_689" localSheetId="8">EPS資料!$A$1:$M$34</definedName>
    <definedName name="外部資料_69" localSheetId="8">EPS資料!$A$1:$M$41</definedName>
    <definedName name="外部資料_690" localSheetId="8">EPS資料!$A$1:$M$38</definedName>
    <definedName name="外部資料_691" localSheetId="8">EPS資料!$A$1:$M$28</definedName>
    <definedName name="外部資料_692" localSheetId="8">EPS資料!$A$1:$M$28</definedName>
    <definedName name="外部資料_693" localSheetId="8">EPS資料!$A$1:$M$45</definedName>
    <definedName name="外部資料_694" localSheetId="8">EPS資料!$A$1:$M$38</definedName>
    <definedName name="外部資料_695" localSheetId="8">EPS資料!$A$1:$M$40</definedName>
    <definedName name="外部資料_696" localSheetId="8">EPS資料!$A$1:$M$36</definedName>
    <definedName name="外部資料_697" localSheetId="8">EPS資料!$A$1:$M$35</definedName>
    <definedName name="外部資料_698" localSheetId="8">EPS資料!$A$1:$M$36</definedName>
    <definedName name="外部資料_699" localSheetId="8">EPS資料!$A$1:$M$39</definedName>
    <definedName name="外部資料_7" localSheetId="8">EPS資料!$A$1:$M$36</definedName>
    <definedName name="外部資料_70" localSheetId="8">EPS資料!$A$1:$M$37</definedName>
    <definedName name="外部資料_700" localSheetId="8">EPS資料!$A$1:$M$40</definedName>
    <definedName name="外部資料_701" localSheetId="8">EPS資料!$A$1:$M$40</definedName>
    <definedName name="外部資料_702" localSheetId="8">EPS資料!$A$1:$M$28</definedName>
    <definedName name="外部資料_703" localSheetId="8">EPS資料!$A$1:$M$39</definedName>
    <definedName name="外部資料_704" localSheetId="8">EPS資料!$A$1:$M$35</definedName>
    <definedName name="外部資料_705" localSheetId="8">EPS資料!$A$1:$M$38</definedName>
    <definedName name="外部資料_706" localSheetId="8">EPS資料!$A$1:$M$28</definedName>
    <definedName name="外部資料_707" localSheetId="8">EPS資料!$A$1:$M$33</definedName>
    <definedName name="外部資料_708" localSheetId="8">EPS資料!$A$1:$M$34</definedName>
    <definedName name="外部資料_709" localSheetId="8">EPS資料!$A$1:$M$32</definedName>
    <definedName name="外部資料_71" localSheetId="8">EPS資料!$A$1:$M$35</definedName>
    <definedName name="外部資料_710" localSheetId="8">EPS資料!$A$1:$M$40</definedName>
    <definedName name="外部資料_711" localSheetId="8">EPS資料!$A$1:$M$40</definedName>
    <definedName name="外部資料_712" localSheetId="8">EPS資料!$A$1:$M$32</definedName>
    <definedName name="外部資料_713" localSheetId="8">EPS資料!$A$1:$M$40</definedName>
    <definedName name="外部資料_714" localSheetId="8">EPS資料!$A$1:$M$41</definedName>
    <definedName name="外部資料_715" localSheetId="8">EPS資料!$A$1:$M$29</definedName>
    <definedName name="外部資料_716" localSheetId="8">EPS資料!$A$1:$M$41</definedName>
    <definedName name="外部資料_717" localSheetId="8">EPS資料!$A$1:$M$37</definedName>
    <definedName name="外部資料_718" localSheetId="8">EPS資料!$A$1:$M$40</definedName>
    <definedName name="外部資料_719" localSheetId="8">EPS資料!$A$1:$M$37</definedName>
    <definedName name="外部資料_72" localSheetId="8">EPS資料!$A$1:$M$29</definedName>
    <definedName name="外部資料_720" localSheetId="8">EPS資料!$A$1:$M$40</definedName>
    <definedName name="外部資料_721" localSheetId="8">EPS資料!$A$1:$M$39</definedName>
    <definedName name="外部資料_722" localSheetId="8">EPS資料!$A$1:$M$33</definedName>
    <definedName name="外部資料_723" localSheetId="8">EPS資料!$A$1:$M$39</definedName>
    <definedName name="外部資料_724" localSheetId="8">EPS資料!$A$1:$M$30</definedName>
    <definedName name="外部資料_725" localSheetId="8">EPS資料!$A$1:$M$40</definedName>
    <definedName name="外部資料_726" localSheetId="8">EPS資料!$A$1:$M$36</definedName>
    <definedName name="外部資料_727" localSheetId="8">EPS資料!$A$1:$M$40</definedName>
    <definedName name="外部資料_728" localSheetId="8">EPS資料!$A$1:$M$34</definedName>
    <definedName name="外部資料_729" localSheetId="8">EPS資料!$A$1:$M$40</definedName>
    <definedName name="外部資料_73" localSheetId="8">EPS資料!$A$1:$M$38</definedName>
    <definedName name="外部資料_730" localSheetId="8">EPS資料!$A$1:$M$40</definedName>
    <definedName name="外部資料_731" localSheetId="8">EPS資料!$A$1:$M$40</definedName>
    <definedName name="外部資料_732" localSheetId="8">EPS資料!$A$1:$M$39</definedName>
    <definedName name="外部資料_733" localSheetId="8">EPS資料!$A$1:$M$36</definedName>
    <definedName name="外部資料_734" localSheetId="8">EPS資料!$A$1:$M$38</definedName>
    <definedName name="外部資料_735" localSheetId="8">EPS資料!$A$1:$M$40</definedName>
    <definedName name="外部資料_736" localSheetId="8">EPS資料!$A$1:$M$32</definedName>
    <definedName name="外部資料_737" localSheetId="8">EPS資料!$A$1:$M$40</definedName>
    <definedName name="外部資料_738" localSheetId="8">EPS資料!$A$1:$M$40</definedName>
    <definedName name="外部資料_739" localSheetId="8">EPS資料!$A$1:$M$36</definedName>
    <definedName name="外部資料_74" localSheetId="8">EPS資料!$A$1:$M$39</definedName>
    <definedName name="外部資料_740" localSheetId="8">EPS資料!$A$1:$M$33</definedName>
    <definedName name="外部資料_741" localSheetId="8">EPS資料!$A$1:$M$35</definedName>
    <definedName name="外部資料_742" localSheetId="8">EPS資料!$A$1:$M$36</definedName>
    <definedName name="外部資料_743" localSheetId="8">EPS資料!$A$1:$M$39</definedName>
    <definedName name="外部資料_744" localSheetId="8">EPS資料!$A$1:$M$40</definedName>
    <definedName name="外部資料_745" localSheetId="8">EPS資料!$A$1:$M$41</definedName>
    <definedName name="外部資料_746" localSheetId="8">EPS資料!$A$1:$M$36</definedName>
    <definedName name="外部資料_747" localSheetId="8">EPS資料!$A$1:$M$41</definedName>
    <definedName name="外部資料_748" localSheetId="8">EPS資料!$A$1:$M$40</definedName>
    <definedName name="外部資料_749" localSheetId="8">EPS資料!$A$1:$M$38</definedName>
    <definedName name="外部資料_75" localSheetId="8">EPS資料!$A$1:$M$30</definedName>
    <definedName name="外部資料_750" localSheetId="8">EPS資料!$A$1:$M$32</definedName>
    <definedName name="外部資料_751" localSheetId="8">EPS資料!$A$1:$M$35</definedName>
    <definedName name="外部資料_752" localSheetId="8">EPS資料!$A$1:$M$40</definedName>
    <definedName name="外部資料_753" localSheetId="8">EPS資料!$A$1:$M$37</definedName>
    <definedName name="外部資料_754" localSheetId="8">EPS資料!$A$1:$M$41</definedName>
    <definedName name="外部資料_755" localSheetId="8">EPS資料!$A$1:$M$41</definedName>
    <definedName name="外部資料_756" localSheetId="8">EPS資料!$A$1:$M$34</definedName>
    <definedName name="外部資料_757" localSheetId="8">EPS資料!$A$1:$M$39</definedName>
    <definedName name="外部資料_758" localSheetId="8">EPS資料!$A$1:$M$40</definedName>
    <definedName name="外部資料_759" localSheetId="8">EPS資料!$A$1:$M$38</definedName>
    <definedName name="外部資料_76" localSheetId="8">EPS資料!$A$1:$M$40</definedName>
    <definedName name="外部資料_760" localSheetId="8">EPS資料!$A$1:$M$30</definedName>
    <definedName name="外部資料_761" localSheetId="8">EPS資料!$A$1:$M$35</definedName>
    <definedName name="外部資料_762" localSheetId="8">EPS資料!$A$1:$M$32</definedName>
    <definedName name="外部資料_763" localSheetId="8">EPS資料!$A$1:$M$40</definedName>
    <definedName name="外部資料_764" localSheetId="8">EPS資料!$A$1:$M$34</definedName>
    <definedName name="外部資料_765" localSheetId="8">EPS資料!$A$1:$M$30</definedName>
    <definedName name="外部資料_766" localSheetId="8">EPS資料!$A$1:$M$36</definedName>
    <definedName name="外部資料_767" localSheetId="8">EPS資料!$A$1:$M$34</definedName>
    <definedName name="外部資料_768" localSheetId="8">EPS資料!$A$1:$M$40</definedName>
    <definedName name="外部資料_769" localSheetId="8">EPS資料!$A$1:$M$30</definedName>
    <definedName name="外部資料_77" localSheetId="8">EPS資料!$A$1:$M$28</definedName>
    <definedName name="外部資料_770" localSheetId="8">EPS資料!$A$1:$M$36</definedName>
    <definedName name="外部資料_771" localSheetId="8">EPS資料!$A$1:$M$30</definedName>
    <definedName name="外部資料_772" localSheetId="8">EPS資料!$A$1:$M$28</definedName>
    <definedName name="外部資料_773" localSheetId="8">EPS資料!$A$1:$M$33</definedName>
    <definedName name="外部資料_774" localSheetId="8">EPS資料!$A$1:$M$28</definedName>
    <definedName name="外部資料_775" localSheetId="8">EPS資料!$A$1:$M$40</definedName>
    <definedName name="外部資料_776" localSheetId="8">EPS資料!$A$1:$M$40</definedName>
    <definedName name="外部資料_777" localSheetId="8">EPS資料!$A$1:$M$40</definedName>
    <definedName name="外部資料_778" localSheetId="8">EPS資料!$A$1:$M$40</definedName>
    <definedName name="外部資料_779" localSheetId="8">EPS資料!$A$1:$M$34</definedName>
    <definedName name="外部資料_78" localSheetId="8">EPS資料!$A$1:$M$37</definedName>
    <definedName name="外部資料_780" localSheetId="8">EPS資料!$A$1:$M$40</definedName>
    <definedName name="外部資料_781" localSheetId="8">EPS資料!$A$1:$M$39</definedName>
    <definedName name="外部資料_782" localSheetId="8">EPS資料!$A$1:$M$41</definedName>
    <definedName name="外部資料_783" localSheetId="8">EPS資料!$A$1:$M$33</definedName>
    <definedName name="外部資料_784" localSheetId="8">EPS資料!$A$1:$M$28</definedName>
    <definedName name="外部資料_785" localSheetId="8">EPS資料!$A$1:$M$40</definedName>
    <definedName name="外部資料_786" localSheetId="8">EPS資料!$A$1:$M$40</definedName>
    <definedName name="外部資料_787" localSheetId="8">EPS資料!$A$1:$M$41</definedName>
    <definedName name="外部資料_788" localSheetId="8">EPS資料!$A$1:$M$40</definedName>
    <definedName name="外部資料_789" localSheetId="8">EPS資料!$A$1:$M$40</definedName>
    <definedName name="外部資料_79" localSheetId="8">EPS資料!$A$1:$M$39</definedName>
    <definedName name="外部資料_790" localSheetId="8">EPS資料!$A$1:$M$39</definedName>
    <definedName name="外部資料_791" localSheetId="8">EPS資料!$A$1:$M$41</definedName>
    <definedName name="外部資料_792" localSheetId="8">EPS資料!$A$1:$M$40</definedName>
    <definedName name="外部資料_793" localSheetId="8">EPS資料!$A$1:$M$40</definedName>
    <definedName name="外部資料_794" localSheetId="8">EPS資料!$A$1:$M$38</definedName>
    <definedName name="外部資料_795" localSheetId="8">EPS資料!$A$1:$M$32</definedName>
    <definedName name="外部資料_796" localSheetId="8">EPS資料!$A$1:$M$40</definedName>
    <definedName name="外部資料_797" localSheetId="8">EPS資料!$A$1:$M$34</definedName>
    <definedName name="外部資料_798" localSheetId="8">EPS資料!$A$1:$M$40</definedName>
    <definedName name="外部資料_799" localSheetId="8">EPS資料!$A$1:$M$47</definedName>
    <definedName name="外部資料_8" localSheetId="8">EPS資料!$A$1:$M$40</definedName>
    <definedName name="外部資料_80" localSheetId="8">EPS資料!$A$1:$M$42</definedName>
    <definedName name="外部資料_800" localSheetId="8">EPS資料!$A$1:$M$37</definedName>
    <definedName name="外部資料_801" localSheetId="8">EPS資料!$A$1:$M$40</definedName>
    <definedName name="外部資料_802" localSheetId="8">EPS資料!$A$1:$M$40</definedName>
    <definedName name="外部資料_803" localSheetId="8">EPS資料!$A$1:$M$32</definedName>
    <definedName name="外部資料_804" localSheetId="8">EPS資料!$A$1:$M$39</definedName>
    <definedName name="外部資料_805" localSheetId="8">EPS資料!$A$1:$M$34</definedName>
    <definedName name="外部資料_806" localSheetId="8">EPS資料!$A$1:$M$38</definedName>
    <definedName name="外部資料_807" localSheetId="8">EPS資料!$A$1:$M$40</definedName>
    <definedName name="外部資料_808" localSheetId="8">EPS資料!$A$1:$M$40</definedName>
    <definedName name="外部資料_809" localSheetId="8">EPS資料!$A$1:$M$41</definedName>
    <definedName name="外部資料_81" localSheetId="8">EPS資料!$A$1:$M$32</definedName>
    <definedName name="外部資料_810" localSheetId="8">EPS資料!$A$1:$M$38</definedName>
    <definedName name="外部資料_811" localSheetId="8">EPS資料!$A$1:$M$41</definedName>
    <definedName name="外部資料_812" localSheetId="8">EPS資料!$A$1:$M$28</definedName>
    <definedName name="外部資料_813" localSheetId="8">EPS資料!$A$1:$M$41</definedName>
    <definedName name="外部資料_814" localSheetId="8">EPS資料!$A$1:$M$39</definedName>
    <definedName name="外部資料_815" localSheetId="8">EPS資料!$A$1:$M$39</definedName>
    <definedName name="外部資料_816" localSheetId="8">EPS資料!$A$1:$M$40</definedName>
    <definedName name="外部資料_817" localSheetId="8">EPS資料!$A$1:$M$39</definedName>
    <definedName name="外部資料_818" localSheetId="8">EPS資料!$A$1:$M$33</definedName>
    <definedName name="外部資料_819" localSheetId="8">EPS資料!$A$1:$M$40</definedName>
    <definedName name="外部資料_82" localSheetId="8">EPS資料!$A$1:$M$29</definedName>
    <definedName name="外部資料_820" localSheetId="8">EPS資料!$A$1:$M$36</definedName>
    <definedName name="外部資料_821" localSheetId="8">EPS資料!$A$1:$M$40</definedName>
    <definedName name="外部資料_822" localSheetId="8">EPS資料!$A$1:$M$37</definedName>
    <definedName name="外部資料_823" localSheetId="8">EPS資料!$A$1:$M$34</definedName>
    <definedName name="外部資料_824" localSheetId="8">EPS資料!$A$1:$M$40</definedName>
    <definedName name="外部資料_825" localSheetId="8">EPS資料!$A$1:$M$32</definedName>
    <definedName name="外部資料_826" localSheetId="8">EPS資料!$A$1:$M$40</definedName>
    <definedName name="外部資料_827" localSheetId="8">EPS資料!$A$1:$M$28</definedName>
    <definedName name="外部資料_828" localSheetId="8">EPS資料!$A$1:$M$30</definedName>
    <definedName name="外部資料_829" localSheetId="8">EPS資料!$A$1:$M$32</definedName>
    <definedName name="外部資料_83" localSheetId="8">EPS資料!$A$1:$M$39</definedName>
    <definedName name="外部資料_830" localSheetId="8">EPS資料!$A$1:$M$33</definedName>
    <definedName name="外部資料_831" localSheetId="8">EPS資料!$A$1:$M$40</definedName>
    <definedName name="外部資料_832" localSheetId="8">EPS資料!$A$1:$M$40</definedName>
    <definedName name="外部資料_833" localSheetId="8">EPS資料!$A$1:$M$39</definedName>
    <definedName name="外部資料_834" localSheetId="8">EPS資料!$A$1:$M$40</definedName>
    <definedName name="外部資料_835" localSheetId="8">EPS資料!$A$1:$M$37</definedName>
    <definedName name="外部資料_836" localSheetId="8">EPS資料!$A$1:$M$38</definedName>
    <definedName name="外部資料_837" localSheetId="8">EPS資料!$A$1:$M$29</definedName>
    <definedName name="外部資料_838" localSheetId="8">EPS資料!$A$1:$M$40</definedName>
    <definedName name="外部資料_839" localSheetId="8">EPS資料!$A$1:$M$36</definedName>
    <definedName name="外部資料_84" localSheetId="8">EPS資料!$A$1:$M$40</definedName>
    <definedName name="外部資料_840" localSheetId="8">EPS資料!$A$1:$M$40</definedName>
    <definedName name="外部資料_841" localSheetId="8">EPS資料!$A$1:$M$38</definedName>
    <definedName name="外部資料_842" localSheetId="8">EPS資料!$A$1:$M$36</definedName>
    <definedName name="外部資料_843" localSheetId="8">EPS資料!$A$1:$M$37</definedName>
    <definedName name="外部資料_844" localSheetId="8">EPS資料!$A$1:$M$40</definedName>
    <definedName name="外部資料_845" localSheetId="8">EPS資料!$A$1:$M$45</definedName>
    <definedName name="外部資料_846" localSheetId="8">EPS資料!$A$1:$M$29</definedName>
    <definedName name="外部資料_847" localSheetId="8">EPS資料!$A$1:$M$40</definedName>
    <definedName name="外部資料_848" localSheetId="8">EPS資料!$A$1:$M$35</definedName>
    <definedName name="外部資料_849" localSheetId="8">EPS資料!$A$1:$M$28</definedName>
    <definedName name="外部資料_85" localSheetId="8">EPS資料!$A$1:$M$35</definedName>
    <definedName name="外部資料_850" localSheetId="8">EPS資料!$A$1:$M$34</definedName>
    <definedName name="外部資料_851" localSheetId="8">EPS資料!$A$1:$M$40</definedName>
    <definedName name="外部資料_852" localSheetId="8">EPS資料!$A$1:$M$38</definedName>
    <definedName name="外部資料_853" localSheetId="8">EPS資料!$A$1:$M$37</definedName>
    <definedName name="外部資料_854" localSheetId="8">EPS資料!$A$1:$M$28</definedName>
    <definedName name="外部資料_855" localSheetId="8">EPS資料!$A$1:$M$29</definedName>
    <definedName name="外部資料_856" localSheetId="8">EPS資料!$A$1:$M$40</definedName>
    <definedName name="外部資料_857" localSheetId="8">EPS資料!$A$1:$M$39</definedName>
    <definedName name="外部資料_858" localSheetId="8">EPS資料!$A$1:$M$36</definedName>
    <definedName name="外部資料_859" localSheetId="8">EPS資料!$A$1:$M$42</definedName>
    <definedName name="外部資料_86" localSheetId="8">EPS資料!$A$1:$M$40</definedName>
    <definedName name="外部資料_860" localSheetId="8">EPS資料!$A$1:$M$38</definedName>
    <definedName name="外部資料_861" localSheetId="8">EPS資料!$A$1:$M$34</definedName>
    <definedName name="外部資料_862" localSheetId="8">EPS資料!$A$1:$M$35</definedName>
    <definedName name="外部資料_863" localSheetId="8">EPS資料!$A$1:$M$34</definedName>
    <definedName name="外部資料_864" localSheetId="8">EPS資料!$A$1:$M$29</definedName>
    <definedName name="外部資料_865" localSheetId="8">EPS資料!$A$1:$M$34</definedName>
    <definedName name="外部資料_866" localSheetId="8">EPS資料!$A$1:$M$32</definedName>
    <definedName name="外部資料_867" localSheetId="8">EPS資料!$A$1:$M$28</definedName>
    <definedName name="外部資料_868" localSheetId="8">EPS資料!$A$1:$M$30</definedName>
    <definedName name="外部資料_869" localSheetId="8">EPS資料!$A$1:$M$29</definedName>
    <definedName name="外部資料_87" localSheetId="8">EPS資料!$A$1:$M$39</definedName>
    <definedName name="外部資料_870" localSheetId="8">EPS資料!$A$1:$M$34</definedName>
    <definedName name="外部資料_871" localSheetId="8">EPS資料!$A$1:$M$40</definedName>
    <definedName name="外部資料_872" localSheetId="8">EPS資料!$A$1:$M$40</definedName>
    <definedName name="外部資料_873" localSheetId="8">EPS資料!$A$1:$M$41</definedName>
    <definedName name="外部資料_874" localSheetId="8">EPS資料!$A$1:$M$40</definedName>
    <definedName name="外部資料_875" localSheetId="8">EPS資料!$A$1:$M$29</definedName>
    <definedName name="外部資料_876" localSheetId="8">EPS資料!$A$1:$M$35</definedName>
    <definedName name="外部資料_877" localSheetId="8">EPS資料!$A$1:$M$40</definedName>
    <definedName name="外部資料_878" localSheetId="8">EPS資料!$A$1:$M$38</definedName>
    <definedName name="外部資料_879" localSheetId="8">EPS資料!$A$1:$M$41</definedName>
    <definedName name="外部資料_88" localSheetId="8">EPS資料!$A$1:$M$29</definedName>
    <definedName name="外部資料_880" localSheetId="8">EPS資料!$A$1:$M$40</definedName>
    <definedName name="外部資料_881" localSheetId="8">EPS資料!$A$1:$M$41</definedName>
    <definedName name="外部資料_882" localSheetId="8">EPS資料!$A$1:$M$39</definedName>
    <definedName name="外部資料_883" localSheetId="8">EPS資料!$A$1:$M$35</definedName>
    <definedName name="外部資料_884" localSheetId="8">EPS資料!$A$1:$M$40</definedName>
    <definedName name="外部資料_885" localSheetId="8">EPS資料!$A$1:$M$40</definedName>
    <definedName name="外部資料_886" localSheetId="8">EPS資料!$A$1:$M$32</definedName>
    <definedName name="外部資料_887" localSheetId="8">EPS資料!$A$1:$M$33</definedName>
    <definedName name="外部資料_888" localSheetId="8">EPS資料!$A$1:$M$39</definedName>
    <definedName name="外部資料_889" localSheetId="8">EPS資料!$A$1:$M$39</definedName>
    <definedName name="外部資料_89" localSheetId="8">EPS資料!$A$1:$M$40</definedName>
    <definedName name="外部資料_890" localSheetId="8">EPS資料!$A$1:$M$28</definedName>
    <definedName name="外部資料_891" localSheetId="8">EPS資料!$A$1:$M$41</definedName>
    <definedName name="外部資料_892" localSheetId="8">EPS資料!$A$1:$M$38</definedName>
    <definedName name="外部資料_893" localSheetId="8">EPS資料!$A$1:$M$40</definedName>
    <definedName name="外部資料_894" localSheetId="8">EPS資料!$A$1:$M$36</definedName>
    <definedName name="外部資料_895" localSheetId="8">EPS資料!$A$1:$M$29</definedName>
    <definedName name="外部資料_896" localSheetId="8">EPS資料!$A$1:$M$28</definedName>
    <definedName name="外部資料_897" localSheetId="8">EPS資料!$A$1:$M$38</definedName>
    <definedName name="外部資料_898" localSheetId="8">EPS資料!$A$1:$M$37</definedName>
    <definedName name="外部資料_899" localSheetId="8">EPS資料!$A$1:$M$32</definedName>
    <definedName name="外部資料_9" localSheetId="8">EPS資料!$A$1:$M$40</definedName>
    <definedName name="外部資料_90" localSheetId="8">EPS資料!$A$1:$M$35</definedName>
    <definedName name="外部資料_900" localSheetId="8">EPS資料!$A$1:$M$39</definedName>
    <definedName name="外部資料_901" localSheetId="8">EPS資料!$A$1:$M$28</definedName>
    <definedName name="外部資料_902" localSheetId="8">EPS資料!$A$1:$M$33</definedName>
    <definedName name="外部資料_903" localSheetId="8">EPS資料!$A$1:$M$38</definedName>
    <definedName name="外部資料_904" localSheetId="8">EPS資料!$A$1:$M$37</definedName>
    <definedName name="外部資料_905" localSheetId="8">EPS資料!$A$1:$M$40</definedName>
    <definedName name="外部資料_906" localSheetId="8">EPS資料!$A$1:$M$41</definedName>
    <definedName name="外部資料_907" localSheetId="8">EPS資料!$A$1:$M$30</definedName>
    <definedName name="外部資料_908" localSheetId="8">EPS資料!$A$1:$M$32</definedName>
    <definedName name="外部資料_909" localSheetId="8">EPS資料!$A$1:$M$33</definedName>
    <definedName name="外部資料_91" localSheetId="8">EPS資料!$A$1:$M$35</definedName>
    <definedName name="外部資料_910" localSheetId="8">EPS資料!$A$1:$M$41</definedName>
    <definedName name="外部資料_911" localSheetId="8">EPS資料!$A$1:$M$29</definedName>
    <definedName name="外部資料_912" localSheetId="8">EPS資料!$A$1:$M$41</definedName>
    <definedName name="外部資料_913" localSheetId="8">EPS資料!$A$1:$M$39</definedName>
    <definedName name="外部資料_914" localSheetId="8">EPS資料!$A$1:$M$28</definedName>
    <definedName name="外部資料_915" localSheetId="8">EPS資料!$A$1:$M$37</definedName>
    <definedName name="外部資料_916" localSheetId="8">EPS資料!$A$1:$M$29</definedName>
    <definedName name="外部資料_917" localSheetId="8">EPS資料!$A$1:$M$28</definedName>
    <definedName name="外部資料_918" localSheetId="8">EPS資料!$A$1:$M$40</definedName>
    <definedName name="外部資料_919" localSheetId="8">EPS資料!$A$1:$M$38</definedName>
    <definedName name="外部資料_92" localSheetId="8">EPS資料!$A$1:$M$40</definedName>
    <definedName name="外部資料_920" localSheetId="8">EPS資料!$A$1:$M$35</definedName>
    <definedName name="外部資料_921" localSheetId="8">EPS資料!$A$1:$M$28</definedName>
    <definedName name="外部資料_922" localSheetId="8">EPS資料!$A$1:$M$40</definedName>
    <definedName name="外部資料_923" localSheetId="8">EPS資料!$A$1:$M$41</definedName>
    <definedName name="外部資料_924" localSheetId="8">EPS資料!$A$1:$M$40</definedName>
    <definedName name="外部資料_925" localSheetId="8">EPS資料!$A$1:$M$28</definedName>
    <definedName name="外部資料_926" localSheetId="8">EPS資料!$A$1:$M$29</definedName>
    <definedName name="外部資料_927" localSheetId="8">EPS資料!$A$1:$M$29</definedName>
    <definedName name="外部資料_928" localSheetId="8">EPS資料!$A$1:$M$39</definedName>
    <definedName name="外部資料_929" localSheetId="8">EPS資料!$A$1:$M$41</definedName>
    <definedName name="外部資料_93" localSheetId="8">EPS資料!$A$1:$M$39</definedName>
    <definedName name="外部資料_930" localSheetId="8">EPS資料!$A$1:$M$28</definedName>
    <definedName name="外部資料_931" localSheetId="8">EPS資料!$A$1:$M$42</definedName>
    <definedName name="外部資料_932" localSheetId="8">EPS資料!$A$1:$M$37</definedName>
    <definedName name="外部資料_933" localSheetId="8">EPS資料!$A$1:$M$40</definedName>
    <definedName name="外部資料_934" localSheetId="8">EPS資料!$A$1:$M$37</definedName>
    <definedName name="外部資料_935" localSheetId="8">EPS資料!$A$1:$M$40</definedName>
    <definedName name="外部資料_936" localSheetId="8">EPS資料!$A$1:$M$40</definedName>
    <definedName name="外部資料_937" localSheetId="8">EPS資料!$A$1:$M$32</definedName>
    <definedName name="外部資料_938" localSheetId="8">EPS資料!$A$1:$M$35</definedName>
    <definedName name="外部資料_939" localSheetId="8">EPS資料!$A$1:$M$33</definedName>
    <definedName name="外部資料_94" localSheetId="8">EPS資料!$A$1:$M$40</definedName>
    <definedName name="外部資料_940" localSheetId="8">EPS資料!$A$1:$M$29</definedName>
    <definedName name="外部資料_941" localSheetId="8">EPS資料!$A$1:$M$40</definedName>
    <definedName name="外部資料_942" localSheetId="8">EPS資料!$A$1:$M$37</definedName>
    <definedName name="外部資料_943" localSheetId="8">EPS資料!$A$1:$M$30</definedName>
    <definedName name="外部資料_944" localSheetId="8">EPS資料!$A$1:$M$35</definedName>
    <definedName name="外部資料_945" localSheetId="8">EPS資料!$A$1:$M$38</definedName>
    <definedName name="外部資料_946" localSheetId="8">EPS資料!$A$1:$M$40</definedName>
    <definedName name="外部資料_947" localSheetId="8">EPS資料!$A$1:$M$40</definedName>
    <definedName name="外部資料_948" localSheetId="8">EPS資料!$A$1:$M$29</definedName>
    <definedName name="外部資料_949" localSheetId="8">EPS資料!$A$1:$M$28</definedName>
    <definedName name="外部資料_95" localSheetId="8">EPS資料!$A$1:$M$33</definedName>
    <definedName name="外部資料_950" localSheetId="8">EPS資料!$A$1:$M$40</definedName>
    <definedName name="外部資料_951" localSheetId="8">EPS資料!$A$1:$M$40</definedName>
    <definedName name="外部資料_952" localSheetId="8">EPS資料!$A$1:$M$32</definedName>
    <definedName name="外部資料_953" localSheetId="8">EPS資料!$A$1:$M$40</definedName>
    <definedName name="外部資料_954" localSheetId="8">EPS資料!$A$1:$M$40</definedName>
    <definedName name="外部資料_955" localSheetId="8">EPS資料!$A$1:$M$40</definedName>
    <definedName name="外部資料_956" localSheetId="8">EPS資料!$A$1:$M$36</definedName>
    <definedName name="外部資料_957" localSheetId="8">EPS資料!$A$1:$M$40</definedName>
    <definedName name="外部資料_958" localSheetId="8">EPS資料!$A$1:$M$39</definedName>
    <definedName name="外部資料_959" localSheetId="8">EPS資料!$A$1:$M$37</definedName>
    <definedName name="外部資料_96" localSheetId="8">EPS資料!$A$1:$M$33</definedName>
    <definedName name="外部資料_960" localSheetId="8">EPS資料!$A$1:$M$40</definedName>
    <definedName name="外部資料_961" localSheetId="8">EPS資料!$A$1:$M$39</definedName>
    <definedName name="外部資料_962" localSheetId="8">EPS資料!$A$1:$M$40</definedName>
    <definedName name="外部資料_963" localSheetId="8">EPS資料!$A$1:$M$37</definedName>
    <definedName name="外部資料_964" localSheetId="8">EPS資料!$A$1:$M$36</definedName>
    <definedName name="外部資料_965" localSheetId="8">EPS資料!$A$1:$M$38</definedName>
    <definedName name="外部資料_966" localSheetId="8">EPS資料!$A$1:$M$38</definedName>
    <definedName name="外部資料_967" localSheetId="8">EPS資料!$A$1:$M$40</definedName>
    <definedName name="外部資料_968" localSheetId="8">EPS資料!$A$1:$M$38</definedName>
    <definedName name="外部資料_969" localSheetId="8">EPS資料!$A$1:$M$37</definedName>
    <definedName name="外部資料_97" localSheetId="8">EPS資料!$A$1:$M$28</definedName>
    <definedName name="外部資料_970" localSheetId="8">EPS資料!$A$1:$M$35</definedName>
    <definedName name="外部資料_971" localSheetId="8">EPS資料!$A$1:$M$40</definedName>
    <definedName name="外部資料_972" localSheetId="8">EPS資料!$A$1:$M$34</definedName>
    <definedName name="外部資料_973" localSheetId="8">EPS資料!$A$1:$M$37</definedName>
    <definedName name="外部資料_974" localSheetId="8">EPS資料!$A$1:$M$38</definedName>
    <definedName name="外部資料_975" localSheetId="8">EPS資料!$A$1:$M$36</definedName>
    <definedName name="外部資料_976" localSheetId="8">EPS資料!$A$1:$M$35</definedName>
    <definedName name="外部資料_977" localSheetId="8">EPS資料!$A$1:$M$33</definedName>
    <definedName name="外部資料_978" localSheetId="8">EPS資料!$A$1:$M$36</definedName>
    <definedName name="外部資料_979" localSheetId="8">EPS資料!$A$1:$M$40</definedName>
    <definedName name="外部資料_98" localSheetId="8">EPS資料!$A$1:$M$39</definedName>
    <definedName name="外部資料_980" localSheetId="8">EPS資料!$A$1:$M$34</definedName>
    <definedName name="外部資料_981" localSheetId="8">EPS資料!$A$1:$M$38</definedName>
    <definedName name="外部資料_982" localSheetId="8">EPS資料!$A$1:$M$32</definedName>
    <definedName name="外部資料_983" localSheetId="8">EPS資料!$A$1:$M$31</definedName>
    <definedName name="外部資料_984" localSheetId="8">EPS資料!$A$1:$M$29</definedName>
    <definedName name="外部資料_985" localSheetId="8">EPS資料!$A$1:$M$28</definedName>
    <definedName name="外部資料_986" localSheetId="8">EPS資料!$A$1:$M$28</definedName>
    <definedName name="外部資料_987" localSheetId="8">EPS資料!$A$1:$M$40</definedName>
    <definedName name="外部資料_988" localSheetId="8">EPS資料!$A$1:$M$36</definedName>
    <definedName name="外部資料_989" localSheetId="8">EPS資料!$A$1:$M$40</definedName>
    <definedName name="外部資料_99" localSheetId="8">EPS資料!$A$1:$M$28</definedName>
    <definedName name="外部資料_990" localSheetId="8">EPS資料!$A$1:$M$30</definedName>
    <definedName name="外部資料_991" localSheetId="8">EPS資料!$A$1:$M$38</definedName>
    <definedName name="外部資料_992" localSheetId="8">EPS資料!$A$1:$M$39</definedName>
    <definedName name="外部資料_993" localSheetId="8">EPS資料!$A$1:$M$38</definedName>
    <definedName name="外部資料_994" localSheetId="8">EPS資料!$A$1:$M$40</definedName>
    <definedName name="外部資料_995" localSheetId="8">EPS資料!$A$1:$M$40</definedName>
    <definedName name="外部資料_996" localSheetId="8">EPS資料!$A$1:$M$29</definedName>
    <definedName name="外部資料_997" localSheetId="8">EPS資料!$A$1:$M$38</definedName>
    <definedName name="外部資料_998" localSheetId="8">EPS資料!$A$1:$M$29</definedName>
    <definedName name="外部資料_999" localSheetId="8">EPS資料!$A$1:$M$46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368" l="1"/>
  <c r="I3" i="368"/>
  <c r="J3" i="368"/>
  <c r="H4" i="368"/>
  <c r="I4" i="368"/>
  <c r="J4" i="368"/>
  <c r="H5" i="368"/>
  <c r="I5" i="368"/>
  <c r="J5" i="368"/>
  <c r="H6" i="368"/>
  <c r="I6" i="368"/>
  <c r="J6" i="368"/>
  <c r="H7" i="368"/>
  <c r="I7" i="368"/>
  <c r="J7" i="368"/>
  <c r="H8" i="368"/>
  <c r="I8" i="368"/>
  <c r="J8" i="368"/>
  <c r="H9" i="368"/>
  <c r="I9" i="368"/>
  <c r="J9" i="368"/>
  <c r="H10" i="368"/>
  <c r="I10" i="368"/>
  <c r="J10" i="368"/>
  <c r="H11" i="368"/>
  <c r="I11" i="368"/>
  <c r="J11" i="368"/>
  <c r="H12" i="368"/>
  <c r="I12" i="368"/>
  <c r="J12" i="368"/>
  <c r="H13" i="368"/>
  <c r="I13" i="368"/>
  <c r="J13" i="368"/>
  <c r="H14" i="368"/>
  <c r="I14" i="368"/>
  <c r="J14" i="368"/>
  <c r="H15" i="368"/>
  <c r="I15" i="368"/>
  <c r="J15" i="368"/>
  <c r="H16" i="368"/>
  <c r="I16" i="368"/>
  <c r="J16" i="368"/>
  <c r="H17" i="368"/>
  <c r="I17" i="368"/>
  <c r="J17" i="368"/>
  <c r="H18" i="368"/>
  <c r="I18" i="368"/>
  <c r="J18" i="368"/>
  <c r="H19" i="368"/>
  <c r="I19" i="368"/>
  <c r="J19" i="368"/>
  <c r="H20" i="368"/>
  <c r="I20" i="368"/>
  <c r="J20" i="368"/>
  <c r="H21" i="368"/>
  <c r="I21" i="368"/>
  <c r="J21" i="368"/>
  <c r="H22" i="368"/>
  <c r="I22" i="368"/>
  <c r="J22" i="368"/>
  <c r="H23" i="368"/>
  <c r="I23" i="368"/>
  <c r="J23" i="368"/>
  <c r="H24" i="368"/>
  <c r="I24" i="368"/>
  <c r="J24" i="368"/>
  <c r="H25" i="368"/>
  <c r="I25" i="368"/>
  <c r="J25" i="368"/>
  <c r="H26" i="368"/>
  <c r="I26" i="368"/>
  <c r="J26" i="368"/>
  <c r="H27" i="368"/>
  <c r="I27" i="368"/>
  <c r="J27" i="368"/>
  <c r="H28" i="368"/>
  <c r="I28" i="368"/>
  <c r="J28" i="368"/>
  <c r="H29" i="368"/>
  <c r="I29" i="368"/>
  <c r="J29" i="368"/>
  <c r="H30" i="368"/>
  <c r="I30" i="368"/>
  <c r="J30" i="368"/>
  <c r="H31" i="368"/>
  <c r="I31" i="368"/>
  <c r="J31" i="368"/>
  <c r="H32" i="368"/>
  <c r="I32" i="368"/>
  <c r="J32" i="368"/>
  <c r="H33" i="368"/>
  <c r="I33" i="368"/>
  <c r="J33" i="368"/>
  <c r="H34" i="368"/>
  <c r="I34" i="368"/>
  <c r="J34" i="368"/>
  <c r="H35" i="368"/>
  <c r="I35" i="368"/>
  <c r="J35" i="368"/>
  <c r="H36" i="368"/>
  <c r="I36" i="368"/>
  <c r="J36" i="368"/>
  <c r="H37" i="368"/>
  <c r="I37" i="368"/>
  <c r="J37" i="368"/>
  <c r="H38" i="368"/>
  <c r="I38" i="368"/>
  <c r="J38" i="368"/>
  <c r="H39" i="368"/>
  <c r="I39" i="368"/>
  <c r="J39" i="368"/>
  <c r="H40" i="368"/>
  <c r="I40" i="368"/>
  <c r="J40" i="368"/>
  <c r="H41" i="368"/>
  <c r="I41" i="368"/>
  <c r="J41" i="368"/>
  <c r="H42" i="368"/>
  <c r="I42" i="368"/>
  <c r="J42" i="368"/>
  <c r="H43" i="368"/>
  <c r="I43" i="368"/>
  <c r="J43" i="368"/>
  <c r="H44" i="368"/>
  <c r="I44" i="368"/>
  <c r="J44" i="368"/>
  <c r="H45" i="368"/>
  <c r="I45" i="368"/>
  <c r="J45" i="368"/>
  <c r="H46" i="368"/>
  <c r="I46" i="368"/>
  <c r="J46" i="368"/>
  <c r="H47" i="368"/>
  <c r="I47" i="368"/>
  <c r="J47" i="368"/>
  <c r="H48" i="368"/>
  <c r="I48" i="368"/>
  <c r="J48" i="368"/>
  <c r="H49" i="368"/>
  <c r="I49" i="368"/>
  <c r="J49" i="368"/>
  <c r="H50" i="368"/>
  <c r="I50" i="368"/>
  <c r="J50" i="368"/>
  <c r="H51" i="368"/>
  <c r="I51" i="368"/>
  <c r="J51" i="368"/>
  <c r="H52" i="368"/>
  <c r="I52" i="368"/>
  <c r="J52" i="368"/>
  <c r="H53" i="368"/>
  <c r="I53" i="368"/>
  <c r="J53" i="368"/>
  <c r="H54" i="368"/>
  <c r="I54" i="368"/>
  <c r="J54" i="368"/>
  <c r="H55" i="368"/>
  <c r="I55" i="368"/>
  <c r="J55" i="368"/>
  <c r="H56" i="368"/>
  <c r="I56" i="368"/>
  <c r="J56" i="368"/>
  <c r="H57" i="368"/>
  <c r="I57" i="368"/>
  <c r="J57" i="368"/>
  <c r="H58" i="368"/>
  <c r="I58" i="368"/>
  <c r="J58" i="368"/>
  <c r="H59" i="368"/>
  <c r="I59" i="368"/>
  <c r="J59" i="368"/>
  <c r="H60" i="368"/>
  <c r="I60" i="368"/>
  <c r="J60" i="368"/>
  <c r="H61" i="368"/>
  <c r="I61" i="368"/>
  <c r="J61" i="368"/>
  <c r="H62" i="368"/>
  <c r="I62" i="368"/>
  <c r="J62" i="368"/>
  <c r="H63" i="368"/>
  <c r="I63" i="368"/>
  <c r="J63" i="368"/>
  <c r="H64" i="368"/>
  <c r="I64" i="368"/>
  <c r="J64" i="368"/>
  <c r="H65" i="368"/>
  <c r="I65" i="368"/>
  <c r="J65" i="368"/>
  <c r="H66" i="368"/>
  <c r="I66" i="368"/>
  <c r="J66" i="368"/>
  <c r="H67" i="368"/>
  <c r="I67" i="368"/>
  <c r="J67" i="368"/>
  <c r="H68" i="368"/>
  <c r="I68" i="368"/>
  <c r="J68" i="368"/>
  <c r="H69" i="368"/>
  <c r="I69" i="368"/>
  <c r="J69" i="368"/>
  <c r="H70" i="368"/>
  <c r="I70" i="368"/>
  <c r="J70" i="368"/>
  <c r="H71" i="368"/>
  <c r="I71" i="368"/>
  <c r="J71" i="368"/>
  <c r="H72" i="368"/>
  <c r="I72" i="368"/>
  <c r="J72" i="368"/>
  <c r="H73" i="368"/>
  <c r="I73" i="368"/>
  <c r="J73" i="368"/>
  <c r="H74" i="368"/>
  <c r="I74" i="368"/>
  <c r="J74" i="368"/>
  <c r="H75" i="368"/>
  <c r="I75" i="368"/>
  <c r="J75" i="368"/>
  <c r="H76" i="368"/>
  <c r="I76" i="368"/>
  <c r="J76" i="368"/>
  <c r="H77" i="368"/>
  <c r="I77" i="368"/>
  <c r="J77" i="368"/>
  <c r="H78" i="368"/>
  <c r="I78" i="368"/>
  <c r="J78" i="368"/>
  <c r="H79" i="368"/>
  <c r="I79" i="368"/>
  <c r="J79" i="368"/>
  <c r="H80" i="368"/>
  <c r="I80" i="368"/>
  <c r="J80" i="368"/>
  <c r="H81" i="368"/>
  <c r="I81" i="368"/>
  <c r="J81" i="368"/>
  <c r="H82" i="368"/>
  <c r="I82" i="368"/>
  <c r="J82" i="368"/>
  <c r="H83" i="368"/>
  <c r="I83" i="368"/>
  <c r="J83" i="368"/>
  <c r="H84" i="368"/>
  <c r="I84" i="368"/>
  <c r="J84" i="368"/>
  <c r="H85" i="368"/>
  <c r="I85" i="368"/>
  <c r="J85" i="368"/>
  <c r="H86" i="368"/>
  <c r="I86" i="368"/>
  <c r="J86" i="368"/>
  <c r="H87" i="368"/>
  <c r="I87" i="368"/>
  <c r="J87" i="368"/>
  <c r="H88" i="368"/>
  <c r="I88" i="368"/>
  <c r="J88" i="368"/>
  <c r="H89" i="368"/>
  <c r="I89" i="368"/>
  <c r="J89" i="368"/>
  <c r="H90" i="368"/>
  <c r="I90" i="368"/>
  <c r="J90" i="368"/>
  <c r="H91" i="368"/>
  <c r="I91" i="368"/>
  <c r="J91" i="368"/>
  <c r="H92" i="368"/>
  <c r="I92" i="368"/>
  <c r="J92" i="368"/>
  <c r="H93" i="368"/>
  <c r="I93" i="368"/>
  <c r="J93" i="368"/>
  <c r="H94" i="368"/>
  <c r="I94" i="368"/>
  <c r="J94" i="368"/>
  <c r="H95" i="368"/>
  <c r="I95" i="368"/>
  <c r="J95" i="368"/>
  <c r="H96" i="368"/>
  <c r="I96" i="368"/>
  <c r="J96" i="368"/>
  <c r="H97" i="368"/>
  <c r="I97" i="368"/>
  <c r="J97" i="368"/>
  <c r="H98" i="368"/>
  <c r="I98" i="368"/>
  <c r="J98" i="368"/>
  <c r="H99" i="368"/>
  <c r="I99" i="368"/>
  <c r="J99" i="368"/>
  <c r="H100" i="368"/>
  <c r="I100" i="368"/>
  <c r="J100" i="368"/>
  <c r="H101" i="368"/>
  <c r="I101" i="368"/>
  <c r="J101" i="368"/>
  <c r="H102" i="368"/>
  <c r="I102" i="368"/>
  <c r="J102" i="368"/>
  <c r="H103" i="368"/>
  <c r="I103" i="368"/>
  <c r="J103" i="368"/>
  <c r="H104" i="368"/>
  <c r="I104" i="368"/>
  <c r="J104" i="368"/>
  <c r="H105" i="368"/>
  <c r="I105" i="368"/>
  <c r="J105" i="368"/>
  <c r="H106" i="368"/>
  <c r="I106" i="368"/>
  <c r="J106" i="368"/>
  <c r="H107" i="368"/>
  <c r="I107" i="368"/>
  <c r="J107" i="368"/>
  <c r="H108" i="368"/>
  <c r="I108" i="368"/>
  <c r="J108" i="368"/>
  <c r="H109" i="368"/>
  <c r="I109" i="368"/>
  <c r="J109" i="368"/>
  <c r="H110" i="368"/>
  <c r="I110" i="368"/>
  <c r="J110" i="368"/>
  <c r="H111" i="368"/>
  <c r="I111" i="368"/>
  <c r="J111" i="368"/>
  <c r="H112" i="368"/>
  <c r="I112" i="368"/>
  <c r="J112" i="368"/>
  <c r="H113" i="368"/>
  <c r="I113" i="368"/>
  <c r="J113" i="368"/>
  <c r="H114" i="368"/>
  <c r="I114" i="368"/>
  <c r="J114" i="368"/>
  <c r="H115" i="368"/>
  <c r="I115" i="368"/>
  <c r="J115" i="368"/>
  <c r="H116" i="368"/>
  <c r="I116" i="368"/>
  <c r="J116" i="368"/>
  <c r="H117" i="368"/>
  <c r="I117" i="368"/>
  <c r="J117" i="368"/>
  <c r="H118" i="368"/>
  <c r="I118" i="368"/>
  <c r="J118" i="368"/>
  <c r="H119" i="368"/>
  <c r="I119" i="368"/>
  <c r="J119" i="368"/>
  <c r="H120" i="368"/>
  <c r="I120" i="368"/>
  <c r="J120" i="368"/>
  <c r="H121" i="368"/>
  <c r="I121" i="368"/>
  <c r="J121" i="368"/>
  <c r="H122" i="368"/>
  <c r="I122" i="368"/>
  <c r="J122" i="368"/>
  <c r="H123" i="368"/>
  <c r="I123" i="368"/>
  <c r="J123" i="368"/>
  <c r="H124" i="368"/>
  <c r="I124" i="368"/>
  <c r="J124" i="368"/>
  <c r="H125" i="368"/>
  <c r="I125" i="368"/>
  <c r="J125" i="368"/>
  <c r="H126" i="368"/>
  <c r="I126" i="368"/>
  <c r="J126" i="368"/>
  <c r="H127" i="368"/>
  <c r="I127" i="368"/>
  <c r="J127" i="368"/>
  <c r="H128" i="368"/>
  <c r="I128" i="368"/>
  <c r="J128" i="368"/>
  <c r="H129" i="368"/>
  <c r="I129" i="368"/>
  <c r="J129" i="368"/>
  <c r="H130" i="368"/>
  <c r="I130" i="368"/>
  <c r="J130" i="368"/>
  <c r="H131" i="368"/>
  <c r="I131" i="368"/>
  <c r="J131" i="368"/>
  <c r="H132" i="368"/>
  <c r="I132" i="368"/>
  <c r="J132" i="368"/>
  <c r="H133" i="368"/>
  <c r="I133" i="368"/>
  <c r="J133" i="368"/>
  <c r="H134" i="368"/>
  <c r="I134" i="368"/>
  <c r="J134" i="368"/>
  <c r="H135" i="368"/>
  <c r="I135" i="368"/>
  <c r="J135" i="368"/>
  <c r="H136" i="368"/>
  <c r="I136" i="368"/>
  <c r="J136" i="368"/>
  <c r="H137" i="368"/>
  <c r="I137" i="368"/>
  <c r="J137" i="368"/>
  <c r="H138" i="368"/>
  <c r="I138" i="368"/>
  <c r="J138" i="368"/>
  <c r="H139" i="368"/>
  <c r="I139" i="368"/>
  <c r="J139" i="368"/>
  <c r="H140" i="368"/>
  <c r="I140" i="368"/>
  <c r="J140" i="368"/>
  <c r="H141" i="368"/>
  <c r="I141" i="368"/>
  <c r="J141" i="368"/>
  <c r="H142" i="368"/>
  <c r="I142" i="368"/>
  <c r="J142" i="368"/>
  <c r="H143" i="368"/>
  <c r="I143" i="368"/>
  <c r="J143" i="368"/>
  <c r="H144" i="368"/>
  <c r="I144" i="368"/>
  <c r="J144" i="368"/>
  <c r="H145" i="368"/>
  <c r="I145" i="368"/>
  <c r="J145" i="368"/>
  <c r="H146" i="368"/>
  <c r="I146" i="368"/>
  <c r="J146" i="368"/>
  <c r="H147" i="368"/>
  <c r="I147" i="368"/>
  <c r="J147" i="368"/>
  <c r="H148" i="368"/>
  <c r="I148" i="368"/>
  <c r="J148" i="368"/>
  <c r="H149" i="368"/>
  <c r="I149" i="368"/>
  <c r="J149" i="368"/>
  <c r="H150" i="368"/>
  <c r="I150" i="368"/>
  <c r="J150" i="368"/>
  <c r="H151" i="368"/>
  <c r="I151" i="368"/>
  <c r="J151" i="368"/>
  <c r="H152" i="368"/>
  <c r="I152" i="368"/>
  <c r="J152" i="368"/>
  <c r="H153" i="368"/>
  <c r="I153" i="368"/>
  <c r="J153" i="368"/>
  <c r="H154" i="368"/>
  <c r="I154" i="368"/>
  <c r="J154" i="368"/>
  <c r="H155" i="368"/>
  <c r="I155" i="368"/>
  <c r="J155" i="368"/>
  <c r="H156" i="368"/>
  <c r="I156" i="368"/>
  <c r="J156" i="368"/>
  <c r="H157" i="368"/>
  <c r="I157" i="368"/>
  <c r="J157" i="368"/>
  <c r="H158" i="368"/>
  <c r="I158" i="368"/>
  <c r="J158" i="368"/>
  <c r="H159" i="368"/>
  <c r="I159" i="368"/>
  <c r="J159" i="368"/>
  <c r="H160" i="368"/>
  <c r="I160" i="368"/>
  <c r="J160" i="368"/>
  <c r="H161" i="368"/>
  <c r="I161" i="368"/>
  <c r="J161" i="368"/>
  <c r="H162" i="368"/>
  <c r="I162" i="368"/>
  <c r="J162" i="368"/>
  <c r="H163" i="368"/>
  <c r="I163" i="368"/>
  <c r="J163" i="368"/>
  <c r="H164" i="368"/>
  <c r="I164" i="368"/>
  <c r="J164" i="368"/>
  <c r="H165" i="368"/>
  <c r="I165" i="368"/>
  <c r="J165" i="368"/>
  <c r="H166" i="368"/>
  <c r="I166" i="368"/>
  <c r="J166" i="368"/>
  <c r="H167" i="368"/>
  <c r="I167" i="368"/>
  <c r="J167" i="368"/>
  <c r="H168" i="368"/>
  <c r="I168" i="368"/>
  <c r="J168" i="368"/>
  <c r="H169" i="368"/>
  <c r="I169" i="368"/>
  <c r="J169" i="368"/>
  <c r="H170" i="368"/>
  <c r="I170" i="368"/>
  <c r="J170" i="368"/>
  <c r="H171" i="368"/>
  <c r="I171" i="368"/>
  <c r="J171" i="368"/>
  <c r="H172" i="368"/>
  <c r="I172" i="368"/>
  <c r="J172" i="368"/>
  <c r="H173" i="368"/>
  <c r="I173" i="368"/>
  <c r="J173" i="368"/>
  <c r="H174" i="368"/>
  <c r="I174" i="368"/>
  <c r="J174" i="368"/>
  <c r="H175" i="368"/>
  <c r="I175" i="368"/>
  <c r="J175" i="368"/>
  <c r="H176" i="368"/>
  <c r="I176" i="368"/>
  <c r="J176" i="368"/>
  <c r="H177" i="368"/>
  <c r="I177" i="368"/>
  <c r="J177" i="368"/>
  <c r="H178" i="368"/>
  <c r="I178" i="368"/>
  <c r="J178" i="368"/>
  <c r="H179" i="368"/>
  <c r="I179" i="368"/>
  <c r="J179" i="368"/>
  <c r="H180" i="368"/>
  <c r="I180" i="368"/>
  <c r="J180" i="368"/>
  <c r="H181" i="368"/>
  <c r="I181" i="368"/>
  <c r="J181" i="368"/>
  <c r="H182" i="368"/>
  <c r="I182" i="368"/>
  <c r="J182" i="368"/>
  <c r="H183" i="368"/>
  <c r="I183" i="368"/>
  <c r="J183" i="368"/>
  <c r="H184" i="368"/>
  <c r="I184" i="368"/>
  <c r="J184" i="368"/>
  <c r="H185" i="368"/>
  <c r="I185" i="368"/>
  <c r="J185" i="368"/>
  <c r="H186" i="368"/>
  <c r="I186" i="368"/>
  <c r="J186" i="368"/>
  <c r="H187" i="368"/>
  <c r="I187" i="368"/>
  <c r="J187" i="368"/>
  <c r="H188" i="368"/>
  <c r="I188" i="368"/>
  <c r="J188" i="368"/>
  <c r="H189" i="368"/>
  <c r="I189" i="368"/>
  <c r="J189" i="368"/>
  <c r="H190" i="368"/>
  <c r="I190" i="368"/>
  <c r="J190" i="368"/>
  <c r="H191" i="368"/>
  <c r="I191" i="368"/>
  <c r="J191" i="368"/>
  <c r="H192" i="368"/>
  <c r="I192" i="368"/>
  <c r="J192" i="368"/>
  <c r="H193" i="368"/>
  <c r="I193" i="368"/>
  <c r="J193" i="368"/>
  <c r="H194" i="368"/>
  <c r="I194" i="368"/>
  <c r="J194" i="368"/>
  <c r="H195" i="368"/>
  <c r="I195" i="368"/>
  <c r="J195" i="368"/>
  <c r="H196" i="368"/>
  <c r="I196" i="368"/>
  <c r="J196" i="368"/>
  <c r="H197" i="368"/>
  <c r="I197" i="368"/>
  <c r="J197" i="368"/>
  <c r="H198" i="368"/>
  <c r="I198" i="368"/>
  <c r="J198" i="368"/>
  <c r="H199" i="368"/>
  <c r="I199" i="368"/>
  <c r="J199" i="368"/>
  <c r="H200" i="368"/>
  <c r="I200" i="368"/>
  <c r="J200" i="368"/>
  <c r="H201" i="368"/>
  <c r="I201" i="368"/>
  <c r="J201" i="368"/>
  <c r="H202" i="368"/>
  <c r="I202" i="368"/>
  <c r="J202" i="368"/>
  <c r="H203" i="368"/>
  <c r="I203" i="368"/>
  <c r="J203" i="368"/>
  <c r="H204" i="368"/>
  <c r="I204" i="368"/>
  <c r="J204" i="368"/>
  <c r="H205" i="368"/>
  <c r="I205" i="368"/>
  <c r="J205" i="368"/>
  <c r="H206" i="368"/>
  <c r="I206" i="368"/>
  <c r="J206" i="368"/>
  <c r="H207" i="368"/>
  <c r="I207" i="368"/>
  <c r="J207" i="368"/>
  <c r="H208" i="368"/>
  <c r="I208" i="368"/>
  <c r="J208" i="368"/>
  <c r="H209" i="368"/>
  <c r="I209" i="368"/>
  <c r="J209" i="368"/>
  <c r="H210" i="368"/>
  <c r="I210" i="368"/>
  <c r="J210" i="368"/>
  <c r="H211" i="368"/>
  <c r="I211" i="368"/>
  <c r="J211" i="368"/>
  <c r="H212" i="368"/>
  <c r="I212" i="368"/>
  <c r="J212" i="368"/>
  <c r="H213" i="368"/>
  <c r="I213" i="368"/>
  <c r="J213" i="368"/>
  <c r="H214" i="368"/>
  <c r="I214" i="368"/>
  <c r="J214" i="368"/>
  <c r="H215" i="368"/>
  <c r="I215" i="368"/>
  <c r="J215" i="368"/>
  <c r="H216" i="368"/>
  <c r="I216" i="368"/>
  <c r="J216" i="368"/>
  <c r="H217" i="368"/>
  <c r="I217" i="368"/>
  <c r="J217" i="368"/>
  <c r="H218" i="368"/>
  <c r="I218" i="368"/>
  <c r="J218" i="368"/>
  <c r="H219" i="368"/>
  <c r="I219" i="368"/>
  <c r="J219" i="368"/>
  <c r="H220" i="368"/>
  <c r="I220" i="368"/>
  <c r="J220" i="368"/>
  <c r="H221" i="368"/>
  <c r="I221" i="368"/>
  <c r="J221" i="368"/>
  <c r="H222" i="368"/>
  <c r="I222" i="368"/>
  <c r="J222" i="368"/>
  <c r="H223" i="368"/>
  <c r="I223" i="368"/>
  <c r="J223" i="368"/>
  <c r="H224" i="368"/>
  <c r="I224" i="368"/>
  <c r="J224" i="368"/>
  <c r="H225" i="368"/>
  <c r="I225" i="368"/>
  <c r="J225" i="368"/>
  <c r="H226" i="368"/>
  <c r="I226" i="368"/>
  <c r="J226" i="368"/>
  <c r="H227" i="368"/>
  <c r="I227" i="368"/>
  <c r="J227" i="368"/>
  <c r="H228" i="368"/>
  <c r="I228" i="368"/>
  <c r="J228" i="368"/>
  <c r="H229" i="368"/>
  <c r="I229" i="368"/>
  <c r="J229" i="368"/>
  <c r="H230" i="368"/>
  <c r="I230" i="368"/>
  <c r="J230" i="368"/>
  <c r="H231" i="368"/>
  <c r="I231" i="368"/>
  <c r="J231" i="368"/>
  <c r="H232" i="368"/>
  <c r="I232" i="368"/>
  <c r="J232" i="368"/>
  <c r="H233" i="368"/>
  <c r="I233" i="368"/>
  <c r="J233" i="368"/>
  <c r="H234" i="368"/>
  <c r="I234" i="368"/>
  <c r="J234" i="368"/>
  <c r="H235" i="368"/>
  <c r="I235" i="368"/>
  <c r="J235" i="368"/>
  <c r="H236" i="368"/>
  <c r="I236" i="368"/>
  <c r="J236" i="368"/>
  <c r="H237" i="368"/>
  <c r="I237" i="368"/>
  <c r="J237" i="368"/>
  <c r="H238" i="368"/>
  <c r="I238" i="368"/>
  <c r="J238" i="368"/>
  <c r="H239" i="368"/>
  <c r="I239" i="368"/>
  <c r="J239" i="368"/>
  <c r="H240" i="368"/>
  <c r="I240" i="368"/>
  <c r="J240" i="368"/>
  <c r="H241" i="368"/>
  <c r="I241" i="368"/>
  <c r="J241" i="368"/>
  <c r="H242" i="368"/>
  <c r="I242" i="368"/>
  <c r="J242" i="368"/>
  <c r="H243" i="368"/>
  <c r="I243" i="368"/>
  <c r="J243" i="368"/>
  <c r="H244" i="368"/>
  <c r="I244" i="368"/>
  <c r="J244" i="368"/>
  <c r="H245" i="368"/>
  <c r="I245" i="368"/>
  <c r="J245" i="368"/>
  <c r="H246" i="368"/>
  <c r="I246" i="368"/>
  <c r="J246" i="368"/>
  <c r="H247" i="368"/>
  <c r="I247" i="368"/>
  <c r="J247" i="368"/>
  <c r="H248" i="368"/>
  <c r="I248" i="368"/>
  <c r="J248" i="368"/>
  <c r="H249" i="368"/>
  <c r="I249" i="368"/>
  <c r="J249" i="368"/>
  <c r="H250" i="368"/>
  <c r="I250" i="368"/>
  <c r="J250" i="368"/>
  <c r="H251" i="368"/>
  <c r="I251" i="368"/>
  <c r="J251" i="368"/>
  <c r="H252" i="368"/>
  <c r="I252" i="368"/>
  <c r="J252" i="368"/>
  <c r="H253" i="368"/>
  <c r="I253" i="368"/>
  <c r="J253" i="368"/>
  <c r="H254" i="368"/>
  <c r="I254" i="368"/>
  <c r="J254" i="368"/>
  <c r="H255" i="368"/>
  <c r="I255" i="368"/>
  <c r="J255" i="368"/>
  <c r="H256" i="368"/>
  <c r="I256" i="368"/>
  <c r="J256" i="368"/>
  <c r="H257" i="368"/>
  <c r="I257" i="368"/>
  <c r="J257" i="368"/>
  <c r="H258" i="368"/>
  <c r="I258" i="368"/>
  <c r="J258" i="368"/>
  <c r="H259" i="368"/>
  <c r="I259" i="368"/>
  <c r="J259" i="368"/>
  <c r="H260" i="368"/>
  <c r="I260" i="368"/>
  <c r="J260" i="368"/>
  <c r="H261" i="368"/>
  <c r="I261" i="368"/>
  <c r="J261" i="368"/>
  <c r="H262" i="368"/>
  <c r="I262" i="368"/>
  <c r="J262" i="368"/>
  <c r="H263" i="368"/>
  <c r="I263" i="368"/>
  <c r="J263" i="368"/>
  <c r="H264" i="368"/>
  <c r="I264" i="368"/>
  <c r="J264" i="368"/>
  <c r="H265" i="368"/>
  <c r="I265" i="368"/>
  <c r="J265" i="368"/>
  <c r="H266" i="368"/>
  <c r="I266" i="368"/>
  <c r="J266" i="368"/>
  <c r="H267" i="368"/>
  <c r="I267" i="368"/>
  <c r="J267" i="368"/>
  <c r="H268" i="368"/>
  <c r="I268" i="368"/>
  <c r="J268" i="368"/>
  <c r="H269" i="368"/>
  <c r="I269" i="368"/>
  <c r="J269" i="368"/>
  <c r="H270" i="368"/>
  <c r="I270" i="368"/>
  <c r="J270" i="368"/>
  <c r="H271" i="368"/>
  <c r="I271" i="368"/>
  <c r="J271" i="368"/>
  <c r="H272" i="368"/>
  <c r="I272" i="368"/>
  <c r="J272" i="368"/>
  <c r="H273" i="368"/>
  <c r="I273" i="368"/>
  <c r="J273" i="368"/>
  <c r="H274" i="368"/>
  <c r="I274" i="368"/>
  <c r="J274" i="368"/>
  <c r="H275" i="368"/>
  <c r="I275" i="368"/>
  <c r="J275" i="368"/>
  <c r="H276" i="368"/>
  <c r="I276" i="368"/>
  <c r="J276" i="368"/>
  <c r="H277" i="368"/>
  <c r="I277" i="368"/>
  <c r="J277" i="368"/>
  <c r="H278" i="368"/>
  <c r="I278" i="368"/>
  <c r="J278" i="368"/>
  <c r="H279" i="368"/>
  <c r="I279" i="368"/>
  <c r="J279" i="368"/>
  <c r="H280" i="368"/>
  <c r="I280" i="368"/>
  <c r="J280" i="368"/>
  <c r="H281" i="368"/>
  <c r="I281" i="368"/>
  <c r="J281" i="368"/>
  <c r="H282" i="368"/>
  <c r="I282" i="368"/>
  <c r="J282" i="368"/>
  <c r="H283" i="368"/>
  <c r="I283" i="368"/>
  <c r="J283" i="368"/>
  <c r="H284" i="368"/>
  <c r="I284" i="368"/>
  <c r="J284" i="368"/>
  <c r="H285" i="368"/>
  <c r="I285" i="368"/>
  <c r="J285" i="368"/>
  <c r="H286" i="368"/>
  <c r="I286" i="368"/>
  <c r="J286" i="368"/>
  <c r="H287" i="368"/>
  <c r="I287" i="368"/>
  <c r="J287" i="368"/>
  <c r="H288" i="368"/>
  <c r="I288" i="368"/>
  <c r="J288" i="368"/>
  <c r="H289" i="368"/>
  <c r="I289" i="368"/>
  <c r="J289" i="368"/>
  <c r="H290" i="368"/>
  <c r="I290" i="368"/>
  <c r="J290" i="368"/>
  <c r="H291" i="368"/>
  <c r="I291" i="368"/>
  <c r="J291" i="368"/>
  <c r="H292" i="368"/>
  <c r="I292" i="368"/>
  <c r="J292" i="368"/>
  <c r="H293" i="368"/>
  <c r="I293" i="368"/>
  <c r="J293" i="368"/>
  <c r="H294" i="368"/>
  <c r="I294" i="368"/>
  <c r="J294" i="368"/>
  <c r="H295" i="368"/>
  <c r="I295" i="368"/>
  <c r="J295" i="368"/>
  <c r="H296" i="368"/>
  <c r="I296" i="368"/>
  <c r="J296" i="368"/>
  <c r="H297" i="368"/>
  <c r="I297" i="368"/>
  <c r="J297" i="368"/>
  <c r="H298" i="368"/>
  <c r="I298" i="368"/>
  <c r="J298" i="368"/>
  <c r="H299" i="368"/>
  <c r="I299" i="368"/>
  <c r="J299" i="368"/>
  <c r="H300" i="368"/>
  <c r="I300" i="368"/>
  <c r="J300" i="368"/>
  <c r="H301" i="368"/>
  <c r="I301" i="368"/>
  <c r="J301" i="368"/>
  <c r="H302" i="368"/>
  <c r="I302" i="368"/>
  <c r="J302" i="368"/>
  <c r="H303" i="368"/>
  <c r="I303" i="368"/>
  <c r="J303" i="368"/>
  <c r="H304" i="368"/>
  <c r="I304" i="368"/>
  <c r="J304" i="368"/>
  <c r="H305" i="368"/>
  <c r="I305" i="368"/>
  <c r="J305" i="368"/>
  <c r="H306" i="368"/>
  <c r="I306" i="368"/>
  <c r="J306" i="368"/>
  <c r="H307" i="368"/>
  <c r="I307" i="368"/>
  <c r="J307" i="368"/>
  <c r="H308" i="368"/>
  <c r="I308" i="368"/>
  <c r="J308" i="368"/>
  <c r="H309" i="368"/>
  <c r="I309" i="368"/>
  <c r="J309" i="368"/>
  <c r="H310" i="368"/>
  <c r="I310" i="368"/>
  <c r="J310" i="368"/>
  <c r="H311" i="368"/>
  <c r="I311" i="368"/>
  <c r="J311" i="368"/>
  <c r="H312" i="368"/>
  <c r="I312" i="368"/>
  <c r="J312" i="368"/>
  <c r="H313" i="368"/>
  <c r="I313" i="368"/>
  <c r="J313" i="368"/>
  <c r="H314" i="368"/>
  <c r="I314" i="368"/>
  <c r="J314" i="368"/>
  <c r="H315" i="368"/>
  <c r="I315" i="368"/>
  <c r="J315" i="368"/>
  <c r="H316" i="368"/>
  <c r="I316" i="368"/>
  <c r="J316" i="368"/>
  <c r="H317" i="368"/>
  <c r="I317" i="368"/>
  <c r="J317" i="368"/>
  <c r="H318" i="368"/>
  <c r="I318" i="368"/>
  <c r="J318" i="368"/>
  <c r="H319" i="368"/>
  <c r="I319" i="368"/>
  <c r="J319" i="368"/>
  <c r="H320" i="368"/>
  <c r="I320" i="368"/>
  <c r="J320" i="368"/>
  <c r="H321" i="368"/>
  <c r="I321" i="368"/>
  <c r="J321" i="368"/>
  <c r="H322" i="368"/>
  <c r="I322" i="368"/>
  <c r="J322" i="368"/>
  <c r="H323" i="368"/>
  <c r="I323" i="368"/>
  <c r="J323" i="368"/>
  <c r="H324" i="368"/>
  <c r="I324" i="368"/>
  <c r="J324" i="368"/>
  <c r="H325" i="368"/>
  <c r="I325" i="368"/>
  <c r="J325" i="368"/>
  <c r="H326" i="368"/>
  <c r="I326" i="368"/>
  <c r="J326" i="368"/>
  <c r="H327" i="368"/>
  <c r="I327" i="368"/>
  <c r="J327" i="368"/>
  <c r="H328" i="368"/>
  <c r="I328" i="368"/>
  <c r="J328" i="368"/>
  <c r="H329" i="368"/>
  <c r="I329" i="368"/>
  <c r="J329" i="368"/>
  <c r="H330" i="368"/>
  <c r="I330" i="368"/>
  <c r="J330" i="368"/>
  <c r="H331" i="368"/>
  <c r="I331" i="368"/>
  <c r="J331" i="368"/>
  <c r="H332" i="368"/>
  <c r="I332" i="368"/>
  <c r="J332" i="368"/>
  <c r="H333" i="368"/>
  <c r="I333" i="368"/>
  <c r="J333" i="368"/>
  <c r="H334" i="368"/>
  <c r="I334" i="368"/>
  <c r="J334" i="368"/>
  <c r="H335" i="368"/>
  <c r="I335" i="368"/>
  <c r="J335" i="368"/>
  <c r="H336" i="368"/>
  <c r="I336" i="368"/>
  <c r="J336" i="368"/>
  <c r="H337" i="368"/>
  <c r="I337" i="368"/>
  <c r="J337" i="368"/>
  <c r="H338" i="368"/>
  <c r="I338" i="368"/>
  <c r="J338" i="368"/>
  <c r="H339" i="368"/>
  <c r="I339" i="368"/>
  <c r="J339" i="368"/>
  <c r="H340" i="368"/>
  <c r="I340" i="368"/>
  <c r="J340" i="368"/>
  <c r="H341" i="368"/>
  <c r="I341" i="368"/>
  <c r="J341" i="368"/>
  <c r="H342" i="368"/>
  <c r="I342" i="368"/>
  <c r="J342" i="368"/>
  <c r="H343" i="368"/>
  <c r="I343" i="368"/>
  <c r="J343" i="368"/>
  <c r="H344" i="368"/>
  <c r="I344" i="368"/>
  <c r="J344" i="368"/>
  <c r="H345" i="368"/>
  <c r="I345" i="368"/>
  <c r="J345" i="368"/>
  <c r="H346" i="368"/>
  <c r="I346" i="368"/>
  <c r="J346" i="368"/>
  <c r="H347" i="368"/>
  <c r="I347" i="368"/>
  <c r="J347" i="368"/>
  <c r="H348" i="368"/>
  <c r="I348" i="368"/>
  <c r="J348" i="368"/>
  <c r="H349" i="368"/>
  <c r="I349" i="368"/>
  <c r="J349" i="368"/>
  <c r="H350" i="368"/>
  <c r="I350" i="368"/>
  <c r="J350" i="368"/>
  <c r="H351" i="368"/>
  <c r="I351" i="368"/>
  <c r="J351" i="368"/>
  <c r="H352" i="368"/>
  <c r="I352" i="368"/>
  <c r="J352" i="368"/>
  <c r="H353" i="368"/>
  <c r="I353" i="368"/>
  <c r="J353" i="368"/>
  <c r="H354" i="368"/>
  <c r="I354" i="368"/>
  <c r="J354" i="368"/>
  <c r="H355" i="368"/>
  <c r="I355" i="368"/>
  <c r="J355" i="368"/>
  <c r="H356" i="368"/>
  <c r="I356" i="368"/>
  <c r="J356" i="368"/>
  <c r="H357" i="368"/>
  <c r="I357" i="368"/>
  <c r="J357" i="368"/>
  <c r="H358" i="368"/>
  <c r="I358" i="368"/>
  <c r="J358" i="368"/>
  <c r="H359" i="368"/>
  <c r="I359" i="368"/>
  <c r="J359" i="368"/>
  <c r="H360" i="368"/>
  <c r="I360" i="368"/>
  <c r="J360" i="368"/>
  <c r="H361" i="368"/>
  <c r="I361" i="368"/>
  <c r="J361" i="368"/>
  <c r="H362" i="368"/>
  <c r="I362" i="368"/>
  <c r="J362" i="368"/>
  <c r="H363" i="368"/>
  <c r="I363" i="368"/>
  <c r="J363" i="368"/>
  <c r="H364" i="368"/>
  <c r="I364" i="368"/>
  <c r="J364" i="368"/>
  <c r="H365" i="368"/>
  <c r="I365" i="368"/>
  <c r="J365" i="368"/>
  <c r="H366" i="368"/>
  <c r="I366" i="368"/>
  <c r="J366" i="368"/>
  <c r="H367" i="368"/>
  <c r="I367" i="368"/>
  <c r="J367" i="368"/>
  <c r="H368" i="368"/>
  <c r="I368" i="368"/>
  <c r="J368" i="368"/>
  <c r="H369" i="368"/>
  <c r="I369" i="368"/>
  <c r="J369" i="368"/>
  <c r="H370" i="368"/>
  <c r="I370" i="368"/>
  <c r="J370" i="368"/>
  <c r="H371" i="368"/>
  <c r="I371" i="368"/>
  <c r="J371" i="368"/>
  <c r="H372" i="368"/>
  <c r="I372" i="368"/>
  <c r="J372" i="368"/>
  <c r="H373" i="368"/>
  <c r="I373" i="368"/>
  <c r="J373" i="368"/>
  <c r="H374" i="368"/>
  <c r="I374" i="368"/>
  <c r="J374" i="368"/>
  <c r="H375" i="368"/>
  <c r="I375" i="368"/>
  <c r="J375" i="368"/>
  <c r="H376" i="368"/>
  <c r="I376" i="368"/>
  <c r="J376" i="368"/>
  <c r="H377" i="368"/>
  <c r="I377" i="368"/>
  <c r="J377" i="368"/>
  <c r="H378" i="368"/>
  <c r="I378" i="368"/>
  <c r="J378" i="368"/>
  <c r="H379" i="368"/>
  <c r="I379" i="368"/>
  <c r="J379" i="368"/>
  <c r="H380" i="368"/>
  <c r="I380" i="368"/>
  <c r="J380" i="368"/>
  <c r="H381" i="368"/>
  <c r="I381" i="368"/>
  <c r="J381" i="368"/>
  <c r="H382" i="368"/>
  <c r="I382" i="368"/>
  <c r="J382" i="368"/>
  <c r="H383" i="368"/>
  <c r="I383" i="368"/>
  <c r="J383" i="368"/>
  <c r="H384" i="368"/>
  <c r="I384" i="368"/>
  <c r="J384" i="368"/>
  <c r="H385" i="368"/>
  <c r="I385" i="368"/>
  <c r="J385" i="368"/>
  <c r="H386" i="368"/>
  <c r="I386" i="368"/>
  <c r="J386" i="368"/>
  <c r="H387" i="368"/>
  <c r="I387" i="368"/>
  <c r="J387" i="368"/>
  <c r="H388" i="368"/>
  <c r="I388" i="368"/>
  <c r="J388" i="368"/>
  <c r="H389" i="368"/>
  <c r="I389" i="368"/>
  <c r="J389" i="368"/>
  <c r="H390" i="368"/>
  <c r="I390" i="368"/>
  <c r="J390" i="368"/>
  <c r="H391" i="368"/>
  <c r="I391" i="368"/>
  <c r="J391" i="368"/>
  <c r="H392" i="368"/>
  <c r="I392" i="368"/>
  <c r="J392" i="368"/>
  <c r="H393" i="368"/>
  <c r="I393" i="368"/>
  <c r="J393" i="368"/>
  <c r="H394" i="368"/>
  <c r="I394" i="368"/>
  <c r="J394" i="368"/>
  <c r="H395" i="368"/>
  <c r="I395" i="368"/>
  <c r="J395" i="368"/>
  <c r="H396" i="368"/>
  <c r="I396" i="368"/>
  <c r="J396" i="368"/>
  <c r="H397" i="368"/>
  <c r="I397" i="368"/>
  <c r="J397" i="368"/>
  <c r="H398" i="368"/>
  <c r="I398" i="368"/>
  <c r="J398" i="368"/>
  <c r="H399" i="368"/>
  <c r="I399" i="368"/>
  <c r="J399" i="368"/>
  <c r="H400" i="368"/>
  <c r="I400" i="368"/>
  <c r="J400" i="368"/>
  <c r="H401" i="368"/>
  <c r="I401" i="368"/>
  <c r="J401" i="368"/>
  <c r="H402" i="368"/>
  <c r="I402" i="368"/>
  <c r="J402" i="368"/>
  <c r="H403" i="368"/>
  <c r="I403" i="368"/>
  <c r="J403" i="368"/>
  <c r="H404" i="368"/>
  <c r="I404" i="368"/>
  <c r="J404" i="368"/>
  <c r="H405" i="368"/>
  <c r="I405" i="368"/>
  <c r="J405" i="368"/>
  <c r="H406" i="368"/>
  <c r="I406" i="368"/>
  <c r="J406" i="368"/>
  <c r="H407" i="368"/>
  <c r="I407" i="368"/>
  <c r="J407" i="368"/>
  <c r="H408" i="368"/>
  <c r="I408" i="368"/>
  <c r="J408" i="368"/>
  <c r="H409" i="368"/>
  <c r="I409" i="368"/>
  <c r="J409" i="368"/>
  <c r="H410" i="368"/>
  <c r="I410" i="368"/>
  <c r="J410" i="368"/>
  <c r="H411" i="368"/>
  <c r="I411" i="368"/>
  <c r="J411" i="368"/>
  <c r="H412" i="368"/>
  <c r="I412" i="368"/>
  <c r="J412" i="368"/>
  <c r="H413" i="368"/>
  <c r="I413" i="368"/>
  <c r="J413" i="368"/>
  <c r="H414" i="368"/>
  <c r="I414" i="368"/>
  <c r="J414" i="368"/>
  <c r="H415" i="368"/>
  <c r="I415" i="368"/>
  <c r="J415" i="368"/>
  <c r="H416" i="368"/>
  <c r="I416" i="368"/>
  <c r="J416" i="368"/>
  <c r="H417" i="368"/>
  <c r="I417" i="368"/>
  <c r="J417" i="368"/>
  <c r="H418" i="368"/>
  <c r="I418" i="368"/>
  <c r="J418" i="368"/>
  <c r="H419" i="368"/>
  <c r="I419" i="368"/>
  <c r="J419" i="368"/>
  <c r="H420" i="368"/>
  <c r="I420" i="368"/>
  <c r="J420" i="368"/>
  <c r="H421" i="368"/>
  <c r="I421" i="368"/>
  <c r="J421" i="368"/>
  <c r="H422" i="368"/>
  <c r="I422" i="368"/>
  <c r="J422" i="368"/>
  <c r="H423" i="368"/>
  <c r="I423" i="368"/>
  <c r="J423" i="368"/>
  <c r="H424" i="368"/>
  <c r="I424" i="368"/>
  <c r="J424" i="368"/>
  <c r="H425" i="368"/>
  <c r="I425" i="368"/>
  <c r="J425" i="368"/>
  <c r="H426" i="368"/>
  <c r="I426" i="368"/>
  <c r="J426" i="368"/>
  <c r="H427" i="368"/>
  <c r="I427" i="368"/>
  <c r="J427" i="368"/>
  <c r="H428" i="368"/>
  <c r="I428" i="368"/>
  <c r="J428" i="368"/>
  <c r="H429" i="368"/>
  <c r="I429" i="368"/>
  <c r="J429" i="368"/>
  <c r="H430" i="368"/>
  <c r="I430" i="368"/>
  <c r="J430" i="368"/>
  <c r="H431" i="368"/>
  <c r="I431" i="368"/>
  <c r="J431" i="368"/>
  <c r="H432" i="368"/>
  <c r="I432" i="368"/>
  <c r="J432" i="368"/>
  <c r="H433" i="368"/>
  <c r="I433" i="368"/>
  <c r="J433" i="368"/>
  <c r="H434" i="368"/>
  <c r="I434" i="368"/>
  <c r="J434" i="368"/>
  <c r="H435" i="368"/>
  <c r="I435" i="368"/>
  <c r="J435" i="368"/>
  <c r="H436" i="368"/>
  <c r="I436" i="368"/>
  <c r="J436" i="368"/>
  <c r="H437" i="368"/>
  <c r="I437" i="368"/>
  <c r="J437" i="368"/>
  <c r="H438" i="368"/>
  <c r="I438" i="368"/>
  <c r="J438" i="368"/>
  <c r="H439" i="368"/>
  <c r="I439" i="368"/>
  <c r="J439" i="368"/>
  <c r="H440" i="368"/>
  <c r="I440" i="368"/>
  <c r="J440" i="368"/>
  <c r="H441" i="368"/>
  <c r="I441" i="368"/>
  <c r="J441" i="368"/>
  <c r="H442" i="368"/>
  <c r="I442" i="368"/>
  <c r="J442" i="368"/>
  <c r="H443" i="368"/>
  <c r="I443" i="368"/>
  <c r="J443" i="368"/>
  <c r="H444" i="368"/>
  <c r="I444" i="368"/>
  <c r="J444" i="368"/>
  <c r="H445" i="368"/>
  <c r="I445" i="368"/>
  <c r="J445" i="368"/>
  <c r="H446" i="368"/>
  <c r="I446" i="368"/>
  <c r="J446" i="368"/>
  <c r="H447" i="368"/>
  <c r="I447" i="368"/>
  <c r="J447" i="368"/>
  <c r="H448" i="368"/>
  <c r="I448" i="368"/>
  <c r="J448" i="368"/>
  <c r="H449" i="368"/>
  <c r="I449" i="368"/>
  <c r="J449" i="368"/>
  <c r="H450" i="368"/>
  <c r="I450" i="368"/>
  <c r="J450" i="368"/>
  <c r="H451" i="368"/>
  <c r="I451" i="368"/>
  <c r="J451" i="368"/>
  <c r="H452" i="368"/>
  <c r="I452" i="368"/>
  <c r="J452" i="368"/>
  <c r="H453" i="368"/>
  <c r="I453" i="368"/>
  <c r="J453" i="368"/>
  <c r="H454" i="368"/>
  <c r="I454" i="368"/>
  <c r="J454" i="368"/>
  <c r="H455" i="368"/>
  <c r="I455" i="368"/>
  <c r="J455" i="368"/>
  <c r="H456" i="368"/>
  <c r="I456" i="368"/>
  <c r="J456" i="368"/>
  <c r="H457" i="368"/>
  <c r="I457" i="368"/>
  <c r="J457" i="368"/>
  <c r="H458" i="368"/>
  <c r="I458" i="368"/>
  <c r="J458" i="368"/>
  <c r="H459" i="368"/>
  <c r="I459" i="368"/>
  <c r="J459" i="368"/>
  <c r="H460" i="368"/>
  <c r="I460" i="368"/>
  <c r="J460" i="368"/>
  <c r="H461" i="368"/>
  <c r="I461" i="368"/>
  <c r="J461" i="368"/>
  <c r="H462" i="368"/>
  <c r="I462" i="368"/>
  <c r="J462" i="368"/>
  <c r="H463" i="368"/>
  <c r="I463" i="368"/>
  <c r="J463" i="368"/>
  <c r="H464" i="368"/>
  <c r="I464" i="368"/>
  <c r="J464" i="368"/>
  <c r="H465" i="368"/>
  <c r="I465" i="368"/>
  <c r="J465" i="368"/>
  <c r="H466" i="368"/>
  <c r="I466" i="368"/>
  <c r="J466" i="368"/>
  <c r="H467" i="368"/>
  <c r="I467" i="368"/>
  <c r="J467" i="368"/>
  <c r="H468" i="368"/>
  <c r="I468" i="368"/>
  <c r="J468" i="368"/>
  <c r="H469" i="368"/>
  <c r="I469" i="368"/>
  <c r="J469" i="368"/>
  <c r="H470" i="368"/>
  <c r="I470" i="368"/>
  <c r="J470" i="368"/>
  <c r="H471" i="368"/>
  <c r="I471" i="368"/>
  <c r="J471" i="368"/>
  <c r="H472" i="368"/>
  <c r="I472" i="368"/>
  <c r="J472" i="368"/>
  <c r="H473" i="368"/>
  <c r="I473" i="368"/>
  <c r="J473" i="368"/>
  <c r="H474" i="368"/>
  <c r="I474" i="368"/>
  <c r="J474" i="368"/>
  <c r="H475" i="368"/>
  <c r="I475" i="368"/>
  <c r="J475" i="368"/>
  <c r="H476" i="368"/>
  <c r="I476" i="368"/>
  <c r="J476" i="368"/>
  <c r="H477" i="368"/>
  <c r="I477" i="368"/>
  <c r="J477" i="368"/>
  <c r="H478" i="368"/>
  <c r="I478" i="368"/>
  <c r="J478" i="368"/>
  <c r="H479" i="368"/>
  <c r="I479" i="368"/>
  <c r="J479" i="368"/>
  <c r="H480" i="368"/>
  <c r="I480" i="368"/>
  <c r="J480" i="368"/>
  <c r="H481" i="368"/>
  <c r="I481" i="368"/>
  <c r="J481" i="368"/>
  <c r="H482" i="368"/>
  <c r="I482" i="368"/>
  <c r="J482" i="368"/>
  <c r="H483" i="368"/>
  <c r="I483" i="368"/>
  <c r="J483" i="368"/>
  <c r="H484" i="368"/>
  <c r="I484" i="368"/>
  <c r="J484" i="368"/>
  <c r="H485" i="368"/>
  <c r="I485" i="368"/>
  <c r="J485" i="368"/>
  <c r="H486" i="368"/>
  <c r="I486" i="368"/>
  <c r="J486" i="368"/>
  <c r="H487" i="368"/>
  <c r="I487" i="368"/>
  <c r="J487" i="368"/>
  <c r="H488" i="368"/>
  <c r="I488" i="368"/>
  <c r="J488" i="368"/>
  <c r="H489" i="368"/>
  <c r="I489" i="368"/>
  <c r="J489" i="368"/>
  <c r="H490" i="368"/>
  <c r="I490" i="368"/>
  <c r="J490" i="368"/>
  <c r="H491" i="368"/>
  <c r="I491" i="368"/>
  <c r="J491" i="368"/>
  <c r="H492" i="368"/>
  <c r="I492" i="368"/>
  <c r="J492" i="368"/>
  <c r="H493" i="368"/>
  <c r="I493" i="368"/>
  <c r="J493" i="368"/>
  <c r="H494" i="368"/>
  <c r="I494" i="368"/>
  <c r="J494" i="368"/>
  <c r="H495" i="368"/>
  <c r="I495" i="368"/>
  <c r="J495" i="368"/>
  <c r="H496" i="368"/>
  <c r="I496" i="368"/>
  <c r="J496" i="368"/>
  <c r="H497" i="368"/>
  <c r="I497" i="368"/>
  <c r="J497" i="368"/>
  <c r="H498" i="368"/>
  <c r="I498" i="368"/>
  <c r="J498" i="368"/>
  <c r="H499" i="368"/>
  <c r="I499" i="368"/>
  <c r="J499" i="368"/>
  <c r="H500" i="368"/>
  <c r="I500" i="368"/>
  <c r="J500" i="368"/>
  <c r="H501" i="368"/>
  <c r="I501" i="368"/>
  <c r="J501" i="368"/>
  <c r="H502" i="368"/>
  <c r="I502" i="368"/>
  <c r="J502" i="368"/>
  <c r="H503" i="368"/>
  <c r="I503" i="368"/>
  <c r="J503" i="368"/>
  <c r="H504" i="368"/>
  <c r="I504" i="368"/>
  <c r="J504" i="368"/>
  <c r="H505" i="368"/>
  <c r="I505" i="368"/>
  <c r="J505" i="368"/>
  <c r="H506" i="368"/>
  <c r="I506" i="368"/>
  <c r="J506" i="368"/>
  <c r="H507" i="368"/>
  <c r="I507" i="368"/>
  <c r="J507" i="368"/>
  <c r="H508" i="368"/>
  <c r="I508" i="368"/>
  <c r="J508" i="368"/>
  <c r="H509" i="368"/>
  <c r="I509" i="368"/>
  <c r="J509" i="368"/>
  <c r="H510" i="368"/>
  <c r="I510" i="368"/>
  <c r="J510" i="368"/>
  <c r="H511" i="368"/>
  <c r="I511" i="368"/>
  <c r="J511" i="368"/>
  <c r="H512" i="368"/>
  <c r="I512" i="368"/>
  <c r="J512" i="368"/>
  <c r="H513" i="368"/>
  <c r="I513" i="368"/>
  <c r="J513" i="368"/>
  <c r="H514" i="368"/>
  <c r="I514" i="368"/>
  <c r="J514" i="368"/>
  <c r="H515" i="368"/>
  <c r="I515" i="368"/>
  <c r="J515" i="368"/>
  <c r="H516" i="368"/>
  <c r="I516" i="368"/>
  <c r="J516" i="368"/>
  <c r="H517" i="368"/>
  <c r="I517" i="368"/>
  <c r="J517" i="368"/>
  <c r="H518" i="368"/>
  <c r="I518" i="368"/>
  <c r="J518" i="368"/>
  <c r="H519" i="368"/>
  <c r="I519" i="368"/>
  <c r="J519" i="368"/>
  <c r="H520" i="368"/>
  <c r="I520" i="368"/>
  <c r="J520" i="368"/>
  <c r="H521" i="368"/>
  <c r="I521" i="368"/>
  <c r="J521" i="368"/>
  <c r="H522" i="368"/>
  <c r="I522" i="368"/>
  <c r="J522" i="368"/>
  <c r="H523" i="368"/>
  <c r="I523" i="368"/>
  <c r="J523" i="368"/>
  <c r="H524" i="368"/>
  <c r="I524" i="368"/>
  <c r="J524" i="368"/>
  <c r="H525" i="368"/>
  <c r="I525" i="368"/>
  <c r="J525" i="368"/>
  <c r="H526" i="368"/>
  <c r="I526" i="368"/>
  <c r="J526" i="368"/>
  <c r="H527" i="368"/>
  <c r="I527" i="368"/>
  <c r="J527" i="368"/>
  <c r="H528" i="368"/>
  <c r="I528" i="368"/>
  <c r="J528" i="368"/>
  <c r="H529" i="368"/>
  <c r="I529" i="368"/>
  <c r="J529" i="368"/>
  <c r="H530" i="368"/>
  <c r="I530" i="368"/>
  <c r="J530" i="368"/>
  <c r="H531" i="368"/>
  <c r="I531" i="368"/>
  <c r="J531" i="368"/>
  <c r="H532" i="368"/>
  <c r="I532" i="368"/>
  <c r="J532" i="368"/>
  <c r="H533" i="368"/>
  <c r="I533" i="368"/>
  <c r="J533" i="368"/>
  <c r="H534" i="368"/>
  <c r="I534" i="368"/>
  <c r="J534" i="368"/>
  <c r="H535" i="368"/>
  <c r="I535" i="368"/>
  <c r="J535" i="368"/>
  <c r="H536" i="368"/>
  <c r="I536" i="368"/>
  <c r="J536" i="368"/>
  <c r="H537" i="368"/>
  <c r="I537" i="368"/>
  <c r="J537" i="368"/>
  <c r="H538" i="368"/>
  <c r="I538" i="368"/>
  <c r="J538" i="368"/>
  <c r="H539" i="368"/>
  <c r="I539" i="368"/>
  <c r="J539" i="368"/>
  <c r="H540" i="368"/>
  <c r="I540" i="368"/>
  <c r="J540" i="368"/>
  <c r="H541" i="368"/>
  <c r="I541" i="368"/>
  <c r="J541" i="368"/>
  <c r="H542" i="368"/>
  <c r="I542" i="368"/>
  <c r="J542" i="368"/>
  <c r="H543" i="368"/>
  <c r="I543" i="368"/>
  <c r="J543" i="368"/>
  <c r="H544" i="368"/>
  <c r="I544" i="368"/>
  <c r="J544" i="368"/>
  <c r="H545" i="368"/>
  <c r="I545" i="368"/>
  <c r="J545" i="368"/>
  <c r="H546" i="368"/>
  <c r="I546" i="368"/>
  <c r="J546" i="368"/>
  <c r="H547" i="368"/>
  <c r="I547" i="368"/>
  <c r="J547" i="368"/>
  <c r="H548" i="368"/>
  <c r="I548" i="368"/>
  <c r="J548" i="368"/>
  <c r="H549" i="368"/>
  <c r="I549" i="368"/>
  <c r="J549" i="368"/>
  <c r="H550" i="368"/>
  <c r="I550" i="368"/>
  <c r="J550" i="368"/>
  <c r="H551" i="368"/>
  <c r="I551" i="368"/>
  <c r="J551" i="368"/>
  <c r="H552" i="368"/>
  <c r="I552" i="368"/>
  <c r="J552" i="368"/>
  <c r="H553" i="368"/>
  <c r="I553" i="368"/>
  <c r="J553" i="368"/>
  <c r="H554" i="368"/>
  <c r="I554" i="368"/>
  <c r="J554" i="368"/>
  <c r="H555" i="368"/>
  <c r="I555" i="368"/>
  <c r="J555" i="368"/>
  <c r="H556" i="368"/>
  <c r="I556" i="368"/>
  <c r="J556" i="368"/>
  <c r="H557" i="368"/>
  <c r="I557" i="368"/>
  <c r="J557" i="368"/>
  <c r="H558" i="368"/>
  <c r="I558" i="368"/>
  <c r="J558" i="368"/>
  <c r="H559" i="368"/>
  <c r="I559" i="368"/>
  <c r="J559" i="368"/>
  <c r="H560" i="368"/>
  <c r="I560" i="368"/>
  <c r="J560" i="368"/>
  <c r="H561" i="368"/>
  <c r="I561" i="368"/>
  <c r="J561" i="368"/>
  <c r="H562" i="368"/>
  <c r="I562" i="368"/>
  <c r="J562" i="368"/>
  <c r="H563" i="368"/>
  <c r="I563" i="368"/>
  <c r="J563" i="368"/>
  <c r="H564" i="368"/>
  <c r="I564" i="368"/>
  <c r="J564" i="368"/>
  <c r="H565" i="368"/>
  <c r="I565" i="368"/>
  <c r="J565" i="368"/>
  <c r="H566" i="368"/>
  <c r="I566" i="368"/>
  <c r="J566" i="368"/>
  <c r="H567" i="368"/>
  <c r="I567" i="368"/>
  <c r="J567" i="368"/>
  <c r="H568" i="368"/>
  <c r="I568" i="368"/>
  <c r="J568" i="368"/>
  <c r="H569" i="368"/>
  <c r="I569" i="368"/>
  <c r="J569" i="368"/>
  <c r="H570" i="368"/>
  <c r="I570" i="368"/>
  <c r="J570" i="368"/>
  <c r="H571" i="368"/>
  <c r="I571" i="368"/>
  <c r="J571" i="368"/>
  <c r="H572" i="368"/>
  <c r="I572" i="368"/>
  <c r="J572" i="368"/>
  <c r="H573" i="368"/>
  <c r="I573" i="368"/>
  <c r="J573" i="368"/>
  <c r="H574" i="368"/>
  <c r="I574" i="368"/>
  <c r="J574" i="368"/>
  <c r="H575" i="368"/>
  <c r="I575" i="368"/>
  <c r="J575" i="368"/>
  <c r="H576" i="368"/>
  <c r="I576" i="368"/>
  <c r="J576" i="368"/>
  <c r="H577" i="368"/>
  <c r="I577" i="368"/>
  <c r="J577" i="368"/>
  <c r="H578" i="368"/>
  <c r="I578" i="368"/>
  <c r="J578" i="368"/>
  <c r="H579" i="368"/>
  <c r="I579" i="368"/>
  <c r="J579" i="368"/>
  <c r="H580" i="368"/>
  <c r="I580" i="368"/>
  <c r="J580" i="368"/>
  <c r="H581" i="368"/>
  <c r="I581" i="368"/>
  <c r="J581" i="368"/>
  <c r="H582" i="368"/>
  <c r="I582" i="368"/>
  <c r="J582" i="368"/>
  <c r="H583" i="368"/>
  <c r="I583" i="368"/>
  <c r="J583" i="368"/>
  <c r="H584" i="368"/>
  <c r="I584" i="368"/>
  <c r="J584" i="368"/>
  <c r="H585" i="368"/>
  <c r="I585" i="368"/>
  <c r="J585" i="368"/>
  <c r="H586" i="368"/>
  <c r="I586" i="368"/>
  <c r="J586" i="368"/>
  <c r="H587" i="368"/>
  <c r="I587" i="368"/>
  <c r="J587" i="368"/>
  <c r="H588" i="368"/>
  <c r="I588" i="368"/>
  <c r="J588" i="368"/>
  <c r="H589" i="368"/>
  <c r="I589" i="368"/>
  <c r="J589" i="368"/>
  <c r="H590" i="368"/>
  <c r="I590" i="368"/>
  <c r="J590" i="368"/>
  <c r="H591" i="368"/>
  <c r="I591" i="368"/>
  <c r="J591" i="368"/>
  <c r="H592" i="368"/>
  <c r="I592" i="368"/>
  <c r="J592" i="368"/>
  <c r="H593" i="368"/>
  <c r="I593" i="368"/>
  <c r="J593" i="368"/>
  <c r="H594" i="368"/>
  <c r="I594" i="368"/>
  <c r="J594" i="368"/>
  <c r="H595" i="368"/>
  <c r="I595" i="368"/>
  <c r="J595" i="368"/>
  <c r="H596" i="368"/>
  <c r="I596" i="368"/>
  <c r="J596" i="368"/>
  <c r="H597" i="368"/>
  <c r="I597" i="368"/>
  <c r="J597" i="368"/>
  <c r="H598" i="368"/>
  <c r="I598" i="368"/>
  <c r="J598" i="368"/>
  <c r="H599" i="368"/>
  <c r="I599" i="368"/>
  <c r="J599" i="368"/>
  <c r="H600" i="368"/>
  <c r="I600" i="368"/>
  <c r="J600" i="368"/>
  <c r="H601" i="368"/>
  <c r="I601" i="368"/>
  <c r="J601" i="368"/>
  <c r="H602" i="368"/>
  <c r="I602" i="368"/>
  <c r="J602" i="368"/>
  <c r="H603" i="368"/>
  <c r="I603" i="368"/>
  <c r="J603" i="368"/>
  <c r="H604" i="368"/>
  <c r="I604" i="368"/>
  <c r="J604" i="368"/>
  <c r="H605" i="368"/>
  <c r="I605" i="368"/>
  <c r="J605" i="368"/>
  <c r="H606" i="368"/>
  <c r="I606" i="368"/>
  <c r="J606" i="368"/>
  <c r="H607" i="368"/>
  <c r="I607" i="368"/>
  <c r="J607" i="368"/>
  <c r="H608" i="368"/>
  <c r="I608" i="368"/>
  <c r="J608" i="368"/>
  <c r="H609" i="368"/>
  <c r="I609" i="368"/>
  <c r="J609" i="368"/>
  <c r="H610" i="368"/>
  <c r="I610" i="368"/>
  <c r="J610" i="368"/>
  <c r="H611" i="368"/>
  <c r="I611" i="368"/>
  <c r="J611" i="368"/>
  <c r="H612" i="368"/>
  <c r="I612" i="368"/>
  <c r="J612" i="368"/>
  <c r="H613" i="368"/>
  <c r="I613" i="368"/>
  <c r="J613" i="368"/>
  <c r="H614" i="368"/>
  <c r="I614" i="368"/>
  <c r="J614" i="368"/>
  <c r="H615" i="368"/>
  <c r="I615" i="368"/>
  <c r="J615" i="368"/>
  <c r="H616" i="368"/>
  <c r="I616" i="368"/>
  <c r="J616" i="368"/>
  <c r="H617" i="368"/>
  <c r="I617" i="368"/>
  <c r="J617" i="368"/>
  <c r="H618" i="368"/>
  <c r="I618" i="368"/>
  <c r="J618" i="368"/>
  <c r="H619" i="368"/>
  <c r="I619" i="368"/>
  <c r="J619" i="368"/>
  <c r="H620" i="368"/>
  <c r="I620" i="368"/>
  <c r="J620" i="368"/>
  <c r="H621" i="368"/>
  <c r="I621" i="368"/>
  <c r="J621" i="368"/>
  <c r="H622" i="368"/>
  <c r="I622" i="368"/>
  <c r="J622" i="368"/>
  <c r="H623" i="368"/>
  <c r="I623" i="368"/>
  <c r="J623" i="368"/>
  <c r="H624" i="368"/>
  <c r="I624" i="368"/>
  <c r="J624" i="368"/>
  <c r="H625" i="368"/>
  <c r="I625" i="368"/>
  <c r="J625" i="368"/>
  <c r="H626" i="368"/>
  <c r="I626" i="368"/>
  <c r="J626" i="368"/>
  <c r="H627" i="368"/>
  <c r="I627" i="368"/>
  <c r="J627" i="368"/>
  <c r="H628" i="368"/>
  <c r="I628" i="368"/>
  <c r="J628" i="368"/>
  <c r="H629" i="368"/>
  <c r="I629" i="368"/>
  <c r="J629" i="368"/>
  <c r="H630" i="368"/>
  <c r="I630" i="368"/>
  <c r="J630" i="368"/>
  <c r="H631" i="368"/>
  <c r="I631" i="368"/>
  <c r="J631" i="368"/>
  <c r="H632" i="368"/>
  <c r="I632" i="368"/>
  <c r="J632" i="368"/>
  <c r="H633" i="368"/>
  <c r="I633" i="368"/>
  <c r="J633" i="368"/>
  <c r="H634" i="368"/>
  <c r="I634" i="368"/>
  <c r="J634" i="368"/>
  <c r="H635" i="368"/>
  <c r="I635" i="368"/>
  <c r="J635" i="368"/>
  <c r="H636" i="368"/>
  <c r="I636" i="368"/>
  <c r="J636" i="368"/>
  <c r="H637" i="368"/>
  <c r="I637" i="368"/>
  <c r="J637" i="368"/>
  <c r="H638" i="368"/>
  <c r="I638" i="368"/>
  <c r="J638" i="368"/>
  <c r="H639" i="368"/>
  <c r="I639" i="368"/>
  <c r="J639" i="368"/>
  <c r="H640" i="368"/>
  <c r="I640" i="368"/>
  <c r="J640" i="368"/>
  <c r="H641" i="368"/>
  <c r="I641" i="368"/>
  <c r="J641" i="368"/>
  <c r="H642" i="368"/>
  <c r="I642" i="368"/>
  <c r="J642" i="368"/>
  <c r="H643" i="368"/>
  <c r="I643" i="368"/>
  <c r="J643" i="368"/>
  <c r="H644" i="368"/>
  <c r="I644" i="368"/>
  <c r="J644" i="368"/>
  <c r="H645" i="368"/>
  <c r="I645" i="368"/>
  <c r="J645" i="368"/>
  <c r="H646" i="368"/>
  <c r="I646" i="368"/>
  <c r="J646" i="368"/>
  <c r="H647" i="368"/>
  <c r="I647" i="368"/>
  <c r="J647" i="368"/>
  <c r="H648" i="368"/>
  <c r="I648" i="368"/>
  <c r="J648" i="368"/>
  <c r="H649" i="368"/>
  <c r="I649" i="368"/>
  <c r="J649" i="368"/>
  <c r="H650" i="368"/>
  <c r="I650" i="368"/>
  <c r="J650" i="368"/>
  <c r="H651" i="368"/>
  <c r="I651" i="368"/>
  <c r="J651" i="368"/>
  <c r="H652" i="368"/>
  <c r="I652" i="368"/>
  <c r="J652" i="368"/>
  <c r="H653" i="368"/>
  <c r="I653" i="368"/>
  <c r="J653" i="368"/>
  <c r="H654" i="368"/>
  <c r="I654" i="368"/>
  <c r="J654" i="368"/>
  <c r="H655" i="368"/>
  <c r="I655" i="368"/>
  <c r="J655" i="368"/>
  <c r="H656" i="368"/>
  <c r="I656" i="368"/>
  <c r="J656" i="368"/>
  <c r="H657" i="368"/>
  <c r="I657" i="368"/>
  <c r="J657" i="368"/>
  <c r="H658" i="368"/>
  <c r="I658" i="368"/>
  <c r="J658" i="368"/>
  <c r="H659" i="368"/>
  <c r="I659" i="368"/>
  <c r="J659" i="368"/>
  <c r="H660" i="368"/>
  <c r="I660" i="368"/>
  <c r="J660" i="368"/>
  <c r="H661" i="368"/>
  <c r="I661" i="368"/>
  <c r="J661" i="368"/>
  <c r="H662" i="368"/>
  <c r="I662" i="368"/>
  <c r="J662" i="368"/>
  <c r="H663" i="368"/>
  <c r="I663" i="368"/>
  <c r="J663" i="368"/>
  <c r="H664" i="368"/>
  <c r="I664" i="368"/>
  <c r="J664" i="368"/>
  <c r="H665" i="368"/>
  <c r="I665" i="368"/>
  <c r="J665" i="368"/>
  <c r="H666" i="368"/>
  <c r="I666" i="368"/>
  <c r="J666" i="368"/>
  <c r="H667" i="368"/>
  <c r="I667" i="368"/>
  <c r="J667" i="368"/>
  <c r="H668" i="368"/>
  <c r="I668" i="368"/>
  <c r="J668" i="368"/>
  <c r="H669" i="368"/>
  <c r="I669" i="368"/>
  <c r="J669" i="368"/>
  <c r="H670" i="368"/>
  <c r="I670" i="368"/>
  <c r="J670" i="368"/>
  <c r="H671" i="368"/>
  <c r="I671" i="368"/>
  <c r="J671" i="368"/>
  <c r="H672" i="368"/>
  <c r="I672" i="368"/>
  <c r="J672" i="368"/>
  <c r="H673" i="368"/>
  <c r="I673" i="368"/>
  <c r="J673" i="368"/>
  <c r="H674" i="368"/>
  <c r="I674" i="368"/>
  <c r="J674" i="368"/>
  <c r="H675" i="368"/>
  <c r="I675" i="368"/>
  <c r="J675" i="368"/>
  <c r="H676" i="368"/>
  <c r="I676" i="368"/>
  <c r="J676" i="368"/>
  <c r="H677" i="368"/>
  <c r="I677" i="368"/>
  <c r="J677" i="368"/>
  <c r="H678" i="368"/>
  <c r="I678" i="368"/>
  <c r="J678" i="368"/>
  <c r="H679" i="368"/>
  <c r="I679" i="368"/>
  <c r="J679" i="368"/>
  <c r="H680" i="368"/>
  <c r="I680" i="368"/>
  <c r="J680" i="368"/>
  <c r="H681" i="368"/>
  <c r="I681" i="368"/>
  <c r="J681" i="368"/>
  <c r="H682" i="368"/>
  <c r="I682" i="368"/>
  <c r="J682" i="368"/>
  <c r="H683" i="368"/>
  <c r="I683" i="368"/>
  <c r="J683" i="368"/>
  <c r="H684" i="368"/>
  <c r="I684" i="368"/>
  <c r="J684" i="368"/>
  <c r="H685" i="368"/>
  <c r="I685" i="368"/>
  <c r="J685" i="368"/>
  <c r="H686" i="368"/>
  <c r="I686" i="368"/>
  <c r="J686" i="368"/>
  <c r="H687" i="368"/>
  <c r="I687" i="368"/>
  <c r="J687" i="368"/>
  <c r="H688" i="368"/>
  <c r="I688" i="368"/>
  <c r="J688" i="368"/>
  <c r="H689" i="368"/>
  <c r="I689" i="368"/>
  <c r="J689" i="368"/>
  <c r="H690" i="368"/>
  <c r="I690" i="368"/>
  <c r="J690" i="368"/>
  <c r="H691" i="368"/>
  <c r="I691" i="368"/>
  <c r="J691" i="368"/>
  <c r="H692" i="368"/>
  <c r="I692" i="368"/>
  <c r="J692" i="368"/>
  <c r="H693" i="368"/>
  <c r="I693" i="368"/>
  <c r="J693" i="368"/>
  <c r="H694" i="368"/>
  <c r="I694" i="368"/>
  <c r="J694" i="368"/>
  <c r="H695" i="368"/>
  <c r="I695" i="368"/>
  <c r="J695" i="368"/>
  <c r="H696" i="368"/>
  <c r="I696" i="368"/>
  <c r="J696" i="368"/>
  <c r="H697" i="368"/>
  <c r="I697" i="368"/>
  <c r="J697" i="368"/>
  <c r="H698" i="368"/>
  <c r="I698" i="368"/>
  <c r="J698" i="368"/>
  <c r="H699" i="368"/>
  <c r="I699" i="368"/>
  <c r="J699" i="368"/>
  <c r="H700" i="368"/>
  <c r="I700" i="368"/>
  <c r="J700" i="368"/>
  <c r="H701" i="368"/>
  <c r="I701" i="368"/>
  <c r="J701" i="368"/>
  <c r="H702" i="368"/>
  <c r="I702" i="368"/>
  <c r="J702" i="368"/>
  <c r="H703" i="368"/>
  <c r="I703" i="368"/>
  <c r="J703" i="368"/>
  <c r="H704" i="368"/>
  <c r="I704" i="368"/>
  <c r="J704" i="368"/>
  <c r="H705" i="368"/>
  <c r="I705" i="368"/>
  <c r="J705" i="368"/>
  <c r="H706" i="368"/>
  <c r="I706" i="368"/>
  <c r="J706" i="368"/>
  <c r="H707" i="368"/>
  <c r="I707" i="368"/>
  <c r="J707" i="368"/>
  <c r="H708" i="368"/>
  <c r="I708" i="368"/>
  <c r="J708" i="368"/>
  <c r="H709" i="368"/>
  <c r="I709" i="368"/>
  <c r="J709" i="368"/>
  <c r="H710" i="368"/>
  <c r="I710" i="368"/>
  <c r="J710" i="368"/>
  <c r="H711" i="368"/>
  <c r="I711" i="368"/>
  <c r="J711" i="368"/>
  <c r="H712" i="368"/>
  <c r="I712" i="368"/>
  <c r="J712" i="368"/>
  <c r="H713" i="368"/>
  <c r="I713" i="368"/>
  <c r="J713" i="368"/>
  <c r="H714" i="368"/>
  <c r="I714" i="368"/>
  <c r="J714" i="368"/>
  <c r="H715" i="368"/>
  <c r="I715" i="368"/>
  <c r="J715" i="368"/>
  <c r="H716" i="368"/>
  <c r="I716" i="368"/>
  <c r="J716" i="368"/>
  <c r="H717" i="368"/>
  <c r="I717" i="368"/>
  <c r="J717" i="368"/>
  <c r="H718" i="368"/>
  <c r="I718" i="368"/>
  <c r="J718" i="368"/>
  <c r="H719" i="368"/>
  <c r="I719" i="368"/>
  <c r="J719" i="368"/>
  <c r="H720" i="368"/>
  <c r="I720" i="368"/>
  <c r="J720" i="368"/>
  <c r="H721" i="368"/>
  <c r="I721" i="368"/>
  <c r="J721" i="368"/>
  <c r="H722" i="368"/>
  <c r="I722" i="368"/>
  <c r="J722" i="368"/>
  <c r="H723" i="368"/>
  <c r="I723" i="368"/>
  <c r="J723" i="368"/>
  <c r="H724" i="368"/>
  <c r="I724" i="368"/>
  <c r="J724" i="368"/>
  <c r="H725" i="368"/>
  <c r="I725" i="368"/>
  <c r="J725" i="368"/>
  <c r="H726" i="368"/>
  <c r="I726" i="368"/>
  <c r="J726" i="368"/>
  <c r="H727" i="368"/>
  <c r="I727" i="368"/>
  <c r="J727" i="368"/>
  <c r="H728" i="368"/>
  <c r="I728" i="368"/>
  <c r="J728" i="368"/>
  <c r="H729" i="368"/>
  <c r="I729" i="368"/>
  <c r="J729" i="368"/>
  <c r="H730" i="368"/>
  <c r="I730" i="368"/>
  <c r="J730" i="368"/>
  <c r="H731" i="368"/>
  <c r="I731" i="368"/>
  <c r="J731" i="368"/>
  <c r="H732" i="368"/>
  <c r="I732" i="368"/>
  <c r="J732" i="368"/>
  <c r="H733" i="368"/>
  <c r="I733" i="368"/>
  <c r="J733" i="368"/>
  <c r="H734" i="368"/>
  <c r="I734" i="368"/>
  <c r="J734" i="368"/>
  <c r="H735" i="368"/>
  <c r="I735" i="368"/>
  <c r="J735" i="368"/>
  <c r="H736" i="368"/>
  <c r="I736" i="368"/>
  <c r="J736" i="368"/>
  <c r="H737" i="368"/>
  <c r="I737" i="368"/>
  <c r="J737" i="368"/>
  <c r="H738" i="368"/>
  <c r="I738" i="368"/>
  <c r="J738" i="368"/>
  <c r="H739" i="368"/>
  <c r="I739" i="368"/>
  <c r="J739" i="368"/>
  <c r="H740" i="368"/>
  <c r="I740" i="368"/>
  <c r="J740" i="368"/>
  <c r="H741" i="368"/>
  <c r="I741" i="368"/>
  <c r="J741" i="368"/>
  <c r="H742" i="368"/>
  <c r="I742" i="368"/>
  <c r="J742" i="368"/>
  <c r="H743" i="368"/>
  <c r="I743" i="368"/>
  <c r="J743" i="368"/>
  <c r="H744" i="368"/>
  <c r="I744" i="368"/>
  <c r="J744" i="368"/>
  <c r="H745" i="368"/>
  <c r="I745" i="368"/>
  <c r="J745" i="368"/>
  <c r="H746" i="368"/>
  <c r="I746" i="368"/>
  <c r="J746" i="368"/>
  <c r="H747" i="368"/>
  <c r="I747" i="368"/>
  <c r="J747" i="368"/>
  <c r="H748" i="368"/>
  <c r="I748" i="368"/>
  <c r="J748" i="368"/>
  <c r="H749" i="368"/>
  <c r="I749" i="368"/>
  <c r="J749" i="368"/>
  <c r="H750" i="368"/>
  <c r="I750" i="368"/>
  <c r="J750" i="368"/>
  <c r="H751" i="368"/>
  <c r="I751" i="368"/>
  <c r="J751" i="368"/>
  <c r="H752" i="368"/>
  <c r="I752" i="368"/>
  <c r="J752" i="368"/>
  <c r="H753" i="368"/>
  <c r="I753" i="368"/>
  <c r="J753" i="368"/>
  <c r="H754" i="368"/>
  <c r="I754" i="368"/>
  <c r="J754" i="368"/>
  <c r="H755" i="368"/>
  <c r="I755" i="368"/>
  <c r="J755" i="368"/>
  <c r="H756" i="368"/>
  <c r="I756" i="368"/>
  <c r="J756" i="368"/>
  <c r="H757" i="368"/>
  <c r="I757" i="368"/>
  <c r="J757" i="368"/>
  <c r="H758" i="368"/>
  <c r="I758" i="368"/>
  <c r="J758" i="368"/>
  <c r="H759" i="368"/>
  <c r="I759" i="368"/>
  <c r="J759" i="368"/>
  <c r="H760" i="368"/>
  <c r="I760" i="368"/>
  <c r="J760" i="368"/>
  <c r="H761" i="368"/>
  <c r="I761" i="368"/>
  <c r="J761" i="368"/>
  <c r="H762" i="368"/>
  <c r="I762" i="368"/>
  <c r="J762" i="368"/>
  <c r="H763" i="368"/>
  <c r="I763" i="368"/>
  <c r="J763" i="368"/>
  <c r="H764" i="368"/>
  <c r="I764" i="368"/>
  <c r="J764" i="368"/>
  <c r="H765" i="368"/>
  <c r="I765" i="368"/>
  <c r="J765" i="368"/>
  <c r="H766" i="368"/>
  <c r="I766" i="368"/>
  <c r="J766" i="368"/>
  <c r="H767" i="368"/>
  <c r="I767" i="368"/>
  <c r="J767" i="368"/>
  <c r="H768" i="368"/>
  <c r="I768" i="368"/>
  <c r="J768" i="368"/>
  <c r="H769" i="368"/>
  <c r="I769" i="368"/>
  <c r="J769" i="368"/>
  <c r="H770" i="368"/>
  <c r="I770" i="368"/>
  <c r="J770" i="368"/>
  <c r="H771" i="368"/>
  <c r="I771" i="368"/>
  <c r="J771" i="368"/>
  <c r="H772" i="368"/>
  <c r="I772" i="368"/>
  <c r="J772" i="368"/>
  <c r="H773" i="368"/>
  <c r="I773" i="368"/>
  <c r="J773" i="368"/>
  <c r="H774" i="368"/>
  <c r="I774" i="368"/>
  <c r="J774" i="368"/>
  <c r="H775" i="368"/>
  <c r="I775" i="368"/>
  <c r="J775" i="368"/>
  <c r="H776" i="368"/>
  <c r="I776" i="368"/>
  <c r="J776" i="368"/>
  <c r="H777" i="368"/>
  <c r="I777" i="368"/>
  <c r="J777" i="368"/>
  <c r="H778" i="368"/>
  <c r="I778" i="368"/>
  <c r="J778" i="368"/>
  <c r="H779" i="368"/>
  <c r="I779" i="368"/>
  <c r="J779" i="368"/>
  <c r="H780" i="368"/>
  <c r="I780" i="368"/>
  <c r="J780" i="368"/>
  <c r="H781" i="368"/>
  <c r="I781" i="368"/>
  <c r="J781" i="368"/>
  <c r="H782" i="368"/>
  <c r="I782" i="368"/>
  <c r="J782" i="368"/>
  <c r="H783" i="368"/>
  <c r="I783" i="368"/>
  <c r="J783" i="368"/>
  <c r="H784" i="368"/>
  <c r="I784" i="368"/>
  <c r="J784" i="368"/>
  <c r="H785" i="368"/>
  <c r="I785" i="368"/>
  <c r="J785" i="368"/>
  <c r="H786" i="368"/>
  <c r="I786" i="368"/>
  <c r="J786" i="368"/>
  <c r="H787" i="368"/>
  <c r="I787" i="368"/>
  <c r="J787" i="368"/>
  <c r="H788" i="368"/>
  <c r="I788" i="368"/>
  <c r="J788" i="368"/>
  <c r="H789" i="368"/>
  <c r="I789" i="368"/>
  <c r="J789" i="368"/>
  <c r="H790" i="368"/>
  <c r="I790" i="368"/>
  <c r="J790" i="368"/>
  <c r="H791" i="368"/>
  <c r="I791" i="368"/>
  <c r="J791" i="368"/>
  <c r="H792" i="368"/>
  <c r="I792" i="368"/>
  <c r="J792" i="368"/>
  <c r="H793" i="368"/>
  <c r="I793" i="368"/>
  <c r="J793" i="368"/>
  <c r="H794" i="368"/>
  <c r="I794" i="368"/>
  <c r="J794" i="368"/>
  <c r="H795" i="368"/>
  <c r="I795" i="368"/>
  <c r="J795" i="368"/>
  <c r="H796" i="368"/>
  <c r="I796" i="368"/>
  <c r="J796" i="368"/>
  <c r="H797" i="368"/>
  <c r="I797" i="368"/>
  <c r="J797" i="368"/>
  <c r="H798" i="368"/>
  <c r="I798" i="368"/>
  <c r="J798" i="368"/>
  <c r="H799" i="368"/>
  <c r="I799" i="368"/>
  <c r="J799" i="368"/>
  <c r="H800" i="368"/>
  <c r="I800" i="368"/>
  <c r="J800" i="368"/>
  <c r="H801" i="368"/>
  <c r="I801" i="368"/>
  <c r="J801" i="368"/>
  <c r="H802" i="368"/>
  <c r="I802" i="368"/>
  <c r="J802" i="368"/>
  <c r="H803" i="368"/>
  <c r="I803" i="368"/>
  <c r="J803" i="368"/>
  <c r="H804" i="368"/>
  <c r="I804" i="368"/>
  <c r="J804" i="368"/>
  <c r="H805" i="368"/>
  <c r="I805" i="368"/>
  <c r="J805" i="368"/>
  <c r="H806" i="368"/>
  <c r="I806" i="368"/>
  <c r="J806" i="368"/>
  <c r="H807" i="368"/>
  <c r="I807" i="368"/>
  <c r="J807" i="368"/>
  <c r="H808" i="368"/>
  <c r="I808" i="368"/>
  <c r="J808" i="368"/>
  <c r="H809" i="368"/>
  <c r="I809" i="368"/>
  <c r="J809" i="368"/>
  <c r="H810" i="368"/>
  <c r="I810" i="368"/>
  <c r="J810" i="368"/>
  <c r="H811" i="368"/>
  <c r="I811" i="368"/>
  <c r="J811" i="368"/>
  <c r="H812" i="368"/>
  <c r="I812" i="368"/>
  <c r="J812" i="368"/>
  <c r="H813" i="368"/>
  <c r="I813" i="368"/>
  <c r="J813" i="368"/>
  <c r="H814" i="368"/>
  <c r="I814" i="368"/>
  <c r="J814" i="368"/>
  <c r="H815" i="368"/>
  <c r="I815" i="368"/>
  <c r="J815" i="368"/>
  <c r="H816" i="368"/>
  <c r="I816" i="368"/>
  <c r="J816" i="368"/>
  <c r="H817" i="368"/>
  <c r="I817" i="368"/>
  <c r="J817" i="368"/>
  <c r="H818" i="368"/>
  <c r="I818" i="368"/>
  <c r="J818" i="368"/>
  <c r="H819" i="368"/>
  <c r="I819" i="368"/>
  <c r="J819" i="368"/>
  <c r="H820" i="368"/>
  <c r="I820" i="368"/>
  <c r="J820" i="368"/>
  <c r="H821" i="368"/>
  <c r="I821" i="368"/>
  <c r="J821" i="368"/>
  <c r="H822" i="368"/>
  <c r="I822" i="368"/>
  <c r="J822" i="368"/>
  <c r="H823" i="368"/>
  <c r="I823" i="368"/>
  <c r="J823" i="368"/>
  <c r="H824" i="368"/>
  <c r="I824" i="368"/>
  <c r="J824" i="368"/>
  <c r="H825" i="368"/>
  <c r="I825" i="368"/>
  <c r="J825" i="368"/>
  <c r="H826" i="368"/>
  <c r="I826" i="368"/>
  <c r="J826" i="368"/>
  <c r="H827" i="368"/>
  <c r="I827" i="368"/>
  <c r="J827" i="368"/>
  <c r="H828" i="368"/>
  <c r="I828" i="368"/>
  <c r="J828" i="368"/>
  <c r="H829" i="368"/>
  <c r="I829" i="368"/>
  <c r="J829" i="368"/>
  <c r="H830" i="368"/>
  <c r="I830" i="368"/>
  <c r="J830" i="368"/>
  <c r="H831" i="368"/>
  <c r="I831" i="368"/>
  <c r="J831" i="368"/>
  <c r="H832" i="368"/>
  <c r="I832" i="368"/>
  <c r="J832" i="368"/>
  <c r="H833" i="368"/>
  <c r="I833" i="368"/>
  <c r="J833" i="368"/>
  <c r="H834" i="368"/>
  <c r="I834" i="368"/>
  <c r="J834" i="368"/>
  <c r="H835" i="368"/>
  <c r="I835" i="368"/>
  <c r="J835" i="368"/>
  <c r="H836" i="368"/>
  <c r="I836" i="368"/>
  <c r="J836" i="368"/>
  <c r="H837" i="368"/>
  <c r="I837" i="368"/>
  <c r="J837" i="368"/>
  <c r="H838" i="368"/>
  <c r="I838" i="368"/>
  <c r="J838" i="368"/>
  <c r="H839" i="368"/>
  <c r="I839" i="368"/>
  <c r="J839" i="368"/>
  <c r="H840" i="368"/>
  <c r="I840" i="368"/>
  <c r="J840" i="368"/>
  <c r="H841" i="368"/>
  <c r="I841" i="368"/>
  <c r="J841" i="368"/>
  <c r="H842" i="368"/>
  <c r="I842" i="368"/>
  <c r="J842" i="368"/>
  <c r="H843" i="368"/>
  <c r="I843" i="368"/>
  <c r="J843" i="368"/>
  <c r="H844" i="368"/>
  <c r="I844" i="368"/>
  <c r="J844" i="368"/>
  <c r="H845" i="368"/>
  <c r="I845" i="368"/>
  <c r="J845" i="368"/>
  <c r="H846" i="368"/>
  <c r="I846" i="368"/>
  <c r="J846" i="368"/>
  <c r="H847" i="368"/>
  <c r="I847" i="368"/>
  <c r="J847" i="368"/>
  <c r="H848" i="368"/>
  <c r="I848" i="368"/>
  <c r="J848" i="368"/>
  <c r="H849" i="368"/>
  <c r="I849" i="368"/>
  <c r="J849" i="368"/>
  <c r="H850" i="368"/>
  <c r="I850" i="368"/>
  <c r="J850" i="368"/>
  <c r="H851" i="368"/>
  <c r="I851" i="368"/>
  <c r="J851" i="368"/>
  <c r="H852" i="368"/>
  <c r="I852" i="368"/>
  <c r="J852" i="368"/>
  <c r="H853" i="368"/>
  <c r="I853" i="368"/>
  <c r="J853" i="368"/>
  <c r="H854" i="368"/>
  <c r="I854" i="368"/>
  <c r="J854" i="368"/>
  <c r="H855" i="368"/>
  <c r="I855" i="368"/>
  <c r="J855" i="368"/>
  <c r="H856" i="368"/>
  <c r="I856" i="368"/>
  <c r="J856" i="368"/>
  <c r="H857" i="368"/>
  <c r="I857" i="368"/>
  <c r="J857" i="368"/>
  <c r="H858" i="368"/>
  <c r="I858" i="368"/>
  <c r="J858" i="368"/>
  <c r="H859" i="368"/>
  <c r="I859" i="368"/>
  <c r="J859" i="368"/>
  <c r="H860" i="368"/>
  <c r="I860" i="368"/>
  <c r="J860" i="368"/>
  <c r="H861" i="368"/>
  <c r="I861" i="368"/>
  <c r="J861" i="368"/>
  <c r="H862" i="368"/>
  <c r="I862" i="368"/>
  <c r="J862" i="368"/>
  <c r="H863" i="368"/>
  <c r="I863" i="368"/>
  <c r="J863" i="368"/>
  <c r="H864" i="368"/>
  <c r="I864" i="368"/>
  <c r="J864" i="368"/>
  <c r="H865" i="368"/>
  <c r="I865" i="368"/>
  <c r="J865" i="368"/>
  <c r="H866" i="368"/>
  <c r="I866" i="368"/>
  <c r="J866" i="368"/>
  <c r="H867" i="368"/>
  <c r="I867" i="368"/>
  <c r="J867" i="368"/>
  <c r="H868" i="368"/>
  <c r="I868" i="368"/>
  <c r="J868" i="368"/>
  <c r="H869" i="368"/>
  <c r="I869" i="368"/>
  <c r="J869" i="368"/>
  <c r="H870" i="368"/>
  <c r="I870" i="368"/>
  <c r="J870" i="368"/>
  <c r="H871" i="368"/>
  <c r="I871" i="368"/>
  <c r="J871" i="368"/>
  <c r="H872" i="368"/>
  <c r="I872" i="368"/>
  <c r="J872" i="368"/>
  <c r="H873" i="368"/>
  <c r="I873" i="368"/>
  <c r="J873" i="368"/>
  <c r="H874" i="368"/>
  <c r="I874" i="368"/>
  <c r="J874" i="368"/>
  <c r="H875" i="368"/>
  <c r="I875" i="368"/>
  <c r="J875" i="368"/>
  <c r="H876" i="368"/>
  <c r="I876" i="368"/>
  <c r="J876" i="368"/>
  <c r="H877" i="368"/>
  <c r="I877" i="368"/>
  <c r="J877" i="368"/>
  <c r="H878" i="368"/>
  <c r="I878" i="368"/>
  <c r="J878" i="368"/>
  <c r="H879" i="368"/>
  <c r="I879" i="368"/>
  <c r="J879" i="368"/>
  <c r="H880" i="368"/>
  <c r="I880" i="368"/>
  <c r="J880" i="368"/>
  <c r="H881" i="368"/>
  <c r="I881" i="368"/>
  <c r="J881" i="368"/>
  <c r="H882" i="368"/>
  <c r="I882" i="368"/>
  <c r="J882" i="368"/>
  <c r="H883" i="368"/>
  <c r="I883" i="368"/>
  <c r="J883" i="368"/>
  <c r="H884" i="368"/>
  <c r="I884" i="368"/>
  <c r="J884" i="368"/>
  <c r="H885" i="368"/>
  <c r="I885" i="368"/>
  <c r="J885" i="368"/>
  <c r="H886" i="368"/>
  <c r="I886" i="368"/>
  <c r="J886" i="368"/>
  <c r="H887" i="368"/>
  <c r="I887" i="368"/>
  <c r="J887" i="368"/>
  <c r="H888" i="368"/>
  <c r="I888" i="368"/>
  <c r="J888" i="368"/>
  <c r="H889" i="368"/>
  <c r="I889" i="368"/>
  <c r="J889" i="368"/>
  <c r="H890" i="368"/>
  <c r="I890" i="368"/>
  <c r="J890" i="368"/>
  <c r="H891" i="368"/>
  <c r="I891" i="368"/>
  <c r="J891" i="368"/>
  <c r="H892" i="368"/>
  <c r="I892" i="368"/>
  <c r="J892" i="368"/>
  <c r="H893" i="368"/>
  <c r="I893" i="368"/>
  <c r="J893" i="368"/>
  <c r="H894" i="368"/>
  <c r="I894" i="368"/>
  <c r="J894" i="368"/>
  <c r="H895" i="368"/>
  <c r="I895" i="368"/>
  <c r="J895" i="368"/>
  <c r="H896" i="368"/>
  <c r="I896" i="368"/>
  <c r="J896" i="368"/>
  <c r="H897" i="368"/>
  <c r="I897" i="368"/>
  <c r="J897" i="368"/>
  <c r="H898" i="368"/>
  <c r="I898" i="368"/>
  <c r="J898" i="368"/>
  <c r="H899" i="368"/>
  <c r="I899" i="368"/>
  <c r="J899" i="368"/>
  <c r="H900" i="368"/>
  <c r="I900" i="368"/>
  <c r="J900" i="368"/>
  <c r="H901" i="368"/>
  <c r="I901" i="368"/>
  <c r="J901" i="368"/>
  <c r="H902" i="368"/>
  <c r="I902" i="368"/>
  <c r="J902" i="368"/>
  <c r="H903" i="368"/>
  <c r="I903" i="368"/>
  <c r="J903" i="368"/>
  <c r="H904" i="368"/>
  <c r="I904" i="368"/>
  <c r="J904" i="368"/>
  <c r="H905" i="368"/>
  <c r="I905" i="368"/>
  <c r="J905" i="368"/>
  <c r="H906" i="368"/>
  <c r="I906" i="368"/>
  <c r="J906" i="368"/>
  <c r="H907" i="368"/>
  <c r="I907" i="368"/>
  <c r="J907" i="368"/>
  <c r="H908" i="368"/>
  <c r="I908" i="368"/>
  <c r="J908" i="368"/>
  <c r="H909" i="368"/>
  <c r="I909" i="368"/>
  <c r="J909" i="368"/>
  <c r="H910" i="368"/>
  <c r="I910" i="368"/>
  <c r="J910" i="368"/>
  <c r="H911" i="368"/>
  <c r="I911" i="368"/>
  <c r="J911" i="368"/>
  <c r="H912" i="368"/>
  <c r="I912" i="368"/>
  <c r="J912" i="368"/>
  <c r="H913" i="368"/>
  <c r="I913" i="368"/>
  <c r="J913" i="368"/>
  <c r="H914" i="368"/>
  <c r="I914" i="368"/>
  <c r="J914" i="368"/>
  <c r="H915" i="368"/>
  <c r="I915" i="368"/>
  <c r="J915" i="368"/>
  <c r="H916" i="368"/>
  <c r="I916" i="368"/>
  <c r="J916" i="368"/>
  <c r="H917" i="368"/>
  <c r="I917" i="368"/>
  <c r="J917" i="368"/>
  <c r="H918" i="368"/>
  <c r="I918" i="368"/>
  <c r="J918" i="368"/>
  <c r="H919" i="368"/>
  <c r="I919" i="368"/>
  <c r="J919" i="368"/>
  <c r="H920" i="368"/>
  <c r="I920" i="368"/>
  <c r="J920" i="368"/>
  <c r="H921" i="368"/>
  <c r="I921" i="368"/>
  <c r="J921" i="368"/>
  <c r="H922" i="368"/>
  <c r="I922" i="368"/>
  <c r="J922" i="368"/>
  <c r="H923" i="368"/>
  <c r="I923" i="368"/>
  <c r="J923" i="368"/>
  <c r="H924" i="368"/>
  <c r="I924" i="368"/>
  <c r="J924" i="368"/>
  <c r="H925" i="368"/>
  <c r="I925" i="368"/>
  <c r="J925" i="368"/>
  <c r="H926" i="368"/>
  <c r="I926" i="368"/>
  <c r="J926" i="368"/>
  <c r="H927" i="368"/>
  <c r="I927" i="368"/>
  <c r="J927" i="368"/>
  <c r="H928" i="368"/>
  <c r="I928" i="368"/>
  <c r="J928" i="368"/>
  <c r="H929" i="368"/>
  <c r="I929" i="368"/>
  <c r="J929" i="368"/>
  <c r="H930" i="368"/>
  <c r="I930" i="368"/>
  <c r="J930" i="368"/>
  <c r="H931" i="368"/>
  <c r="I931" i="368"/>
  <c r="J931" i="368"/>
  <c r="H932" i="368"/>
  <c r="I932" i="368"/>
  <c r="J932" i="368"/>
  <c r="H933" i="368"/>
  <c r="I933" i="368"/>
  <c r="J933" i="368"/>
  <c r="H934" i="368"/>
  <c r="I934" i="368"/>
  <c r="J934" i="368"/>
  <c r="H935" i="368"/>
  <c r="I935" i="368"/>
  <c r="J935" i="368"/>
  <c r="H936" i="368"/>
  <c r="I936" i="368"/>
  <c r="J936" i="368"/>
  <c r="H937" i="368"/>
  <c r="I937" i="368"/>
  <c r="J937" i="368"/>
  <c r="H938" i="368"/>
  <c r="I938" i="368"/>
  <c r="J938" i="368"/>
  <c r="H939" i="368"/>
  <c r="I939" i="368"/>
  <c r="J939" i="368"/>
  <c r="H940" i="368"/>
  <c r="I940" i="368"/>
  <c r="J940" i="368"/>
  <c r="H941" i="368"/>
  <c r="I941" i="368"/>
  <c r="J941" i="368"/>
  <c r="H942" i="368"/>
  <c r="I942" i="368"/>
  <c r="J942" i="368"/>
  <c r="H943" i="368"/>
  <c r="I943" i="368"/>
  <c r="J943" i="368"/>
  <c r="H944" i="368"/>
  <c r="I944" i="368"/>
  <c r="J944" i="368"/>
  <c r="H945" i="368"/>
  <c r="I945" i="368"/>
  <c r="J945" i="368"/>
  <c r="H946" i="368"/>
  <c r="I946" i="368"/>
  <c r="J946" i="368"/>
  <c r="H947" i="368"/>
  <c r="I947" i="368"/>
  <c r="J947" i="368"/>
  <c r="H948" i="368"/>
  <c r="I948" i="368"/>
  <c r="J948" i="368"/>
  <c r="H949" i="368"/>
  <c r="I949" i="368"/>
  <c r="J949" i="368"/>
  <c r="H950" i="368"/>
  <c r="I950" i="368"/>
  <c r="J950" i="368"/>
  <c r="H951" i="368"/>
  <c r="I951" i="368"/>
  <c r="J951" i="368"/>
  <c r="H952" i="368"/>
  <c r="I952" i="368"/>
  <c r="J952" i="368"/>
  <c r="H953" i="368"/>
  <c r="I953" i="368"/>
  <c r="J953" i="368"/>
  <c r="H954" i="368"/>
  <c r="I954" i="368"/>
  <c r="J954" i="368"/>
  <c r="H955" i="368"/>
  <c r="I955" i="368"/>
  <c r="J955" i="368"/>
  <c r="H956" i="368"/>
  <c r="I956" i="368"/>
  <c r="J956" i="368"/>
  <c r="H957" i="368"/>
  <c r="I957" i="368"/>
  <c r="J957" i="368"/>
  <c r="H958" i="368"/>
  <c r="I958" i="368"/>
  <c r="J958" i="368"/>
  <c r="H959" i="368"/>
  <c r="I959" i="368"/>
  <c r="J959" i="368"/>
  <c r="H960" i="368"/>
  <c r="I960" i="368"/>
  <c r="J960" i="368"/>
  <c r="H961" i="368"/>
  <c r="I961" i="368"/>
  <c r="J961" i="368"/>
  <c r="H962" i="368"/>
  <c r="I962" i="368"/>
  <c r="J962" i="368"/>
  <c r="H963" i="368"/>
  <c r="I963" i="368"/>
  <c r="J963" i="368"/>
  <c r="H964" i="368"/>
  <c r="I964" i="368"/>
  <c r="J964" i="368"/>
  <c r="H965" i="368"/>
  <c r="I965" i="368"/>
  <c r="J965" i="368"/>
  <c r="H966" i="368"/>
  <c r="I966" i="368"/>
  <c r="J966" i="368"/>
  <c r="H967" i="368"/>
  <c r="I967" i="368"/>
  <c r="J967" i="368"/>
  <c r="H968" i="368"/>
  <c r="I968" i="368"/>
  <c r="J968" i="368"/>
  <c r="H969" i="368"/>
  <c r="I969" i="368"/>
  <c r="J969" i="368"/>
  <c r="H970" i="368"/>
  <c r="I970" i="368"/>
  <c r="J970" i="368"/>
  <c r="H971" i="368"/>
  <c r="I971" i="368"/>
  <c r="J971" i="368"/>
  <c r="H972" i="368"/>
  <c r="I972" i="368"/>
  <c r="J972" i="368"/>
  <c r="H973" i="368"/>
  <c r="I973" i="368"/>
  <c r="J973" i="368"/>
  <c r="H974" i="368"/>
  <c r="I974" i="368"/>
  <c r="J974" i="368"/>
  <c r="H975" i="368"/>
  <c r="I975" i="368"/>
  <c r="J975" i="368"/>
  <c r="H976" i="368"/>
  <c r="I976" i="368"/>
  <c r="J976" i="368"/>
  <c r="H977" i="368"/>
  <c r="I977" i="368"/>
  <c r="J977" i="368"/>
  <c r="H978" i="368"/>
  <c r="I978" i="368"/>
  <c r="J978" i="368"/>
  <c r="H979" i="368"/>
  <c r="I979" i="368"/>
  <c r="J979" i="368"/>
  <c r="H980" i="368"/>
  <c r="I980" i="368"/>
  <c r="J980" i="368"/>
  <c r="H981" i="368"/>
  <c r="I981" i="368"/>
  <c r="J981" i="368"/>
  <c r="H982" i="368"/>
  <c r="I982" i="368"/>
  <c r="J982" i="368"/>
  <c r="H983" i="368"/>
  <c r="I983" i="368"/>
  <c r="J983" i="368"/>
  <c r="H984" i="368"/>
  <c r="I984" i="368"/>
  <c r="J984" i="368"/>
  <c r="H985" i="368"/>
  <c r="I985" i="368"/>
  <c r="J985" i="368"/>
  <c r="H986" i="368"/>
  <c r="I986" i="368"/>
  <c r="J986" i="368"/>
  <c r="H987" i="368"/>
  <c r="I987" i="368"/>
  <c r="J987" i="368"/>
  <c r="H988" i="368"/>
  <c r="I988" i="368"/>
  <c r="J988" i="368"/>
  <c r="H989" i="368"/>
  <c r="I989" i="368"/>
  <c r="J989" i="368"/>
  <c r="H990" i="368"/>
  <c r="I990" i="368"/>
  <c r="J990" i="368"/>
  <c r="H991" i="368"/>
  <c r="I991" i="368"/>
  <c r="J991" i="368"/>
  <c r="H992" i="368"/>
  <c r="I992" i="368"/>
  <c r="J992" i="368"/>
  <c r="H993" i="368"/>
  <c r="I993" i="368"/>
  <c r="J993" i="368"/>
  <c r="H994" i="368"/>
  <c r="I994" i="368"/>
  <c r="J994" i="368"/>
  <c r="H995" i="368"/>
  <c r="I995" i="368"/>
  <c r="J995" i="368"/>
  <c r="H996" i="368"/>
  <c r="I996" i="368"/>
  <c r="J996" i="368"/>
  <c r="H997" i="368"/>
  <c r="I997" i="368"/>
  <c r="J997" i="368"/>
  <c r="H998" i="368"/>
  <c r="I998" i="368"/>
  <c r="J998" i="368"/>
  <c r="H999" i="368"/>
  <c r="I999" i="368"/>
  <c r="J999" i="368"/>
  <c r="H1000" i="368"/>
  <c r="I1000" i="368"/>
  <c r="J1000" i="368"/>
  <c r="H1001" i="368"/>
  <c r="I1001" i="368"/>
  <c r="J1001" i="368"/>
  <c r="H1002" i="368"/>
  <c r="I1002" i="368"/>
  <c r="J1002" i="368"/>
  <c r="H1003" i="368"/>
  <c r="I1003" i="368"/>
  <c r="J1003" i="368"/>
  <c r="H1004" i="368"/>
  <c r="I1004" i="368"/>
  <c r="J1004" i="368"/>
  <c r="H1005" i="368"/>
  <c r="I1005" i="368"/>
  <c r="J1005" i="368"/>
  <c r="H1006" i="368"/>
  <c r="I1006" i="368"/>
  <c r="J1006" i="368"/>
  <c r="H1007" i="368"/>
  <c r="I1007" i="368"/>
  <c r="J1007" i="368"/>
  <c r="H1008" i="368"/>
  <c r="I1008" i="368"/>
  <c r="J1008" i="368"/>
  <c r="H1009" i="368"/>
  <c r="I1009" i="368"/>
  <c r="J1009" i="368"/>
  <c r="H1010" i="368"/>
  <c r="I1010" i="368"/>
  <c r="J1010" i="368"/>
  <c r="H1011" i="368"/>
  <c r="I1011" i="368"/>
  <c r="J1011" i="368"/>
  <c r="H1012" i="368"/>
  <c r="I1012" i="368"/>
  <c r="J1012" i="368"/>
  <c r="H1013" i="368"/>
  <c r="I1013" i="368"/>
  <c r="J1013" i="368"/>
  <c r="H1014" i="368"/>
  <c r="I1014" i="368"/>
  <c r="J1014" i="368"/>
  <c r="H1015" i="368"/>
  <c r="I1015" i="368"/>
  <c r="J1015" i="368"/>
  <c r="H1016" i="368"/>
  <c r="I1016" i="368"/>
  <c r="J1016" i="368"/>
  <c r="H1017" i="368"/>
  <c r="I1017" i="368"/>
  <c r="J1017" i="368"/>
  <c r="H1018" i="368"/>
  <c r="I1018" i="368"/>
  <c r="J1018" i="368"/>
  <c r="H1019" i="368"/>
  <c r="I1019" i="368"/>
  <c r="J1019" i="368"/>
  <c r="H1020" i="368"/>
  <c r="I1020" i="368"/>
  <c r="J1020" i="368"/>
  <c r="H1021" i="368"/>
  <c r="I1021" i="368"/>
  <c r="J1021" i="368"/>
  <c r="H1022" i="368"/>
  <c r="I1022" i="368"/>
  <c r="J1022" i="368"/>
  <c r="H1023" i="368"/>
  <c r="I1023" i="368"/>
  <c r="J1023" i="368"/>
  <c r="H1024" i="368"/>
  <c r="I1024" i="368"/>
  <c r="J1024" i="368"/>
  <c r="H1025" i="368"/>
  <c r="I1025" i="368"/>
  <c r="J1025" i="368"/>
  <c r="H1026" i="368"/>
  <c r="I1026" i="368"/>
  <c r="J1026" i="368"/>
  <c r="H1027" i="368"/>
  <c r="I1027" i="368"/>
  <c r="J1027" i="368"/>
  <c r="H1028" i="368"/>
  <c r="I1028" i="368"/>
  <c r="J1028" i="368"/>
  <c r="H1029" i="368"/>
  <c r="I1029" i="368"/>
  <c r="J1029" i="368"/>
  <c r="H1030" i="368"/>
  <c r="I1030" i="368"/>
  <c r="J1030" i="368"/>
  <c r="H1031" i="368"/>
  <c r="I1031" i="368"/>
  <c r="J1031" i="368"/>
  <c r="H1032" i="368"/>
  <c r="I1032" i="368"/>
  <c r="J1032" i="368"/>
  <c r="H1033" i="368"/>
  <c r="I1033" i="368"/>
  <c r="J1033" i="368"/>
  <c r="H1034" i="368"/>
  <c r="I1034" i="368"/>
  <c r="J1034" i="368"/>
  <c r="H1035" i="368"/>
  <c r="I1035" i="368"/>
  <c r="J1035" i="368"/>
  <c r="H1036" i="368"/>
  <c r="I1036" i="368"/>
  <c r="J1036" i="368"/>
  <c r="H1037" i="368"/>
  <c r="I1037" i="368"/>
  <c r="J1037" i="368"/>
  <c r="H1038" i="368"/>
  <c r="I1038" i="368"/>
  <c r="J1038" i="368"/>
  <c r="H1039" i="368"/>
  <c r="I1039" i="368"/>
  <c r="J1039" i="368"/>
  <c r="H1040" i="368"/>
  <c r="I1040" i="368"/>
  <c r="J1040" i="368"/>
  <c r="H1041" i="368"/>
  <c r="I1041" i="368"/>
  <c r="J1041" i="368"/>
  <c r="H1042" i="368"/>
  <c r="I1042" i="368"/>
  <c r="J1042" i="368"/>
  <c r="H1043" i="368"/>
  <c r="I1043" i="368"/>
  <c r="J1043" i="368"/>
  <c r="H1044" i="368"/>
  <c r="I1044" i="368"/>
  <c r="J1044" i="368"/>
  <c r="H1045" i="368"/>
  <c r="I1045" i="368"/>
  <c r="J1045" i="368"/>
  <c r="H1046" i="368"/>
  <c r="I1046" i="368"/>
  <c r="J1046" i="368"/>
  <c r="H1047" i="368"/>
  <c r="I1047" i="368"/>
  <c r="J1047" i="368"/>
  <c r="H1048" i="368"/>
  <c r="I1048" i="368"/>
  <c r="J1048" i="368"/>
  <c r="H1049" i="368"/>
  <c r="I1049" i="368"/>
  <c r="J1049" i="368"/>
  <c r="H1050" i="368"/>
  <c r="I1050" i="368"/>
  <c r="J1050" i="368"/>
  <c r="H1051" i="368"/>
  <c r="I1051" i="368"/>
  <c r="J1051" i="368"/>
  <c r="H1052" i="368"/>
  <c r="I1052" i="368"/>
  <c r="J1052" i="368"/>
  <c r="H1053" i="368"/>
  <c r="I1053" i="368"/>
  <c r="J1053" i="368"/>
  <c r="H1054" i="368"/>
  <c r="I1054" i="368"/>
  <c r="J1054" i="368"/>
  <c r="H1055" i="368"/>
  <c r="I1055" i="368"/>
  <c r="J1055" i="368"/>
  <c r="H1056" i="368"/>
  <c r="I1056" i="368"/>
  <c r="J1056" i="368"/>
  <c r="H1057" i="368"/>
  <c r="I1057" i="368"/>
  <c r="J1057" i="368"/>
  <c r="H1058" i="368"/>
  <c r="I1058" i="368"/>
  <c r="J1058" i="368"/>
  <c r="H1059" i="368"/>
  <c r="I1059" i="368"/>
  <c r="J1059" i="368"/>
  <c r="H1060" i="368"/>
  <c r="I1060" i="368"/>
  <c r="J1060" i="368"/>
  <c r="H1061" i="368"/>
  <c r="I1061" i="368"/>
  <c r="J1061" i="368"/>
  <c r="H1062" i="368"/>
  <c r="I1062" i="368"/>
  <c r="J1062" i="368"/>
  <c r="H1063" i="368"/>
  <c r="I1063" i="368"/>
  <c r="J1063" i="368"/>
  <c r="H1064" i="368"/>
  <c r="I1064" i="368"/>
  <c r="J1064" i="368"/>
  <c r="H1065" i="368"/>
  <c r="I1065" i="368"/>
  <c r="J1065" i="368"/>
  <c r="H1066" i="368"/>
  <c r="I1066" i="368"/>
  <c r="J1066" i="368"/>
  <c r="H1067" i="368"/>
  <c r="I1067" i="368"/>
  <c r="J1067" i="368"/>
  <c r="H1068" i="368"/>
  <c r="I1068" i="368"/>
  <c r="J1068" i="368"/>
  <c r="H1069" i="368"/>
  <c r="I1069" i="368"/>
  <c r="J1069" i="368"/>
  <c r="H1070" i="368"/>
  <c r="I1070" i="368"/>
  <c r="J1070" i="368"/>
  <c r="H1071" i="368"/>
  <c r="I1071" i="368"/>
  <c r="J1071" i="368"/>
  <c r="H1072" i="368"/>
  <c r="I1072" i="368"/>
  <c r="J1072" i="368"/>
  <c r="H1073" i="368"/>
  <c r="I1073" i="368"/>
  <c r="J1073" i="368"/>
  <c r="H1074" i="368"/>
  <c r="I1074" i="368"/>
  <c r="J1074" i="368"/>
  <c r="H1075" i="368"/>
  <c r="I1075" i="368"/>
  <c r="J1075" i="368"/>
  <c r="H1076" i="368"/>
  <c r="I1076" i="368"/>
  <c r="J1076" i="368"/>
  <c r="H1077" i="368"/>
  <c r="I1077" i="368"/>
  <c r="J1077" i="368"/>
  <c r="H1078" i="368"/>
  <c r="I1078" i="368"/>
  <c r="J1078" i="368"/>
  <c r="H1079" i="368"/>
  <c r="I1079" i="368"/>
  <c r="J1079" i="368"/>
  <c r="H1080" i="368"/>
  <c r="I1080" i="368"/>
  <c r="J1080" i="368"/>
  <c r="H1081" i="368"/>
  <c r="I1081" i="368"/>
  <c r="J1081" i="368"/>
  <c r="H1082" i="368"/>
  <c r="I1082" i="368"/>
  <c r="J1082" i="368"/>
  <c r="H1083" i="368"/>
  <c r="I1083" i="368"/>
  <c r="J1083" i="368"/>
  <c r="H1084" i="368"/>
  <c r="I1084" i="368"/>
  <c r="J1084" i="368"/>
  <c r="H1085" i="368"/>
  <c r="I1085" i="368"/>
  <c r="J1085" i="368"/>
  <c r="H1086" i="368"/>
  <c r="I1086" i="368"/>
  <c r="J1086" i="368"/>
  <c r="H1087" i="368"/>
  <c r="I1087" i="368"/>
  <c r="J1087" i="368"/>
  <c r="H1088" i="368"/>
  <c r="I1088" i="368"/>
  <c r="J1088" i="368"/>
  <c r="H1089" i="368"/>
  <c r="I1089" i="368"/>
  <c r="J1089" i="368"/>
  <c r="H1090" i="368"/>
  <c r="I1090" i="368"/>
  <c r="J1090" i="368"/>
  <c r="H1091" i="368"/>
  <c r="I1091" i="368"/>
  <c r="J1091" i="368"/>
  <c r="H1092" i="368"/>
  <c r="I1092" i="368"/>
  <c r="J1092" i="368"/>
  <c r="H1093" i="368"/>
  <c r="I1093" i="368"/>
  <c r="J1093" i="368"/>
  <c r="H1094" i="368"/>
  <c r="I1094" i="368"/>
  <c r="J1094" i="368"/>
  <c r="H1095" i="368"/>
  <c r="I1095" i="368"/>
  <c r="J1095" i="368"/>
  <c r="H1096" i="368"/>
  <c r="I1096" i="368"/>
  <c r="J1096" i="368"/>
  <c r="H1097" i="368"/>
  <c r="I1097" i="368"/>
  <c r="J1097" i="368"/>
  <c r="H1098" i="368"/>
  <c r="I1098" i="368"/>
  <c r="J1098" i="368"/>
  <c r="H1099" i="368"/>
  <c r="I1099" i="368"/>
  <c r="J1099" i="368"/>
  <c r="H1100" i="368"/>
  <c r="I1100" i="368"/>
  <c r="J1100" i="368"/>
  <c r="H1101" i="368"/>
  <c r="I1101" i="368"/>
  <c r="J1101" i="368"/>
  <c r="H1102" i="368"/>
  <c r="I1102" i="368"/>
  <c r="J1102" i="368"/>
  <c r="H1103" i="368"/>
  <c r="I1103" i="368"/>
  <c r="J1103" i="368"/>
  <c r="H1104" i="368"/>
  <c r="I1104" i="368"/>
  <c r="J1104" i="368"/>
  <c r="H1105" i="368"/>
  <c r="I1105" i="368"/>
  <c r="J1105" i="368"/>
  <c r="H1106" i="368"/>
  <c r="I1106" i="368"/>
  <c r="J1106" i="368"/>
  <c r="H1107" i="368"/>
  <c r="I1107" i="368"/>
  <c r="J1107" i="368"/>
  <c r="H1108" i="368"/>
  <c r="I1108" i="368"/>
  <c r="J1108" i="368"/>
  <c r="H1109" i="368"/>
  <c r="I1109" i="368"/>
  <c r="J1109" i="368"/>
  <c r="H1110" i="368"/>
  <c r="I1110" i="368"/>
  <c r="J1110" i="368"/>
  <c r="H1111" i="368"/>
  <c r="I1111" i="368"/>
  <c r="J1111" i="368"/>
  <c r="H1112" i="368"/>
  <c r="I1112" i="368"/>
  <c r="J1112" i="368"/>
  <c r="H1113" i="368"/>
  <c r="I1113" i="368"/>
  <c r="J1113" i="368"/>
  <c r="H1114" i="368"/>
  <c r="I1114" i="368"/>
  <c r="J1114" i="368"/>
  <c r="H1115" i="368"/>
  <c r="I1115" i="368"/>
  <c r="J1115" i="368"/>
  <c r="H1116" i="368"/>
  <c r="I1116" i="368"/>
  <c r="J1116" i="368"/>
  <c r="H1117" i="368"/>
  <c r="I1117" i="368"/>
  <c r="J1117" i="368"/>
  <c r="H1118" i="368"/>
  <c r="I1118" i="368"/>
  <c r="J1118" i="368"/>
  <c r="H1119" i="368"/>
  <c r="I1119" i="368"/>
  <c r="J1119" i="368"/>
  <c r="H1120" i="368"/>
  <c r="I1120" i="368"/>
  <c r="J1120" i="368"/>
  <c r="H1121" i="368"/>
  <c r="I1121" i="368"/>
  <c r="J1121" i="368"/>
  <c r="H1122" i="368"/>
  <c r="I1122" i="368"/>
  <c r="J1122" i="368"/>
  <c r="H1123" i="368"/>
  <c r="I1123" i="368"/>
  <c r="J1123" i="368"/>
  <c r="H1124" i="368"/>
  <c r="I1124" i="368"/>
  <c r="J1124" i="368"/>
  <c r="H1125" i="368"/>
  <c r="I1125" i="368"/>
  <c r="J1125" i="368"/>
  <c r="H1126" i="368"/>
  <c r="I1126" i="368"/>
  <c r="J1126" i="368"/>
  <c r="H1127" i="368"/>
  <c r="I1127" i="368"/>
  <c r="J1127" i="368"/>
  <c r="H1128" i="368"/>
  <c r="I1128" i="368"/>
  <c r="J1128" i="368"/>
  <c r="H1129" i="368"/>
  <c r="I1129" i="368"/>
  <c r="J1129" i="368"/>
  <c r="H1130" i="368"/>
  <c r="I1130" i="368"/>
  <c r="J1130" i="368"/>
  <c r="H1131" i="368"/>
  <c r="I1131" i="368"/>
  <c r="J1131" i="368"/>
  <c r="H1132" i="368"/>
  <c r="I1132" i="368"/>
  <c r="J1132" i="368"/>
  <c r="H1133" i="368"/>
  <c r="I1133" i="368"/>
  <c r="J1133" i="368"/>
  <c r="H1134" i="368"/>
  <c r="I1134" i="368"/>
  <c r="J1134" i="368"/>
  <c r="H1135" i="368"/>
  <c r="I1135" i="368"/>
  <c r="J1135" i="368"/>
  <c r="H1136" i="368"/>
  <c r="I1136" i="368"/>
  <c r="J1136" i="368"/>
  <c r="H1137" i="368"/>
  <c r="I1137" i="368"/>
  <c r="J1137" i="368"/>
  <c r="H1138" i="368"/>
  <c r="I1138" i="368"/>
  <c r="J1138" i="368"/>
  <c r="H1139" i="368"/>
  <c r="I1139" i="368"/>
  <c r="J1139" i="368"/>
  <c r="H1140" i="368"/>
  <c r="I1140" i="368"/>
  <c r="J1140" i="368"/>
  <c r="H1141" i="368"/>
  <c r="I1141" i="368"/>
  <c r="J1141" i="368"/>
  <c r="H1142" i="368"/>
  <c r="I1142" i="368"/>
  <c r="J1142" i="368"/>
  <c r="H1143" i="368"/>
  <c r="I1143" i="368"/>
  <c r="J1143" i="368"/>
  <c r="H1144" i="368"/>
  <c r="I1144" i="368"/>
  <c r="J1144" i="368"/>
  <c r="H1145" i="368"/>
  <c r="I1145" i="368"/>
  <c r="J1145" i="368"/>
  <c r="H1146" i="368"/>
  <c r="I1146" i="368"/>
  <c r="J1146" i="368"/>
  <c r="H1147" i="368"/>
  <c r="I1147" i="368"/>
  <c r="J1147" i="368"/>
  <c r="H1148" i="368"/>
  <c r="I1148" i="368"/>
  <c r="J1148" i="368"/>
  <c r="H1149" i="368"/>
  <c r="I1149" i="368"/>
  <c r="J1149" i="368"/>
  <c r="H1150" i="368"/>
  <c r="I1150" i="368"/>
  <c r="J1150" i="368"/>
  <c r="H1151" i="368"/>
  <c r="I1151" i="368"/>
  <c r="J1151" i="368"/>
  <c r="H1152" i="368"/>
  <c r="I1152" i="368"/>
  <c r="J1152" i="368"/>
  <c r="H1153" i="368"/>
  <c r="I1153" i="368"/>
  <c r="J1153" i="368"/>
  <c r="H1154" i="368"/>
  <c r="I1154" i="368"/>
  <c r="J1154" i="368"/>
  <c r="H1155" i="368"/>
  <c r="I1155" i="368"/>
  <c r="J1155" i="368"/>
  <c r="H1156" i="368"/>
  <c r="I1156" i="368"/>
  <c r="J1156" i="368"/>
  <c r="H1157" i="368"/>
  <c r="I1157" i="368"/>
  <c r="J1157" i="368"/>
  <c r="H1158" i="368"/>
  <c r="I1158" i="368"/>
  <c r="J1158" i="368"/>
  <c r="H1159" i="368"/>
  <c r="I1159" i="368"/>
  <c r="J1159" i="368"/>
  <c r="H1160" i="368"/>
  <c r="I1160" i="368"/>
  <c r="J1160" i="368"/>
  <c r="H1161" i="368"/>
  <c r="I1161" i="368"/>
  <c r="J1161" i="368"/>
  <c r="H1162" i="368"/>
  <c r="I1162" i="368"/>
  <c r="J1162" i="368"/>
  <c r="H1163" i="368"/>
  <c r="I1163" i="368"/>
  <c r="J1163" i="368"/>
  <c r="H1164" i="368"/>
  <c r="I1164" i="368"/>
  <c r="J1164" i="368"/>
  <c r="H1165" i="368"/>
  <c r="I1165" i="368"/>
  <c r="J1165" i="368"/>
  <c r="H1166" i="368"/>
  <c r="I1166" i="368"/>
  <c r="J1166" i="368"/>
  <c r="H1167" i="368"/>
  <c r="I1167" i="368"/>
  <c r="J1167" i="368"/>
  <c r="H1168" i="368"/>
  <c r="I1168" i="368"/>
  <c r="J1168" i="368"/>
  <c r="H1169" i="368"/>
  <c r="I1169" i="368"/>
  <c r="J1169" i="368"/>
  <c r="H1170" i="368"/>
  <c r="I1170" i="368"/>
  <c r="J1170" i="368"/>
  <c r="H1171" i="368"/>
  <c r="I1171" i="368"/>
  <c r="J1171" i="368"/>
  <c r="H1172" i="368"/>
  <c r="I1172" i="368"/>
  <c r="J1172" i="368"/>
  <c r="H1173" i="368"/>
  <c r="I1173" i="368"/>
  <c r="J1173" i="368"/>
  <c r="H1174" i="368"/>
  <c r="I1174" i="368"/>
  <c r="J1174" i="368"/>
  <c r="H1175" i="368"/>
  <c r="I1175" i="368"/>
  <c r="J1175" i="368"/>
  <c r="H1176" i="368"/>
  <c r="I1176" i="368"/>
  <c r="J1176" i="368"/>
  <c r="H1177" i="368"/>
  <c r="I1177" i="368"/>
  <c r="J1177" i="368"/>
  <c r="H1178" i="368"/>
  <c r="I1178" i="368"/>
  <c r="J1178" i="368"/>
  <c r="H1179" i="368"/>
  <c r="I1179" i="368"/>
  <c r="J1179" i="368"/>
  <c r="H1180" i="368"/>
  <c r="I1180" i="368"/>
  <c r="J1180" i="368"/>
  <c r="H1181" i="368"/>
  <c r="I1181" i="368"/>
  <c r="J1181" i="368"/>
  <c r="H1182" i="368"/>
  <c r="I1182" i="368"/>
  <c r="J1182" i="368"/>
  <c r="H1183" i="368"/>
  <c r="I1183" i="368"/>
  <c r="J1183" i="368"/>
  <c r="H1184" i="368"/>
  <c r="I1184" i="368"/>
  <c r="J1184" i="368"/>
  <c r="H1185" i="368"/>
  <c r="I1185" i="368"/>
  <c r="J1185" i="368"/>
  <c r="H1186" i="368"/>
  <c r="I1186" i="368"/>
  <c r="J1186" i="368"/>
  <c r="H1187" i="368"/>
  <c r="I1187" i="368"/>
  <c r="J1187" i="368"/>
  <c r="H1188" i="368"/>
  <c r="I1188" i="368"/>
  <c r="J1188" i="368"/>
  <c r="H1189" i="368"/>
  <c r="I1189" i="368"/>
  <c r="J1189" i="368"/>
  <c r="H1190" i="368"/>
  <c r="I1190" i="368"/>
  <c r="J1190" i="368"/>
  <c r="H1191" i="368"/>
  <c r="I1191" i="368"/>
  <c r="J1191" i="368"/>
  <c r="H1192" i="368"/>
  <c r="I1192" i="368"/>
  <c r="J1192" i="368"/>
  <c r="H1193" i="368"/>
  <c r="I1193" i="368"/>
  <c r="J1193" i="368"/>
  <c r="H1194" i="368"/>
  <c r="I1194" i="368"/>
  <c r="J1194" i="368"/>
  <c r="H1195" i="368"/>
  <c r="I1195" i="368"/>
  <c r="J1195" i="368"/>
  <c r="H1196" i="368"/>
  <c r="I1196" i="368"/>
  <c r="J1196" i="368"/>
  <c r="H1197" i="368"/>
  <c r="I1197" i="368"/>
  <c r="J1197" i="368"/>
  <c r="H1198" i="368"/>
  <c r="I1198" i="368"/>
  <c r="J1198" i="368"/>
  <c r="H1199" i="368"/>
  <c r="I1199" i="368"/>
  <c r="J1199" i="368"/>
  <c r="H1200" i="368"/>
  <c r="I1200" i="368"/>
  <c r="J1200" i="368"/>
  <c r="H1201" i="368"/>
  <c r="I1201" i="368"/>
  <c r="J1201" i="368"/>
  <c r="H1202" i="368"/>
  <c r="I1202" i="368"/>
  <c r="J1202" i="368"/>
  <c r="H1203" i="368"/>
  <c r="I1203" i="368"/>
  <c r="J1203" i="368"/>
  <c r="H1204" i="368"/>
  <c r="I1204" i="368"/>
  <c r="J1204" i="368"/>
  <c r="H1205" i="368"/>
  <c r="I1205" i="368"/>
  <c r="J1205" i="368"/>
  <c r="H1206" i="368"/>
  <c r="I1206" i="368"/>
  <c r="J1206" i="368"/>
  <c r="H1207" i="368"/>
  <c r="I1207" i="368"/>
  <c r="J1207" i="368"/>
  <c r="H1208" i="368"/>
  <c r="I1208" i="368"/>
  <c r="J1208" i="368"/>
  <c r="H1209" i="368"/>
  <c r="I1209" i="368"/>
  <c r="J1209" i="368"/>
  <c r="H1210" i="368"/>
  <c r="I1210" i="368"/>
  <c r="J1210" i="368"/>
  <c r="H1211" i="368"/>
  <c r="I1211" i="368"/>
  <c r="J1211" i="368"/>
  <c r="H1212" i="368"/>
  <c r="I1212" i="368"/>
  <c r="J1212" i="368"/>
  <c r="H1213" i="368"/>
  <c r="I1213" i="368"/>
  <c r="J1213" i="368"/>
  <c r="H1214" i="368"/>
  <c r="I1214" i="368"/>
  <c r="J1214" i="368"/>
  <c r="H1215" i="368"/>
  <c r="I1215" i="368"/>
  <c r="J1215" i="368"/>
  <c r="H1216" i="368"/>
  <c r="I1216" i="368"/>
  <c r="J1216" i="368"/>
  <c r="H1217" i="368"/>
  <c r="I1217" i="368"/>
  <c r="J1217" i="368"/>
  <c r="H1218" i="368"/>
  <c r="I1218" i="368"/>
  <c r="J1218" i="368"/>
  <c r="H1219" i="368"/>
  <c r="I1219" i="368"/>
  <c r="J1219" i="368"/>
  <c r="H1220" i="368"/>
  <c r="I1220" i="368"/>
  <c r="J1220" i="368"/>
  <c r="H1221" i="368"/>
  <c r="I1221" i="368"/>
  <c r="J1221" i="368"/>
  <c r="H1222" i="368"/>
  <c r="I1222" i="368"/>
  <c r="J1222" i="368"/>
  <c r="H1223" i="368"/>
  <c r="I1223" i="368"/>
  <c r="J1223" i="368"/>
  <c r="H1224" i="368"/>
  <c r="I1224" i="368"/>
  <c r="J1224" i="368"/>
  <c r="H1225" i="368"/>
  <c r="I1225" i="368"/>
  <c r="J1225" i="368"/>
  <c r="H1226" i="368"/>
  <c r="I1226" i="368"/>
  <c r="J1226" i="368"/>
  <c r="H1227" i="368"/>
  <c r="I1227" i="368"/>
  <c r="J1227" i="368"/>
  <c r="H1228" i="368"/>
  <c r="I1228" i="368"/>
  <c r="J1228" i="368"/>
  <c r="H1229" i="368"/>
  <c r="I1229" i="368"/>
  <c r="J1229" i="368"/>
  <c r="H1230" i="368"/>
  <c r="I1230" i="368"/>
  <c r="J1230" i="368"/>
  <c r="H1231" i="368"/>
  <c r="I1231" i="368"/>
  <c r="J1231" i="368"/>
  <c r="H1232" i="368"/>
  <c r="I1232" i="368"/>
  <c r="J1232" i="368"/>
  <c r="H1233" i="368"/>
  <c r="I1233" i="368"/>
  <c r="J1233" i="368"/>
  <c r="H1234" i="368"/>
  <c r="I1234" i="368"/>
  <c r="J1234" i="368"/>
  <c r="H1235" i="368"/>
  <c r="I1235" i="368"/>
  <c r="J1235" i="368"/>
  <c r="H1236" i="368"/>
  <c r="I1236" i="368"/>
  <c r="J1236" i="368"/>
  <c r="H1237" i="368"/>
  <c r="I1237" i="368"/>
  <c r="J1237" i="368"/>
  <c r="H1238" i="368"/>
  <c r="I1238" i="368"/>
  <c r="J1238" i="368"/>
  <c r="H1239" i="368"/>
  <c r="I1239" i="368"/>
  <c r="J1239" i="368"/>
  <c r="H1240" i="368"/>
  <c r="I1240" i="368"/>
  <c r="J1240" i="368"/>
  <c r="H1241" i="368"/>
  <c r="I1241" i="368"/>
  <c r="J1241" i="368"/>
  <c r="H1242" i="368"/>
  <c r="I1242" i="368"/>
  <c r="J1242" i="368"/>
  <c r="H1243" i="368"/>
  <c r="I1243" i="368"/>
  <c r="J1243" i="368"/>
  <c r="H1244" i="368"/>
  <c r="I1244" i="368"/>
  <c r="J1244" i="368"/>
  <c r="H1245" i="368"/>
  <c r="I1245" i="368"/>
  <c r="J1245" i="368"/>
  <c r="H1246" i="368"/>
  <c r="I1246" i="368"/>
  <c r="J1246" i="368"/>
  <c r="H1247" i="368"/>
  <c r="I1247" i="368"/>
  <c r="J1247" i="368"/>
  <c r="H1248" i="368"/>
  <c r="I1248" i="368"/>
  <c r="J1248" i="368"/>
  <c r="H1249" i="368"/>
  <c r="I1249" i="368"/>
  <c r="J1249" i="368"/>
  <c r="H1250" i="368"/>
  <c r="I1250" i="368"/>
  <c r="J1250" i="368"/>
  <c r="H1251" i="368"/>
  <c r="I1251" i="368"/>
  <c r="J1251" i="368"/>
  <c r="H1252" i="368"/>
  <c r="I1252" i="368"/>
  <c r="J1252" i="368"/>
  <c r="H1253" i="368"/>
  <c r="I1253" i="368"/>
  <c r="J1253" i="368"/>
  <c r="H1254" i="368"/>
  <c r="I1254" i="368"/>
  <c r="J1254" i="368"/>
  <c r="H1255" i="368"/>
  <c r="I1255" i="368"/>
  <c r="J1255" i="368"/>
  <c r="H1256" i="368"/>
  <c r="I1256" i="368"/>
  <c r="J1256" i="368"/>
  <c r="H1257" i="368"/>
  <c r="I1257" i="368"/>
  <c r="J1257" i="368"/>
  <c r="H1258" i="368"/>
  <c r="I1258" i="368"/>
  <c r="J1258" i="368"/>
  <c r="H1259" i="368"/>
  <c r="I1259" i="368"/>
  <c r="J1259" i="368"/>
  <c r="H1260" i="368"/>
  <c r="I1260" i="368"/>
  <c r="J1260" i="368"/>
  <c r="H1261" i="368"/>
  <c r="I1261" i="368"/>
  <c r="J1261" i="368"/>
  <c r="H1262" i="368"/>
  <c r="I1262" i="368"/>
  <c r="J1262" i="368"/>
  <c r="H1263" i="368"/>
  <c r="I1263" i="368"/>
  <c r="J1263" i="368"/>
  <c r="H1264" i="368"/>
  <c r="I1264" i="368"/>
  <c r="J1264" i="368"/>
  <c r="H1265" i="368"/>
  <c r="I1265" i="368"/>
  <c r="J1265" i="368"/>
  <c r="H1266" i="368"/>
  <c r="I1266" i="368"/>
  <c r="J1266" i="368"/>
  <c r="H1267" i="368"/>
  <c r="I1267" i="368"/>
  <c r="J1267" i="368"/>
  <c r="H1268" i="368"/>
  <c r="I1268" i="368"/>
  <c r="J1268" i="368"/>
  <c r="H1269" i="368"/>
  <c r="I1269" i="368"/>
  <c r="J1269" i="368"/>
  <c r="H1270" i="368"/>
  <c r="I1270" i="368"/>
  <c r="J1270" i="368"/>
  <c r="H1271" i="368"/>
  <c r="I1271" i="368"/>
  <c r="J1271" i="368"/>
  <c r="H1272" i="368"/>
  <c r="I1272" i="368"/>
  <c r="J1272" i="368"/>
  <c r="H1273" i="368"/>
  <c r="I1273" i="368"/>
  <c r="J1273" i="368"/>
  <c r="H1274" i="368"/>
  <c r="I1274" i="368"/>
  <c r="J1274" i="368"/>
  <c r="H1275" i="368"/>
  <c r="I1275" i="368"/>
  <c r="J1275" i="368"/>
  <c r="H1276" i="368"/>
  <c r="I1276" i="368"/>
  <c r="J1276" i="368"/>
  <c r="H1277" i="368"/>
  <c r="I1277" i="368"/>
  <c r="J1277" i="368"/>
  <c r="H1278" i="368"/>
  <c r="I1278" i="368"/>
  <c r="J1278" i="368"/>
  <c r="H1279" i="368"/>
  <c r="I1279" i="368"/>
  <c r="J1279" i="368"/>
  <c r="H1280" i="368"/>
  <c r="I1280" i="368"/>
  <c r="J1280" i="368"/>
  <c r="H1281" i="368"/>
  <c r="I1281" i="368"/>
  <c r="J1281" i="368"/>
  <c r="H1282" i="368"/>
  <c r="I1282" i="368"/>
  <c r="J1282" i="368"/>
  <c r="H1283" i="368"/>
  <c r="I1283" i="368"/>
  <c r="J1283" i="368"/>
  <c r="H1284" i="368"/>
  <c r="I1284" i="368"/>
  <c r="J1284" i="368"/>
  <c r="H1285" i="368"/>
  <c r="I1285" i="368"/>
  <c r="J1285" i="368"/>
  <c r="H1286" i="368"/>
  <c r="I1286" i="368"/>
  <c r="J1286" i="368"/>
  <c r="H1287" i="368"/>
  <c r="I1287" i="368"/>
  <c r="J1287" i="368"/>
  <c r="H1288" i="368"/>
  <c r="I1288" i="368"/>
  <c r="J1288" i="368"/>
  <c r="H1289" i="368"/>
  <c r="I1289" i="368"/>
  <c r="J1289" i="368"/>
  <c r="H1290" i="368"/>
  <c r="I1290" i="368"/>
  <c r="J1290" i="368"/>
  <c r="H1291" i="368"/>
  <c r="I1291" i="368"/>
  <c r="J1291" i="368"/>
  <c r="H1292" i="368"/>
  <c r="I1292" i="368"/>
  <c r="J1292" i="368"/>
  <c r="H1293" i="368"/>
  <c r="I1293" i="368"/>
  <c r="J1293" i="368"/>
  <c r="H1294" i="368"/>
  <c r="I1294" i="368"/>
  <c r="J1294" i="368"/>
  <c r="H1295" i="368"/>
  <c r="I1295" i="368"/>
  <c r="J1295" i="368"/>
  <c r="H1296" i="368"/>
  <c r="I1296" i="368"/>
  <c r="J1296" i="368"/>
  <c r="H1297" i="368"/>
  <c r="I1297" i="368"/>
  <c r="J1297" i="368"/>
  <c r="H1298" i="368"/>
  <c r="I1298" i="368"/>
  <c r="J1298" i="368"/>
  <c r="H1299" i="368"/>
  <c r="I1299" i="368"/>
  <c r="J1299" i="368"/>
  <c r="H1300" i="368"/>
  <c r="I1300" i="368"/>
  <c r="J1300" i="368"/>
  <c r="H1301" i="368"/>
  <c r="I1301" i="368"/>
  <c r="J1301" i="368"/>
  <c r="H1302" i="368"/>
  <c r="I1302" i="368"/>
  <c r="J1302" i="368"/>
  <c r="H1303" i="368"/>
  <c r="I1303" i="368"/>
  <c r="J1303" i="368"/>
  <c r="H1304" i="368"/>
  <c r="I1304" i="368"/>
  <c r="J1304" i="368"/>
  <c r="H1305" i="368"/>
  <c r="I1305" i="368"/>
  <c r="J1305" i="368"/>
  <c r="H1306" i="368"/>
  <c r="I1306" i="368"/>
  <c r="J1306" i="368"/>
  <c r="H1307" i="368"/>
  <c r="I1307" i="368"/>
  <c r="J1307" i="368"/>
  <c r="H1308" i="368"/>
  <c r="I1308" i="368"/>
  <c r="J1308" i="368"/>
  <c r="H1309" i="368"/>
  <c r="I1309" i="368"/>
  <c r="J1309" i="368"/>
  <c r="H1310" i="368"/>
  <c r="I1310" i="368"/>
  <c r="J1310" i="368"/>
  <c r="H1311" i="368"/>
  <c r="I1311" i="368"/>
  <c r="J1311" i="368"/>
  <c r="H1312" i="368"/>
  <c r="I1312" i="368"/>
  <c r="J1312" i="368"/>
  <c r="H1313" i="368"/>
  <c r="I1313" i="368"/>
  <c r="J1313" i="368"/>
  <c r="H1314" i="368"/>
  <c r="I1314" i="368"/>
  <c r="J1314" i="368"/>
  <c r="H1315" i="368"/>
  <c r="I1315" i="368"/>
  <c r="J1315" i="368"/>
  <c r="H1316" i="368"/>
  <c r="I1316" i="368"/>
  <c r="J1316" i="368"/>
  <c r="H1317" i="368"/>
  <c r="I1317" i="368"/>
  <c r="J1317" i="368"/>
  <c r="H1318" i="368"/>
  <c r="I1318" i="368"/>
  <c r="J1318" i="368"/>
  <c r="H1319" i="368"/>
  <c r="I1319" i="368"/>
  <c r="J1319" i="368"/>
  <c r="H1320" i="368"/>
  <c r="I1320" i="368"/>
  <c r="J1320" i="368"/>
  <c r="H1321" i="368"/>
  <c r="I1321" i="368"/>
  <c r="J1321" i="368"/>
  <c r="H1322" i="368"/>
  <c r="I1322" i="368"/>
  <c r="J1322" i="368"/>
  <c r="H1323" i="368"/>
  <c r="I1323" i="368"/>
  <c r="J1323" i="368"/>
  <c r="H1324" i="368"/>
  <c r="I1324" i="368"/>
  <c r="J1324" i="368"/>
  <c r="H1325" i="368"/>
  <c r="I1325" i="368"/>
  <c r="J1325" i="368"/>
  <c r="H1326" i="368"/>
  <c r="I1326" i="368"/>
  <c r="J1326" i="368"/>
  <c r="H1327" i="368"/>
  <c r="I1327" i="368"/>
  <c r="J1327" i="368"/>
  <c r="H1328" i="368"/>
  <c r="I1328" i="368"/>
  <c r="J1328" i="368"/>
  <c r="H1329" i="368"/>
  <c r="I1329" i="368"/>
  <c r="J1329" i="368"/>
  <c r="H1330" i="368"/>
  <c r="I1330" i="368"/>
  <c r="J1330" i="368"/>
  <c r="H1331" i="368"/>
  <c r="I1331" i="368"/>
  <c r="J1331" i="368"/>
  <c r="H1332" i="368"/>
  <c r="I1332" i="368"/>
  <c r="J1332" i="368"/>
  <c r="H1333" i="368"/>
  <c r="I1333" i="368"/>
  <c r="J1333" i="368"/>
  <c r="H1334" i="368"/>
  <c r="I1334" i="368"/>
  <c r="J1334" i="368"/>
  <c r="H1335" i="368"/>
  <c r="I1335" i="368"/>
  <c r="J1335" i="368"/>
  <c r="H1336" i="368"/>
  <c r="I1336" i="368"/>
  <c r="J1336" i="368"/>
  <c r="H1337" i="368"/>
  <c r="I1337" i="368"/>
  <c r="J1337" i="368"/>
  <c r="H1338" i="368"/>
  <c r="I1338" i="368"/>
  <c r="J1338" i="368"/>
  <c r="H1339" i="368"/>
  <c r="I1339" i="368"/>
  <c r="J1339" i="368"/>
  <c r="H1340" i="368"/>
  <c r="I1340" i="368"/>
  <c r="J1340" i="368"/>
  <c r="H1341" i="368"/>
  <c r="I1341" i="368"/>
  <c r="J1341" i="368"/>
  <c r="H1342" i="368"/>
  <c r="I1342" i="368"/>
  <c r="J1342" i="368"/>
  <c r="H1343" i="368"/>
  <c r="I1343" i="368"/>
  <c r="J1343" i="368"/>
  <c r="H1344" i="368"/>
  <c r="I1344" i="368"/>
  <c r="J1344" i="368"/>
  <c r="H1345" i="368"/>
  <c r="I1345" i="368"/>
  <c r="J1345" i="368"/>
  <c r="H1346" i="368"/>
  <c r="I1346" i="368"/>
  <c r="J1346" i="368"/>
  <c r="H1347" i="368"/>
  <c r="I1347" i="368"/>
  <c r="J1347" i="368"/>
  <c r="H1348" i="368"/>
  <c r="I1348" i="368"/>
  <c r="J1348" i="368"/>
  <c r="H1349" i="368"/>
  <c r="I1349" i="368"/>
  <c r="J1349" i="368"/>
  <c r="H1350" i="368"/>
  <c r="I1350" i="368"/>
  <c r="J1350" i="368"/>
  <c r="H1351" i="368"/>
  <c r="I1351" i="368"/>
  <c r="J1351" i="368"/>
  <c r="H1352" i="368"/>
  <c r="I1352" i="368"/>
  <c r="J1352" i="368"/>
  <c r="H1353" i="368"/>
  <c r="I1353" i="368"/>
  <c r="J1353" i="368"/>
  <c r="H1354" i="368"/>
  <c r="I1354" i="368"/>
  <c r="J1354" i="368"/>
  <c r="H1355" i="368"/>
  <c r="I1355" i="368"/>
  <c r="J1355" i="368"/>
  <c r="H1356" i="368"/>
  <c r="I1356" i="368"/>
  <c r="J1356" i="368"/>
  <c r="H1357" i="368"/>
  <c r="I1357" i="368"/>
  <c r="J1357" i="368"/>
  <c r="H1358" i="368"/>
  <c r="I1358" i="368"/>
  <c r="J1358" i="368"/>
  <c r="H1359" i="368"/>
  <c r="I1359" i="368"/>
  <c r="J1359" i="368"/>
  <c r="H1360" i="368"/>
  <c r="I1360" i="368"/>
  <c r="J1360" i="368"/>
  <c r="H1361" i="368"/>
  <c r="I1361" i="368"/>
  <c r="J1361" i="368"/>
  <c r="H1362" i="368"/>
  <c r="I1362" i="368"/>
  <c r="J1362" i="368"/>
  <c r="H1363" i="368"/>
  <c r="I1363" i="368"/>
  <c r="J1363" i="368"/>
  <c r="H1364" i="368"/>
  <c r="I1364" i="368"/>
  <c r="J1364" i="368"/>
  <c r="H1365" i="368"/>
  <c r="I1365" i="368"/>
  <c r="J1365" i="368"/>
  <c r="H1366" i="368"/>
  <c r="I1366" i="368"/>
  <c r="J1366" i="368"/>
  <c r="H1367" i="368"/>
  <c r="I1367" i="368"/>
  <c r="J1367" i="368"/>
  <c r="H1368" i="368"/>
  <c r="I1368" i="368"/>
  <c r="J1368" i="368"/>
  <c r="H1369" i="368"/>
  <c r="I1369" i="368"/>
  <c r="J1369" i="368"/>
  <c r="H1370" i="368"/>
  <c r="I1370" i="368"/>
  <c r="J1370" i="368"/>
  <c r="H1371" i="368"/>
  <c r="I1371" i="368"/>
  <c r="J1371" i="368"/>
  <c r="H1372" i="368"/>
  <c r="I1372" i="368"/>
  <c r="J1372" i="368"/>
  <c r="H1373" i="368"/>
  <c r="I1373" i="368"/>
  <c r="J1373" i="368"/>
  <c r="H1374" i="368"/>
  <c r="I1374" i="368"/>
  <c r="J1374" i="368"/>
  <c r="H1375" i="368"/>
  <c r="I1375" i="368"/>
  <c r="J1375" i="368"/>
  <c r="H1376" i="368"/>
  <c r="I1376" i="368"/>
  <c r="J1376" i="368"/>
  <c r="H1377" i="368"/>
  <c r="I1377" i="368"/>
  <c r="J1377" i="368"/>
  <c r="H1378" i="368"/>
  <c r="I1378" i="368"/>
  <c r="J1378" i="368"/>
  <c r="H1379" i="368"/>
  <c r="I1379" i="368"/>
  <c r="J1379" i="368"/>
  <c r="H1380" i="368"/>
  <c r="I1380" i="368"/>
  <c r="J1380" i="368"/>
  <c r="H1381" i="368"/>
  <c r="I1381" i="368"/>
  <c r="J1381" i="368"/>
  <c r="H1382" i="368"/>
  <c r="I1382" i="368"/>
  <c r="J1382" i="368"/>
  <c r="H1383" i="368"/>
  <c r="I1383" i="368"/>
  <c r="J1383" i="368"/>
  <c r="H1384" i="368"/>
  <c r="I1384" i="368"/>
  <c r="J1384" i="368"/>
  <c r="H1385" i="368"/>
  <c r="I1385" i="368"/>
  <c r="J1385" i="368"/>
  <c r="H1386" i="368"/>
  <c r="I1386" i="368"/>
  <c r="J1386" i="368"/>
  <c r="H1387" i="368"/>
  <c r="I1387" i="368"/>
  <c r="J1387" i="368"/>
  <c r="H1388" i="368"/>
  <c r="I1388" i="368"/>
  <c r="J1388" i="368"/>
  <c r="H1389" i="368"/>
  <c r="I1389" i="368"/>
  <c r="J1389" i="368"/>
  <c r="H1390" i="368"/>
  <c r="I1390" i="368"/>
  <c r="J1390" i="368"/>
  <c r="H1391" i="368"/>
  <c r="I1391" i="368"/>
  <c r="J1391" i="368"/>
  <c r="H1392" i="368"/>
  <c r="I1392" i="368"/>
  <c r="J1392" i="368"/>
  <c r="H1393" i="368"/>
  <c r="I1393" i="368"/>
  <c r="J1393" i="368"/>
  <c r="H1394" i="368"/>
  <c r="I1394" i="368"/>
  <c r="J1394" i="368"/>
  <c r="H1395" i="368"/>
  <c r="I1395" i="368"/>
  <c r="J1395" i="368"/>
  <c r="H1396" i="368"/>
  <c r="I1396" i="368"/>
  <c r="J1396" i="368"/>
  <c r="H1397" i="368"/>
  <c r="I1397" i="368"/>
  <c r="J1397" i="368"/>
  <c r="H1398" i="368"/>
  <c r="I1398" i="368"/>
  <c r="J1398" i="368"/>
  <c r="H1399" i="368"/>
  <c r="I1399" i="368"/>
  <c r="J1399" i="368"/>
  <c r="H1400" i="368"/>
  <c r="I1400" i="368"/>
  <c r="J1400" i="368"/>
  <c r="H1401" i="368"/>
  <c r="I1401" i="368"/>
  <c r="J1401" i="368"/>
  <c r="H1402" i="368"/>
  <c r="I1402" i="368"/>
  <c r="J1402" i="368"/>
  <c r="H1403" i="368"/>
  <c r="I1403" i="368"/>
  <c r="J1403" i="368"/>
  <c r="H1404" i="368"/>
  <c r="I1404" i="368"/>
  <c r="J1404" i="368"/>
  <c r="H1405" i="368"/>
  <c r="I1405" i="368"/>
  <c r="J1405" i="368"/>
  <c r="H1406" i="368"/>
  <c r="I1406" i="368"/>
  <c r="J1406" i="368"/>
  <c r="H1407" i="368"/>
  <c r="I1407" i="368"/>
  <c r="J1407" i="368"/>
  <c r="H1408" i="368"/>
  <c r="I1408" i="368"/>
  <c r="J1408" i="368"/>
  <c r="H1409" i="368"/>
  <c r="I1409" i="368"/>
  <c r="J1409" i="368"/>
  <c r="H1410" i="368"/>
  <c r="I1410" i="368"/>
  <c r="J1410" i="368"/>
  <c r="H1411" i="368"/>
  <c r="I1411" i="368"/>
  <c r="J1411" i="368"/>
  <c r="H1412" i="368"/>
  <c r="I1412" i="368"/>
  <c r="J1412" i="368"/>
  <c r="H1413" i="368"/>
  <c r="I1413" i="368"/>
  <c r="J1413" i="368"/>
  <c r="H1414" i="368"/>
  <c r="I1414" i="368"/>
  <c r="J1414" i="368"/>
  <c r="H1415" i="368"/>
  <c r="I1415" i="368"/>
  <c r="J1415" i="368"/>
  <c r="H1416" i="368"/>
  <c r="I1416" i="368"/>
  <c r="J1416" i="368"/>
  <c r="H1417" i="368"/>
  <c r="I1417" i="368"/>
  <c r="J1417" i="368"/>
  <c r="H1418" i="368"/>
  <c r="I1418" i="368"/>
  <c r="J1418" i="368"/>
  <c r="H1419" i="368"/>
  <c r="I1419" i="368"/>
  <c r="J1419" i="368"/>
  <c r="H1420" i="368"/>
  <c r="I1420" i="368"/>
  <c r="J1420" i="368"/>
  <c r="H1421" i="368"/>
  <c r="I1421" i="368"/>
  <c r="J1421" i="368"/>
  <c r="H1422" i="368"/>
  <c r="I1422" i="368"/>
  <c r="J1422" i="368"/>
  <c r="H1423" i="368"/>
  <c r="I1423" i="368"/>
  <c r="J1423" i="368"/>
  <c r="H1424" i="368"/>
  <c r="I1424" i="368"/>
  <c r="J1424" i="368"/>
  <c r="H1425" i="368"/>
  <c r="I1425" i="368"/>
  <c r="J1425" i="368"/>
  <c r="H1426" i="368"/>
  <c r="I1426" i="368"/>
  <c r="J1426" i="368"/>
  <c r="H1427" i="368"/>
  <c r="I1427" i="368"/>
  <c r="J1427" i="368"/>
  <c r="H1428" i="368"/>
  <c r="I1428" i="368"/>
  <c r="J1428" i="368"/>
  <c r="H1429" i="368"/>
  <c r="I1429" i="368"/>
  <c r="J1429" i="368"/>
  <c r="H1430" i="368"/>
  <c r="I1430" i="368"/>
  <c r="J1430" i="368"/>
  <c r="H1431" i="368"/>
  <c r="I1431" i="368"/>
  <c r="J1431" i="368"/>
  <c r="H1432" i="368"/>
  <c r="I1432" i="368"/>
  <c r="J1432" i="368"/>
  <c r="H1433" i="368"/>
  <c r="I1433" i="368"/>
  <c r="J1433" i="368"/>
  <c r="H1434" i="368"/>
  <c r="I1434" i="368"/>
  <c r="J1434" i="368"/>
  <c r="H1435" i="368"/>
  <c r="I1435" i="368"/>
  <c r="J1435" i="368"/>
  <c r="H1436" i="368"/>
  <c r="I1436" i="368"/>
  <c r="J1436" i="368"/>
  <c r="H1437" i="368"/>
  <c r="I1437" i="368"/>
  <c r="J1437" i="368"/>
  <c r="H1438" i="368"/>
  <c r="I1438" i="368"/>
  <c r="J1438" i="368"/>
  <c r="H1439" i="368"/>
  <c r="I1439" i="368"/>
  <c r="J1439" i="368"/>
  <c r="H1440" i="368"/>
  <c r="I1440" i="368"/>
  <c r="J1440" i="368"/>
  <c r="H1441" i="368"/>
  <c r="I1441" i="368"/>
  <c r="J1441" i="368"/>
  <c r="H1442" i="368"/>
  <c r="I1442" i="368"/>
  <c r="J1442" i="368"/>
  <c r="H1443" i="368"/>
  <c r="I1443" i="368"/>
  <c r="J1443" i="368"/>
  <c r="H1444" i="368"/>
  <c r="I1444" i="368"/>
  <c r="J1444" i="368"/>
  <c r="H1445" i="368"/>
  <c r="I1445" i="368"/>
  <c r="J1445" i="368"/>
  <c r="H1446" i="368"/>
  <c r="I1446" i="368"/>
  <c r="J1446" i="368"/>
  <c r="H1447" i="368"/>
  <c r="I1447" i="368"/>
  <c r="J1447" i="368"/>
  <c r="H1448" i="368"/>
  <c r="I1448" i="368"/>
  <c r="J1448" i="368"/>
  <c r="H1449" i="368"/>
  <c r="I1449" i="368"/>
  <c r="J1449" i="368"/>
  <c r="H1450" i="368"/>
  <c r="I1450" i="368"/>
  <c r="J1450" i="368"/>
  <c r="H1451" i="368"/>
  <c r="I1451" i="368"/>
  <c r="J1451" i="368"/>
  <c r="H1452" i="368"/>
  <c r="I1452" i="368"/>
  <c r="J1452" i="368"/>
  <c r="H1453" i="368"/>
  <c r="I1453" i="368"/>
  <c r="J1453" i="368"/>
  <c r="H1454" i="368"/>
  <c r="I1454" i="368"/>
  <c r="J1454" i="368"/>
  <c r="H1455" i="368"/>
  <c r="I1455" i="368"/>
  <c r="J1455" i="368"/>
  <c r="H1456" i="368"/>
  <c r="I1456" i="368"/>
  <c r="J1456" i="368"/>
  <c r="H1457" i="368"/>
  <c r="I1457" i="368"/>
  <c r="J1457" i="368"/>
  <c r="H1458" i="368"/>
  <c r="I1458" i="368"/>
  <c r="J1458" i="368"/>
  <c r="H1459" i="368"/>
  <c r="I1459" i="368"/>
  <c r="J1459" i="368"/>
  <c r="H1460" i="368"/>
  <c r="I1460" i="368"/>
  <c r="J1460" i="368"/>
  <c r="H1461" i="368"/>
  <c r="I1461" i="368"/>
  <c r="J1461" i="368"/>
  <c r="H1462" i="368"/>
  <c r="I1462" i="368"/>
  <c r="J1462" i="368"/>
  <c r="H1463" i="368"/>
  <c r="I1463" i="368"/>
  <c r="J1463" i="368"/>
  <c r="H1464" i="368"/>
  <c r="I1464" i="368"/>
  <c r="J1464" i="368"/>
  <c r="H1465" i="368"/>
  <c r="I1465" i="368"/>
  <c r="J1465" i="368"/>
  <c r="H1466" i="368"/>
  <c r="I1466" i="368"/>
  <c r="J1466" i="368"/>
  <c r="H1467" i="368"/>
  <c r="I1467" i="368"/>
  <c r="J1467" i="368"/>
  <c r="H1468" i="368"/>
  <c r="I1468" i="368"/>
  <c r="J1468" i="368"/>
  <c r="H1469" i="368"/>
  <c r="I1469" i="368"/>
  <c r="J1469" i="368"/>
  <c r="H1470" i="368"/>
  <c r="I1470" i="368"/>
  <c r="J1470" i="368"/>
  <c r="H1471" i="368"/>
  <c r="I1471" i="368"/>
  <c r="J1471" i="368"/>
  <c r="H1472" i="368"/>
  <c r="I1472" i="368"/>
  <c r="J1472" i="368"/>
  <c r="H1473" i="368"/>
  <c r="I1473" i="368"/>
  <c r="J1473" i="368"/>
  <c r="H1474" i="368"/>
  <c r="I1474" i="368"/>
  <c r="J1474" i="368"/>
  <c r="H1475" i="368"/>
  <c r="I1475" i="368"/>
  <c r="J1475" i="368"/>
  <c r="H1476" i="368"/>
  <c r="I1476" i="368"/>
  <c r="J1476" i="368"/>
  <c r="H1477" i="368"/>
  <c r="I1477" i="368"/>
  <c r="J1477" i="368"/>
  <c r="H1478" i="368"/>
  <c r="I1478" i="368"/>
  <c r="J1478" i="368"/>
  <c r="H1479" i="368"/>
  <c r="I1479" i="368"/>
  <c r="J1479" i="368"/>
  <c r="H1480" i="368"/>
  <c r="I1480" i="368"/>
  <c r="J1480" i="368"/>
  <c r="H1481" i="368"/>
  <c r="I1481" i="368"/>
  <c r="J1481" i="368"/>
  <c r="H1482" i="368"/>
  <c r="I1482" i="368"/>
  <c r="J1482" i="368"/>
  <c r="H1483" i="368"/>
  <c r="I1483" i="368"/>
  <c r="J1483" i="368"/>
  <c r="H1484" i="368"/>
  <c r="I1484" i="368"/>
  <c r="J1484" i="368"/>
  <c r="H1485" i="368"/>
  <c r="I1485" i="368"/>
  <c r="J1485" i="368"/>
  <c r="H1486" i="368"/>
  <c r="I1486" i="368"/>
  <c r="J1486" i="368"/>
  <c r="H1487" i="368"/>
  <c r="I1487" i="368"/>
  <c r="J1487" i="368"/>
  <c r="H1488" i="368"/>
  <c r="I1488" i="368"/>
  <c r="J1488" i="368"/>
  <c r="H1489" i="368"/>
  <c r="I1489" i="368"/>
  <c r="J1489" i="368"/>
  <c r="H1490" i="368"/>
  <c r="I1490" i="368"/>
  <c r="J1490" i="368"/>
  <c r="H1491" i="368"/>
  <c r="I1491" i="368"/>
  <c r="J1491" i="368"/>
  <c r="H1492" i="368"/>
  <c r="I1492" i="368"/>
  <c r="J1492" i="368"/>
  <c r="H1493" i="368"/>
  <c r="I1493" i="368"/>
  <c r="J1493" i="368"/>
  <c r="H1494" i="368"/>
  <c r="I1494" i="368"/>
  <c r="J1494" i="368"/>
  <c r="H1495" i="368"/>
  <c r="I1495" i="368"/>
  <c r="J1495" i="368"/>
  <c r="H1496" i="368"/>
  <c r="I1496" i="368"/>
  <c r="J1496" i="368"/>
  <c r="H1497" i="368"/>
  <c r="I1497" i="368"/>
  <c r="J1497" i="368"/>
  <c r="H1498" i="368"/>
  <c r="I1498" i="368"/>
  <c r="J1498" i="368"/>
  <c r="H1499" i="368"/>
  <c r="I1499" i="368"/>
  <c r="J1499" i="368"/>
  <c r="H1500" i="368"/>
  <c r="I1500" i="368"/>
  <c r="J1500" i="368"/>
  <c r="H1501" i="368"/>
  <c r="I1501" i="368"/>
  <c r="J1501" i="368"/>
  <c r="H1502" i="368"/>
  <c r="I1502" i="368"/>
  <c r="J1502" i="368"/>
  <c r="H1503" i="368"/>
  <c r="I1503" i="368"/>
  <c r="J1503" i="368"/>
  <c r="H1504" i="368"/>
  <c r="I1504" i="368"/>
  <c r="J1504" i="368"/>
  <c r="H1505" i="368"/>
  <c r="I1505" i="368"/>
  <c r="J1505" i="368"/>
  <c r="H1506" i="368"/>
  <c r="I1506" i="368"/>
  <c r="J1506" i="368"/>
  <c r="H1507" i="368"/>
  <c r="I1507" i="368"/>
  <c r="J1507" i="368"/>
  <c r="H1508" i="368"/>
  <c r="I1508" i="368"/>
  <c r="J1508" i="368"/>
  <c r="H1509" i="368"/>
  <c r="I1509" i="368"/>
  <c r="J1509" i="368"/>
  <c r="H1510" i="368"/>
  <c r="I1510" i="368"/>
  <c r="J1510" i="368"/>
  <c r="H1511" i="368"/>
  <c r="I1511" i="368"/>
  <c r="J1511" i="368"/>
  <c r="H1512" i="368"/>
  <c r="I1512" i="368"/>
  <c r="J1512" i="368"/>
  <c r="H1513" i="368"/>
  <c r="I1513" i="368"/>
  <c r="J1513" i="368"/>
  <c r="H1514" i="368"/>
  <c r="I1514" i="368"/>
  <c r="J1514" i="368"/>
  <c r="H1515" i="368"/>
  <c r="I1515" i="368"/>
  <c r="J1515" i="368"/>
  <c r="H1516" i="368"/>
  <c r="I1516" i="368"/>
  <c r="J1516" i="368"/>
  <c r="H1517" i="368"/>
  <c r="I1517" i="368"/>
  <c r="J1517" i="368"/>
  <c r="H1518" i="368"/>
  <c r="I1518" i="368"/>
  <c r="J1518" i="368"/>
  <c r="H1519" i="368"/>
  <c r="I1519" i="368"/>
  <c r="J1519" i="368"/>
  <c r="H1520" i="368"/>
  <c r="I1520" i="368"/>
  <c r="J1520" i="368"/>
  <c r="H1521" i="368"/>
  <c r="I1521" i="368"/>
  <c r="J1521" i="368"/>
  <c r="H1522" i="368"/>
  <c r="I1522" i="368"/>
  <c r="J1522" i="368"/>
  <c r="H1523" i="368"/>
  <c r="I1523" i="368"/>
  <c r="J1523" i="368"/>
  <c r="H1524" i="368"/>
  <c r="I1524" i="368"/>
  <c r="J1524" i="368"/>
  <c r="H1525" i="368"/>
  <c r="I1525" i="368"/>
  <c r="J1525" i="368"/>
  <c r="H1526" i="368"/>
  <c r="I1526" i="368"/>
  <c r="J1526" i="368"/>
  <c r="H1527" i="368"/>
  <c r="I1527" i="368"/>
  <c r="J1527" i="368"/>
  <c r="H1528" i="368"/>
  <c r="I1528" i="368"/>
  <c r="J1528" i="368"/>
  <c r="H1529" i="368"/>
  <c r="I1529" i="368"/>
  <c r="J1529" i="368"/>
  <c r="H1530" i="368"/>
  <c r="I1530" i="368"/>
  <c r="J1530" i="368"/>
  <c r="H1531" i="368"/>
  <c r="I1531" i="368"/>
  <c r="J1531" i="368"/>
  <c r="H1532" i="368"/>
  <c r="I1532" i="368"/>
  <c r="J1532" i="368"/>
  <c r="H1533" i="368"/>
  <c r="I1533" i="368"/>
  <c r="J1533" i="368"/>
  <c r="H1534" i="368"/>
  <c r="I1534" i="368"/>
  <c r="J1534" i="368"/>
  <c r="H1535" i="368"/>
  <c r="I1535" i="368"/>
  <c r="J1535" i="368"/>
  <c r="H1536" i="368"/>
  <c r="I1536" i="368"/>
  <c r="J1536" i="368"/>
  <c r="H1537" i="368"/>
  <c r="I1537" i="368"/>
  <c r="J1537" i="368"/>
  <c r="H1538" i="368"/>
  <c r="I1538" i="368"/>
  <c r="J1538" i="368"/>
  <c r="H1539" i="368"/>
  <c r="I1539" i="368"/>
  <c r="J1539" i="368"/>
  <c r="H1540" i="368"/>
  <c r="I1540" i="368"/>
  <c r="J1540" i="368"/>
  <c r="H1541" i="368"/>
  <c r="I1541" i="368"/>
  <c r="J1541" i="368"/>
  <c r="H1542" i="368"/>
  <c r="I1542" i="368"/>
  <c r="J1542" i="368"/>
  <c r="H1543" i="368"/>
  <c r="I1543" i="368"/>
  <c r="J1543" i="368"/>
  <c r="H1544" i="368"/>
  <c r="I1544" i="368"/>
  <c r="J1544" i="368"/>
  <c r="H1545" i="368"/>
  <c r="I1545" i="368"/>
  <c r="J1545" i="368"/>
  <c r="H1546" i="368"/>
  <c r="I1546" i="368"/>
  <c r="J1546" i="368"/>
  <c r="H1547" i="368"/>
  <c r="I1547" i="368"/>
  <c r="J1547" i="368"/>
  <c r="H1548" i="368"/>
  <c r="I1548" i="368"/>
  <c r="J1548" i="368"/>
  <c r="H1549" i="368"/>
  <c r="I1549" i="368"/>
  <c r="J1549" i="368"/>
  <c r="H1550" i="368"/>
  <c r="I1550" i="368"/>
  <c r="J1550" i="368"/>
  <c r="H1551" i="368"/>
  <c r="I1551" i="368"/>
  <c r="J1551" i="368"/>
  <c r="H1552" i="368"/>
  <c r="I1552" i="368"/>
  <c r="J1552" i="368"/>
  <c r="H1553" i="368"/>
  <c r="I1553" i="368"/>
  <c r="J1553" i="368"/>
  <c r="H1554" i="368"/>
  <c r="I1554" i="368"/>
  <c r="J1554" i="368"/>
  <c r="H1555" i="368"/>
  <c r="I1555" i="368"/>
  <c r="J1555" i="368"/>
  <c r="H1556" i="368"/>
  <c r="I1556" i="368"/>
  <c r="J1556" i="368"/>
  <c r="H1557" i="368"/>
  <c r="I1557" i="368"/>
  <c r="J1557" i="368"/>
  <c r="H1558" i="368"/>
  <c r="I1558" i="368"/>
  <c r="J1558" i="368"/>
  <c r="H1559" i="368"/>
  <c r="I1559" i="368"/>
  <c r="J1559" i="368"/>
  <c r="H1560" i="368"/>
  <c r="I1560" i="368"/>
  <c r="J1560" i="368"/>
  <c r="H1561" i="368"/>
  <c r="I1561" i="368"/>
  <c r="J1561" i="368"/>
  <c r="H1562" i="368"/>
  <c r="I1562" i="368"/>
  <c r="J1562" i="368"/>
  <c r="H1563" i="368"/>
  <c r="I1563" i="368"/>
  <c r="J1563" i="368"/>
  <c r="H1564" i="368"/>
  <c r="I1564" i="368"/>
  <c r="J1564" i="368"/>
  <c r="H1565" i="368"/>
  <c r="I1565" i="368"/>
  <c r="J1565" i="368"/>
  <c r="H1566" i="368"/>
  <c r="I1566" i="368"/>
  <c r="J1566" i="368"/>
  <c r="H1567" i="368"/>
  <c r="I1567" i="368"/>
  <c r="J1567" i="368"/>
  <c r="H1568" i="368"/>
  <c r="I1568" i="368"/>
  <c r="J1568" i="368"/>
  <c r="H1569" i="368"/>
  <c r="I1569" i="368"/>
  <c r="J1569" i="368"/>
  <c r="H1570" i="368"/>
  <c r="I1570" i="368"/>
  <c r="J1570" i="368"/>
  <c r="H1571" i="368"/>
  <c r="I1571" i="368"/>
  <c r="J1571" i="368"/>
  <c r="H1572" i="368"/>
  <c r="I1572" i="368"/>
  <c r="J1572" i="368"/>
  <c r="H1573" i="368"/>
  <c r="I1573" i="368"/>
  <c r="J1573" i="368"/>
  <c r="H1574" i="368"/>
  <c r="I1574" i="368"/>
  <c r="J1574" i="368"/>
  <c r="H1575" i="368"/>
  <c r="I1575" i="368"/>
  <c r="J1575" i="368"/>
  <c r="H1576" i="368"/>
  <c r="I1576" i="368"/>
  <c r="J1576" i="368"/>
  <c r="H1577" i="368"/>
  <c r="I1577" i="368"/>
  <c r="J1577" i="368"/>
  <c r="H1578" i="368"/>
  <c r="I1578" i="368"/>
  <c r="J1578" i="368"/>
  <c r="H1579" i="368"/>
  <c r="I1579" i="368"/>
  <c r="J1579" i="368"/>
  <c r="H1580" i="368"/>
  <c r="I1580" i="368"/>
  <c r="J1580" i="368"/>
  <c r="H1581" i="368"/>
  <c r="I1581" i="368"/>
  <c r="J1581" i="368"/>
  <c r="H1582" i="368"/>
  <c r="I1582" i="368"/>
  <c r="J1582" i="368"/>
  <c r="H1583" i="368"/>
  <c r="I1583" i="368"/>
  <c r="J1583" i="368"/>
  <c r="H1584" i="368"/>
  <c r="I1584" i="368"/>
  <c r="J1584" i="368"/>
  <c r="H1585" i="368"/>
  <c r="I1585" i="368"/>
  <c r="J1585" i="368"/>
  <c r="H1586" i="368"/>
  <c r="I1586" i="368"/>
  <c r="J1586" i="368"/>
  <c r="H1587" i="368"/>
  <c r="I1587" i="368"/>
  <c r="J1587" i="368"/>
  <c r="H1588" i="368"/>
  <c r="I1588" i="368"/>
  <c r="J1588" i="368"/>
  <c r="H1589" i="368"/>
  <c r="I1589" i="368"/>
  <c r="J1589" i="368"/>
  <c r="H1590" i="368"/>
  <c r="I1590" i="368"/>
  <c r="J1590" i="368"/>
  <c r="H1591" i="368"/>
  <c r="I1591" i="368"/>
  <c r="J1591" i="368"/>
  <c r="H1592" i="368"/>
  <c r="I1592" i="368"/>
  <c r="J1592" i="368"/>
  <c r="H1593" i="368"/>
  <c r="I1593" i="368"/>
  <c r="J1593" i="368"/>
  <c r="H1594" i="368"/>
  <c r="I1594" i="368"/>
  <c r="J1594" i="368"/>
  <c r="H1595" i="368"/>
  <c r="I1595" i="368"/>
  <c r="J1595" i="368"/>
  <c r="H1596" i="368"/>
  <c r="I1596" i="368"/>
  <c r="J1596" i="368"/>
  <c r="H1597" i="368"/>
  <c r="I1597" i="368"/>
  <c r="J1597" i="368"/>
  <c r="H1598" i="368"/>
  <c r="I1598" i="368"/>
  <c r="J1598" i="368"/>
  <c r="H1599" i="368"/>
  <c r="I1599" i="368"/>
  <c r="J1599" i="368"/>
  <c r="H1600" i="368"/>
  <c r="I1600" i="368"/>
  <c r="J1600" i="368"/>
  <c r="H1601" i="368"/>
  <c r="I1601" i="368"/>
  <c r="J1601" i="368"/>
  <c r="H1602" i="368"/>
  <c r="I1602" i="368"/>
  <c r="J1602" i="368"/>
  <c r="H1603" i="368"/>
  <c r="I1603" i="368"/>
  <c r="J1603" i="368"/>
  <c r="H1604" i="368"/>
  <c r="I1604" i="368"/>
  <c r="J1604" i="368"/>
  <c r="H1605" i="368"/>
  <c r="I1605" i="368"/>
  <c r="J1605" i="368"/>
  <c r="H1606" i="368"/>
  <c r="I1606" i="368"/>
  <c r="J1606" i="368"/>
  <c r="H1607" i="368"/>
  <c r="I1607" i="368"/>
  <c r="J1607" i="368"/>
  <c r="H1608" i="368"/>
  <c r="I1608" i="368"/>
  <c r="J1608" i="368"/>
  <c r="H1609" i="368"/>
  <c r="I1609" i="368"/>
  <c r="J1609" i="368"/>
  <c r="H1610" i="368"/>
  <c r="I1610" i="368"/>
  <c r="J1610" i="368"/>
  <c r="H1611" i="368"/>
  <c r="I1611" i="368"/>
  <c r="J1611" i="368"/>
  <c r="H1612" i="368"/>
  <c r="I1612" i="368"/>
  <c r="J1612" i="368"/>
  <c r="H1613" i="368"/>
  <c r="I1613" i="368"/>
  <c r="J1613" i="368"/>
  <c r="H1614" i="368"/>
  <c r="I1614" i="368"/>
  <c r="J1614" i="368"/>
  <c r="H1615" i="368"/>
  <c r="I1615" i="368"/>
  <c r="J1615" i="368"/>
  <c r="H1616" i="368"/>
  <c r="I1616" i="368"/>
  <c r="J1616" i="368"/>
  <c r="H1617" i="368"/>
  <c r="I1617" i="368"/>
  <c r="J1617" i="368"/>
  <c r="H1618" i="368"/>
  <c r="I1618" i="368"/>
  <c r="J1618" i="368"/>
  <c r="H1619" i="368"/>
  <c r="I1619" i="368"/>
  <c r="J1619" i="368"/>
  <c r="H1620" i="368"/>
  <c r="I1620" i="368"/>
  <c r="J1620" i="368"/>
  <c r="H1621" i="368"/>
  <c r="I1621" i="368"/>
  <c r="J1621" i="368"/>
  <c r="H1622" i="368"/>
  <c r="I1622" i="368"/>
  <c r="J1622" i="368"/>
  <c r="H1623" i="368"/>
  <c r="I1623" i="368"/>
  <c r="J1623" i="368"/>
  <c r="H1624" i="368"/>
  <c r="I1624" i="368"/>
  <c r="J1624" i="368"/>
  <c r="H1625" i="368"/>
  <c r="I1625" i="368"/>
  <c r="J1625" i="368"/>
  <c r="H1626" i="368"/>
  <c r="I1626" i="368"/>
  <c r="J1626" i="368"/>
  <c r="H1627" i="368"/>
  <c r="I1627" i="368"/>
  <c r="J1627" i="368"/>
  <c r="H1628" i="368"/>
  <c r="I1628" i="368"/>
  <c r="J1628" i="368"/>
  <c r="H1629" i="368"/>
  <c r="I1629" i="368"/>
  <c r="J1629" i="368"/>
  <c r="H1630" i="368"/>
  <c r="I1630" i="368"/>
  <c r="J1630" i="368"/>
  <c r="H1631" i="368"/>
  <c r="I1631" i="368"/>
  <c r="J1631" i="368"/>
  <c r="H1632" i="368"/>
  <c r="I1632" i="368"/>
  <c r="J1632" i="368"/>
  <c r="H1633" i="368"/>
  <c r="I1633" i="368"/>
  <c r="J1633" i="368"/>
  <c r="H1634" i="368"/>
  <c r="I1634" i="368"/>
  <c r="J1634" i="368"/>
  <c r="H1635" i="368"/>
  <c r="I1635" i="368"/>
  <c r="J1635" i="368"/>
  <c r="H1636" i="368"/>
  <c r="I1636" i="368"/>
  <c r="J1636" i="368"/>
  <c r="H1637" i="368"/>
  <c r="I1637" i="368"/>
  <c r="J1637" i="368"/>
  <c r="H1638" i="368"/>
  <c r="I1638" i="368"/>
  <c r="J1638" i="368"/>
  <c r="H1639" i="368"/>
  <c r="I1639" i="368"/>
  <c r="J1639" i="368"/>
  <c r="H1640" i="368"/>
  <c r="I1640" i="368"/>
  <c r="J1640" i="368"/>
  <c r="H1641" i="368"/>
  <c r="I1641" i="368"/>
  <c r="J1641" i="368"/>
  <c r="H1642" i="368"/>
  <c r="I1642" i="368"/>
  <c r="J1642" i="368"/>
  <c r="H1643" i="368"/>
  <c r="I1643" i="368"/>
  <c r="J1643" i="368"/>
  <c r="H1644" i="368"/>
  <c r="I1644" i="368"/>
  <c r="J1644" i="368"/>
  <c r="H1645" i="368"/>
  <c r="I1645" i="368"/>
  <c r="J1645" i="368"/>
  <c r="H1646" i="368"/>
  <c r="I1646" i="368"/>
  <c r="J1646" i="368"/>
  <c r="H1647" i="368"/>
  <c r="I1647" i="368"/>
  <c r="J1647" i="368"/>
  <c r="H1648" i="368"/>
  <c r="I1648" i="368"/>
  <c r="J1648" i="368"/>
  <c r="H1649" i="368"/>
  <c r="I1649" i="368"/>
  <c r="J1649" i="368"/>
  <c r="H1650" i="368"/>
  <c r="I1650" i="368"/>
  <c r="J1650" i="368"/>
  <c r="H1651" i="368"/>
  <c r="I1651" i="368"/>
  <c r="J1651" i="368"/>
  <c r="H1652" i="368"/>
  <c r="I1652" i="368"/>
  <c r="J1652" i="368"/>
  <c r="H1653" i="368"/>
  <c r="I1653" i="368"/>
  <c r="J1653" i="368"/>
  <c r="H1654" i="368"/>
  <c r="I1654" i="368"/>
  <c r="J1654" i="368"/>
  <c r="H1655" i="368"/>
  <c r="I1655" i="368"/>
  <c r="J1655" i="368"/>
  <c r="H1656" i="368"/>
  <c r="I1656" i="368"/>
  <c r="J1656" i="368"/>
  <c r="H1657" i="368"/>
  <c r="I1657" i="368"/>
  <c r="J1657" i="368"/>
  <c r="H1658" i="368"/>
  <c r="I1658" i="368"/>
  <c r="J1658" i="368"/>
  <c r="H1659" i="368"/>
  <c r="I1659" i="368"/>
  <c r="J1659" i="368"/>
  <c r="H1660" i="368"/>
  <c r="I1660" i="368"/>
  <c r="J1660" i="368"/>
  <c r="H1661" i="368"/>
  <c r="I1661" i="368"/>
  <c r="J1661" i="368"/>
  <c r="H1662" i="368"/>
  <c r="I1662" i="368"/>
  <c r="J1662" i="368"/>
  <c r="H1663" i="368"/>
  <c r="I1663" i="368"/>
  <c r="J1663" i="368"/>
  <c r="H1664" i="368"/>
  <c r="I1664" i="368"/>
  <c r="J1664" i="368"/>
  <c r="H1665" i="368"/>
  <c r="I1665" i="368"/>
  <c r="J1665" i="368"/>
  <c r="H1666" i="368"/>
  <c r="I1666" i="368"/>
  <c r="J1666" i="368"/>
  <c r="H1667" i="368"/>
  <c r="I1667" i="368"/>
  <c r="J1667" i="368"/>
  <c r="H1668" i="368"/>
  <c r="I1668" i="368"/>
  <c r="J1668" i="368"/>
  <c r="H1669" i="368"/>
  <c r="I1669" i="368"/>
  <c r="J1669" i="368"/>
  <c r="H1670" i="368"/>
  <c r="I1670" i="368"/>
  <c r="J1670" i="368"/>
  <c r="H1671" i="368"/>
  <c r="I1671" i="368"/>
  <c r="J1671" i="368"/>
  <c r="H1672" i="368"/>
  <c r="I1672" i="368"/>
  <c r="J1672" i="368"/>
  <c r="H1673" i="368"/>
  <c r="I1673" i="368"/>
  <c r="J1673" i="368"/>
  <c r="H1674" i="368"/>
  <c r="I1674" i="368"/>
  <c r="J1674" i="368"/>
  <c r="H1675" i="368"/>
  <c r="I1675" i="368"/>
  <c r="J1675" i="368"/>
  <c r="H1676" i="368"/>
  <c r="I1676" i="368"/>
  <c r="J1676" i="368"/>
  <c r="H1677" i="368"/>
  <c r="I1677" i="368"/>
  <c r="J1677" i="368"/>
  <c r="H1678" i="368"/>
  <c r="I1678" i="368"/>
  <c r="J1678" i="368"/>
  <c r="H1679" i="368"/>
  <c r="I1679" i="368"/>
  <c r="J1679" i="368"/>
  <c r="H1680" i="368"/>
  <c r="I1680" i="368"/>
  <c r="J1680" i="368"/>
  <c r="H1681" i="368"/>
  <c r="I1681" i="368"/>
  <c r="J1681" i="368"/>
  <c r="H1682" i="368"/>
  <c r="I1682" i="368"/>
  <c r="J1682" i="368"/>
  <c r="H1683" i="368"/>
  <c r="I1683" i="368"/>
  <c r="J1683" i="368"/>
  <c r="H1684" i="368"/>
  <c r="I1684" i="368"/>
  <c r="J1684" i="368"/>
  <c r="H1685" i="368"/>
  <c r="I1685" i="368"/>
  <c r="J1685" i="368"/>
  <c r="H1686" i="368"/>
  <c r="I1686" i="368"/>
  <c r="J1686" i="368"/>
  <c r="H1687" i="368"/>
  <c r="I1687" i="368"/>
  <c r="J1687" i="368"/>
  <c r="H1688" i="368"/>
  <c r="I1688" i="368"/>
  <c r="J1688" i="368"/>
  <c r="H1689" i="368"/>
  <c r="I1689" i="368"/>
  <c r="J1689" i="368"/>
  <c r="H1690" i="368"/>
  <c r="I1690" i="368"/>
  <c r="J1690" i="368"/>
  <c r="H1691" i="368"/>
  <c r="I1691" i="368"/>
  <c r="J1691" i="368"/>
  <c r="H1692" i="368"/>
  <c r="I1692" i="368"/>
  <c r="J1692" i="368"/>
  <c r="H1693" i="368"/>
  <c r="I1693" i="368"/>
  <c r="J1693" i="368"/>
  <c r="H1694" i="368"/>
  <c r="I1694" i="368"/>
  <c r="J1694" i="368"/>
  <c r="H1695" i="368"/>
  <c r="I1695" i="368"/>
  <c r="J1695" i="368"/>
  <c r="H1696" i="368"/>
  <c r="I1696" i="368"/>
  <c r="J1696" i="368"/>
  <c r="H1697" i="368"/>
  <c r="I1697" i="368"/>
  <c r="J1697" i="368"/>
  <c r="H1698" i="368"/>
  <c r="I1698" i="368"/>
  <c r="J1698" i="368"/>
  <c r="H1699" i="368"/>
  <c r="I1699" i="368"/>
  <c r="J1699" i="368"/>
  <c r="H1700" i="368"/>
  <c r="I1700" i="368"/>
  <c r="J1700" i="368"/>
  <c r="H1701" i="368"/>
  <c r="I1701" i="368"/>
  <c r="J1701" i="368"/>
  <c r="H1702" i="368"/>
  <c r="I1702" i="368"/>
  <c r="J1702" i="368"/>
  <c r="H1703" i="368"/>
  <c r="I1703" i="368"/>
  <c r="J1703" i="368"/>
  <c r="H1704" i="368"/>
  <c r="I1704" i="368"/>
  <c r="J1704" i="368"/>
  <c r="H1705" i="368"/>
  <c r="I1705" i="368"/>
  <c r="J1705" i="368"/>
  <c r="H1706" i="368"/>
  <c r="I1706" i="368"/>
  <c r="J1706" i="368"/>
  <c r="H1707" i="368"/>
  <c r="I1707" i="368"/>
  <c r="J1707" i="368"/>
  <c r="H1708" i="368"/>
  <c r="I1708" i="368"/>
  <c r="J1708" i="368"/>
  <c r="H1709" i="368"/>
  <c r="I1709" i="368"/>
  <c r="J1709" i="368"/>
  <c r="H1710" i="368"/>
  <c r="I1710" i="368"/>
  <c r="J1710" i="368"/>
  <c r="H1711" i="368"/>
  <c r="I1711" i="368"/>
  <c r="J1711" i="368"/>
  <c r="H1712" i="368"/>
  <c r="I1712" i="368"/>
  <c r="J1712" i="368"/>
  <c r="H1713" i="368"/>
  <c r="I1713" i="368"/>
  <c r="J1713" i="368"/>
  <c r="H1714" i="368"/>
  <c r="I1714" i="368"/>
  <c r="J1714" i="368"/>
  <c r="H1715" i="368"/>
  <c r="I1715" i="368"/>
  <c r="J1715" i="368"/>
  <c r="H1716" i="368"/>
  <c r="I1716" i="368"/>
  <c r="J1716" i="368"/>
  <c r="H1717" i="368"/>
  <c r="I1717" i="368"/>
  <c r="J1717" i="368"/>
  <c r="H1718" i="368"/>
  <c r="I1718" i="368"/>
  <c r="J1718" i="368"/>
  <c r="H1719" i="368"/>
  <c r="I1719" i="368"/>
  <c r="J1719" i="368"/>
  <c r="H1720" i="368"/>
  <c r="I1720" i="368"/>
  <c r="J1720" i="368"/>
  <c r="H1721" i="368"/>
  <c r="I1721" i="368"/>
  <c r="J1721" i="368"/>
  <c r="H1722" i="368"/>
  <c r="I1722" i="368"/>
  <c r="J1722" i="368"/>
  <c r="H1723" i="368"/>
  <c r="I1723" i="368"/>
  <c r="J1723" i="368"/>
  <c r="H1724" i="368"/>
  <c r="I1724" i="368"/>
  <c r="J1724" i="368"/>
  <c r="H1725" i="368"/>
  <c r="I1725" i="368"/>
  <c r="J1725" i="368"/>
  <c r="H1726" i="368"/>
  <c r="I1726" i="368"/>
  <c r="J1726" i="368"/>
  <c r="H1727" i="368"/>
  <c r="I1727" i="368"/>
  <c r="J1727" i="368"/>
  <c r="H1728" i="368"/>
  <c r="I1728" i="368"/>
  <c r="J1728" i="368"/>
  <c r="H1729" i="368"/>
  <c r="I1729" i="368"/>
  <c r="J1729" i="368"/>
  <c r="H1730" i="368"/>
  <c r="I1730" i="368"/>
  <c r="J1730" i="368"/>
  <c r="H1731" i="368"/>
  <c r="I1731" i="368"/>
  <c r="J1731" i="368"/>
  <c r="H1732" i="368"/>
  <c r="I1732" i="368"/>
  <c r="J1732" i="368"/>
  <c r="H1733" i="368"/>
  <c r="I1733" i="368"/>
  <c r="J1733" i="368"/>
  <c r="H1734" i="368"/>
  <c r="I1734" i="368"/>
  <c r="J1734" i="368"/>
  <c r="H1735" i="368"/>
  <c r="I1735" i="368"/>
  <c r="J1735" i="368"/>
  <c r="H1736" i="368"/>
  <c r="I1736" i="368"/>
  <c r="J1736" i="368"/>
  <c r="H1737" i="368"/>
  <c r="I1737" i="368"/>
  <c r="J1737" i="368"/>
  <c r="H1738" i="368"/>
  <c r="I1738" i="368"/>
  <c r="J1738" i="368"/>
  <c r="H1739" i="368"/>
  <c r="I1739" i="368"/>
  <c r="J1739" i="368"/>
  <c r="H1740" i="368"/>
  <c r="I1740" i="368"/>
  <c r="J1740" i="368"/>
  <c r="H1741" i="368"/>
  <c r="I1741" i="368"/>
  <c r="J1741" i="368"/>
  <c r="H1742" i="368"/>
  <c r="I1742" i="368"/>
  <c r="J1742" i="368"/>
  <c r="H1743" i="368"/>
  <c r="I1743" i="368"/>
  <c r="J1743" i="368"/>
  <c r="H1744" i="368"/>
  <c r="I1744" i="368"/>
  <c r="J1744" i="368"/>
  <c r="H1745" i="368"/>
  <c r="I1745" i="368"/>
  <c r="J1745" i="368"/>
  <c r="H1746" i="368"/>
  <c r="I1746" i="368"/>
  <c r="J1746" i="368"/>
  <c r="H1747" i="368"/>
  <c r="I1747" i="368"/>
  <c r="J1747" i="368"/>
  <c r="H1748" i="368"/>
  <c r="I1748" i="368"/>
  <c r="J1748" i="368"/>
  <c r="H1749" i="368"/>
  <c r="I1749" i="368"/>
  <c r="J1749" i="368"/>
  <c r="H1750" i="368"/>
  <c r="I1750" i="368"/>
  <c r="J1750" i="368"/>
  <c r="H1751" i="368"/>
  <c r="I1751" i="368"/>
  <c r="J1751" i="368"/>
  <c r="H1752" i="368"/>
  <c r="I1752" i="368"/>
  <c r="J1752" i="368"/>
  <c r="H1753" i="368"/>
  <c r="I1753" i="368"/>
  <c r="J1753" i="368"/>
  <c r="H1754" i="368"/>
  <c r="I1754" i="368"/>
  <c r="J1754" i="368"/>
  <c r="H1755" i="368"/>
  <c r="I1755" i="368"/>
  <c r="J1755" i="368"/>
  <c r="H1756" i="368"/>
  <c r="I1756" i="368"/>
  <c r="J1756" i="368"/>
  <c r="H1757" i="368"/>
  <c r="I1757" i="368"/>
  <c r="J1757" i="368"/>
  <c r="H1758" i="368"/>
  <c r="I1758" i="368"/>
  <c r="J1758" i="368"/>
  <c r="H1759" i="368"/>
  <c r="I1759" i="368"/>
  <c r="J1759" i="368"/>
  <c r="H1760" i="368"/>
  <c r="I1760" i="368"/>
  <c r="J1760" i="368"/>
  <c r="H1761" i="368"/>
  <c r="I1761" i="368"/>
  <c r="J1761" i="368"/>
  <c r="H1762" i="368"/>
  <c r="I1762" i="368"/>
  <c r="J1762" i="368"/>
  <c r="H1763" i="368"/>
  <c r="I1763" i="368"/>
  <c r="J1763" i="368"/>
  <c r="H1764" i="368"/>
  <c r="I1764" i="368"/>
  <c r="J1764" i="368"/>
  <c r="H1765" i="368"/>
  <c r="I1765" i="368"/>
  <c r="J1765" i="368"/>
  <c r="H1766" i="368"/>
  <c r="I1766" i="368"/>
  <c r="J1766" i="368"/>
  <c r="H1767" i="368"/>
  <c r="I1767" i="368"/>
  <c r="J1767" i="368"/>
  <c r="H1768" i="368"/>
  <c r="I1768" i="368"/>
  <c r="J1768" i="368"/>
  <c r="H1769" i="368"/>
  <c r="I1769" i="368"/>
  <c r="J1769" i="368"/>
  <c r="H1770" i="368"/>
  <c r="I1770" i="368"/>
  <c r="J1770" i="368"/>
  <c r="H1771" i="368"/>
  <c r="I1771" i="368"/>
  <c r="J1771" i="368"/>
  <c r="H1772" i="368"/>
  <c r="I1772" i="368"/>
  <c r="J1772" i="368"/>
  <c r="H1773" i="368"/>
  <c r="I1773" i="368"/>
  <c r="J1773" i="368"/>
  <c r="H1774" i="368"/>
  <c r="I1774" i="368"/>
  <c r="J1774" i="368"/>
  <c r="H1775" i="368"/>
  <c r="I1775" i="368"/>
  <c r="J1775" i="368"/>
  <c r="H1776" i="368"/>
  <c r="I1776" i="368"/>
  <c r="J1776" i="368"/>
  <c r="J2" i="368"/>
  <c r="I2" i="368"/>
  <c r="H2" i="368"/>
  <c r="K3" i="291" l="1"/>
  <c r="K4" i="291"/>
  <c r="K2" i="291"/>
  <c r="G14" i="291"/>
  <c r="G15" i="291"/>
  <c r="G13" i="291"/>
  <c r="G3" i="291"/>
  <c r="G4" i="291"/>
  <c r="G2" i="291"/>
  <c r="C14" i="291"/>
  <c r="C15" i="291"/>
  <c r="C13" i="291"/>
  <c r="C3" i="291"/>
  <c r="C4" i="291"/>
  <c r="C2" i="291"/>
  <c r="A1" i="291"/>
  <c r="E1" i="291"/>
  <c r="I1" i="291"/>
  <c r="B2" i="291"/>
  <c r="F2" i="291"/>
  <c r="J2" i="291"/>
  <c r="B3" i="291"/>
  <c r="F3" i="291"/>
  <c r="J3" i="291"/>
  <c r="B4" i="291"/>
  <c r="F4" i="291"/>
  <c r="J4" i="291"/>
  <c r="B5" i="291"/>
  <c r="F5" i="291"/>
  <c r="J5" i="291"/>
  <c r="B6" i="291"/>
  <c r="F6" i="291"/>
  <c r="J6" i="291"/>
  <c r="B7" i="291"/>
  <c r="F7" i="291"/>
  <c r="J7" i="291"/>
  <c r="B8" i="291"/>
  <c r="F8" i="291"/>
  <c r="J8" i="291"/>
  <c r="B9" i="291"/>
  <c r="F9" i="291"/>
  <c r="J9" i="291"/>
  <c r="B10" i="291"/>
  <c r="F10" i="291"/>
  <c r="J10" i="291"/>
  <c r="A12" i="291"/>
  <c r="E12" i="291"/>
  <c r="B13" i="291"/>
  <c r="F13" i="291"/>
  <c r="B14" i="291"/>
  <c r="F14" i="291"/>
  <c r="B15" i="291"/>
  <c r="F15" i="291"/>
  <c r="B16" i="291"/>
  <c r="F16" i="291"/>
  <c r="B17" i="291"/>
  <c r="F17" i="291"/>
  <c r="B18" i="291"/>
  <c r="F18" i="291"/>
  <c r="B19" i="291"/>
  <c r="F19" i="291"/>
  <c r="B20" i="291"/>
  <c r="F20" i="291"/>
  <c r="B21" i="291"/>
  <c r="F21" i="291"/>
  <c r="E3" i="207" l="1"/>
  <c r="E4" i="207" s="1"/>
  <c r="E5" i="207" s="1"/>
  <c r="E6" i="207" s="1"/>
  <c r="E7" i="207" s="1"/>
  <c r="E8" i="207" s="1"/>
  <c r="E9" i="207" s="1"/>
  <c r="E10" i="207" s="1"/>
  <c r="E11" i="207" s="1"/>
  <c r="E12" i="207" s="1"/>
  <c r="E13" i="207" s="1"/>
  <c r="E14" i="207" s="1"/>
  <c r="E15" i="207" s="1"/>
  <c r="E16" i="207" s="1"/>
  <c r="E17" i="207" s="1"/>
  <c r="E18" i="207" s="1"/>
  <c r="E19" i="207" s="1"/>
  <c r="E20" i="207" s="1"/>
  <c r="E21" i="207" s="1"/>
  <c r="E22" i="207" s="1"/>
  <c r="E23" i="207" s="1"/>
  <c r="A3" i="207"/>
  <c r="A4" i="207" s="1"/>
  <c r="A5" i="207" s="1"/>
  <c r="A6" i="207" s="1"/>
  <c r="A7" i="207" s="1"/>
  <c r="A8" i="207" s="1"/>
  <c r="A9" i="207" s="1"/>
  <c r="A10" i="207" s="1"/>
  <c r="A11" i="207" s="1"/>
  <c r="A12" i="207" s="1"/>
  <c r="A13" i="207" s="1"/>
  <c r="A14" i="207" s="1"/>
  <c r="A15" i="207" s="1"/>
  <c r="A16" i="207" s="1"/>
  <c r="A17" i="207" s="1"/>
  <c r="A18" i="207" s="1"/>
  <c r="A19" i="207" s="1"/>
  <c r="A20" i="207" s="1"/>
  <c r="A21" i="207" s="1"/>
  <c r="A22" i="207" s="1"/>
  <c r="A23" i="207" s="1"/>
  <c r="A24" i="207" s="1"/>
  <c r="A25" i="207" s="1"/>
  <c r="A26" i="207" s="1"/>
  <c r="A27" i="207" s="1"/>
  <c r="A28" i="207" s="1"/>
  <c r="A29" i="207" s="1"/>
  <c r="A30" i="207" s="1"/>
  <c r="A31" i="207" s="1"/>
  <c r="A32" i="207" s="1"/>
  <c r="A33" i="207" s="1"/>
  <c r="A34" i="207" s="1"/>
  <c r="A35" i="207" s="1"/>
  <c r="A36" i="207" s="1"/>
  <c r="A37" i="20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78D1420-85BA-4C36-8B35-E030098CBFBE}" keepAlive="1" name="查詢 - Table 0" description="與活頁簿中 'Table 0' 查詢的連接。" type="5" refreshedVersion="6" background="1">
    <dbPr connection="Provider=Microsoft.Mashup.OleDb.1;Data Source=$Workbook$;Location=Table 0;Extended Properties=&quot;&quot;" command="SELECT * FROM [Table 0]"/>
  </connection>
  <connection id="2" xr16:uid="{289BF929-86DF-4D34-BAE8-C413899E4CA5}" keepAlive="1" name="查詢 - Table 4" description="與活頁簿中 'Table 4' 查詢的連接。" type="5" refreshedVersion="6" background="1">
    <dbPr connection="Provider=Microsoft.Mashup.OleDb.1;Data Source=$Workbook$;Location=Table 4;Extended Properties=&quot;&quot;" command="SELECT * FROM [Table 4]"/>
  </connection>
  <connection id="3" xr16:uid="{3B37BFE2-B27A-4E23-9713-5EA5AD79170A}" name="連線" type="4" refreshedVersion="6" background="1" saveData="1">
    <webPr sourceData="1" parsePre="1" consecutive="1" xl2000="1" url="https://www.tpex.org.tw/web/stock/aftertrading/peratio_analysis/pera_result.php?l=zh-tw&amp;o=htm&amp;d=111/12/30&amp;c=&amp;s=0,asc" htmlTables="1"/>
  </connection>
  <connection id="4" xr16:uid="{588C36D2-20A3-4842-9D68-639A829D627D}" keepAlive="1" name="連線1" type="5" refreshedVersion="0" background="1">
    <dbPr connection="Provider=Microsoft.Mashup.OleDb.1;Data Source=$Workbook$;Location=&quot;Table_1101&quot;;Extended Properties=&quot;&quot;" commandType="0"/>
  </connection>
  <connection id="5" xr16:uid="{159BBD75-7265-463C-847A-7C5EE17B834B}" keepAlive="1" name="連線10" type="5" refreshedVersion="0" background="1">
    <dbPr connection="Provider=Microsoft.Mashup.OleDb.1;Data Source=$Workbook$;Location=&quot;Table_1210&quot;;Extended Properties=&quot;&quot;" commandType="0"/>
  </connection>
  <connection id="6" xr16:uid="{07E0CBB7-AB05-4F12-86E4-789CD3658D5E}" keepAlive="1" name="連線100" type="5" refreshedVersion="0" background="1">
    <dbPr connection="Provider=Microsoft.Mashup.OleDb.1;Data Source=$Workbook$;Location=&quot;Table_1471&quot;;Extended Properties=&quot;&quot;" commandType="0"/>
  </connection>
  <connection id="7" xr16:uid="{9B63CD75-954B-4680-8831-76EE46574B6C}" keepAlive="1" name="連線101" type="5" refreshedVersion="0" background="1">
    <dbPr connection="Provider=Microsoft.Mashup.OleDb.1;Data Source=$Workbook$;Location=&quot;Table_1472&quot;;Extended Properties=&quot;&quot;" commandType="0"/>
  </connection>
  <connection id="8" xr16:uid="{57690C6A-56CD-49CF-91AB-080E1BE365EE}" keepAlive="1" name="連線102" type="5" refreshedVersion="0" background="1">
    <dbPr connection="Provider=Microsoft.Mashup.OleDb.1;Data Source=$Workbook$;Location=&quot;Table_1473&quot;;Extended Properties=&quot;&quot;" commandType="0"/>
  </connection>
  <connection id="9" xr16:uid="{DBD9F885-2D55-469A-B83D-66E4D40E1118}" keepAlive="1" name="連線103" type="5" refreshedVersion="0" background="1">
    <dbPr connection="Provider=Microsoft.Mashup.OleDb.1;Data Source=$Workbook$;Location=&quot;Table_1474&quot;;Extended Properties=&quot;&quot;" commandType="0"/>
  </connection>
  <connection id="10" xr16:uid="{8A0F0101-5047-4156-9077-BF825DBA3FBE}" keepAlive="1" name="連線104" type="5" refreshedVersion="0" background="1">
    <dbPr connection="Provider=Microsoft.Mashup.OleDb.1;Data Source=$Workbook$;Location=&quot;Table_1475&quot;;Extended Properties=&quot;&quot;" commandType="0"/>
  </connection>
  <connection id="11" xr16:uid="{B6DC7E7C-AC96-4C4C-BC12-BAF1CCEB5531}" keepAlive="1" name="連線105" type="5" refreshedVersion="0" background="1">
    <dbPr connection="Provider=Microsoft.Mashup.OleDb.1;Data Source=$Workbook$;Location=&quot;Table_1476&quot;;Extended Properties=&quot;&quot;" commandType="0"/>
  </connection>
  <connection id="12" xr16:uid="{69C293E1-F036-4BB2-83A5-100239D5EA3B}" keepAlive="1" name="連線106" type="5" refreshedVersion="0" background="1">
    <dbPr connection="Provider=Microsoft.Mashup.OleDb.1;Data Source=$Workbook$;Location=&quot;Table_1477&quot;;Extended Properties=&quot;&quot;" commandType="0"/>
  </connection>
  <connection id="13" xr16:uid="{D128EF29-B8EC-47E7-8705-A761793F02E7}" keepAlive="1" name="連線107" type="5" refreshedVersion="0" background="1">
    <dbPr connection="Provider=Microsoft.Mashup.OleDb.1;Data Source=$Workbook$;Location=&quot;Table_1503&quot;;Extended Properties=&quot;&quot;" commandType="0"/>
  </connection>
  <connection id="14" xr16:uid="{A225A26C-6937-4F61-9759-BE30C6A37827}" keepAlive="1" name="連線108" type="5" refreshedVersion="0" background="1">
    <dbPr connection="Provider=Microsoft.Mashup.OleDb.1;Data Source=$Workbook$;Location=&quot;Table_1504&quot;;Extended Properties=&quot;&quot;" commandType="0"/>
  </connection>
  <connection id="15" xr16:uid="{4FDF0ED0-0269-4063-ADF3-1BEDDD3C41A5}" keepAlive="1" name="連線109" type="5" refreshedVersion="0" background="1">
    <dbPr connection="Provider=Microsoft.Mashup.OleDb.1;Data Source=$Workbook$;Location=&quot;Table_1506&quot;;Extended Properties=&quot;&quot;" commandType="0"/>
  </connection>
  <connection id="16" xr16:uid="{EAFB8CD9-4856-411A-9B77-C789AB8C297F}" keepAlive="1" name="連線11" type="5" refreshedVersion="0" background="1">
    <dbPr connection="Provider=Microsoft.Mashup.OleDb.1;Data Source=$Workbook$;Location=&quot;Table_1213&quot;;Extended Properties=&quot;&quot;" commandType="0"/>
  </connection>
  <connection id="17" xr16:uid="{A8AD1D1B-A9EA-4552-AD2B-D22378A3D3A2}" keepAlive="1" name="連線110" type="5" refreshedVersion="0" background="1">
    <dbPr connection="Provider=Microsoft.Mashup.OleDb.1;Data Source=$Workbook$;Location=&quot;Table_1512&quot;;Extended Properties=&quot;&quot;" commandType="0"/>
  </connection>
  <connection id="18" xr16:uid="{B6485E38-0CCF-40E3-85A7-3170D2FE3083}" keepAlive="1" name="連線111" type="5" refreshedVersion="0" background="1">
    <dbPr connection="Provider=Microsoft.Mashup.OleDb.1;Data Source=$Workbook$;Location=&quot;Table_1513&quot;;Extended Properties=&quot;&quot;" commandType="0"/>
  </connection>
  <connection id="19" xr16:uid="{6B88054A-AA02-4DD5-BE54-19390EE8B036}" keepAlive="1" name="連線112" type="5" refreshedVersion="0" background="1">
    <dbPr connection="Provider=Microsoft.Mashup.OleDb.1;Data Source=$Workbook$;Location=&quot;Table_1514&quot;;Extended Properties=&quot;&quot;" commandType="0"/>
  </connection>
  <connection id="20" xr16:uid="{A7E53079-3D35-4EB2-9699-A00DADD83DC5}" keepAlive="1" name="連線113" type="5" refreshedVersion="0" background="1">
    <dbPr connection="Provider=Microsoft.Mashup.OleDb.1;Data Source=$Workbook$;Location=&quot;Table_1515&quot;;Extended Properties=&quot;&quot;" commandType="0"/>
  </connection>
  <connection id="21" xr16:uid="{3122EBC3-AEBF-47A5-98F4-45C3F9B554D2}" keepAlive="1" name="連線114" type="5" refreshedVersion="0" background="1">
    <dbPr connection="Provider=Microsoft.Mashup.OleDb.1;Data Source=$Workbook$;Location=&quot;Table_1516&quot;;Extended Properties=&quot;&quot;" commandType="0"/>
  </connection>
  <connection id="22" xr16:uid="{C3547721-F95A-485A-83AB-2ACA9266AA6D}" keepAlive="1" name="連線115" type="5" refreshedVersion="0" background="1">
    <dbPr connection="Provider=Microsoft.Mashup.OleDb.1;Data Source=$Workbook$;Location=&quot;Table_1517&quot;;Extended Properties=&quot;&quot;" commandType="0"/>
  </connection>
  <connection id="23" xr16:uid="{A33209BE-1D65-439B-ACCA-9E160262D671}" keepAlive="1" name="連線116" type="5" refreshedVersion="0" background="1">
    <dbPr connection="Provider=Microsoft.Mashup.OleDb.1;Data Source=$Workbook$;Location=&quot;Table_1519&quot;;Extended Properties=&quot;&quot;" commandType="0"/>
  </connection>
  <connection id="24" xr16:uid="{4BECCC35-1EB8-4B35-B49D-61F70C1B3CEB}" keepAlive="1" name="連線117" type="5" refreshedVersion="0" background="1">
    <dbPr connection="Provider=Microsoft.Mashup.OleDb.1;Data Source=$Workbook$;Location=&quot;Table_1521&quot;;Extended Properties=&quot;&quot;" commandType="0"/>
  </connection>
  <connection id="25" xr16:uid="{ACBC90AA-10BC-46C2-9D01-42C469B1852D}" keepAlive="1" name="連線118" type="5" refreshedVersion="0" background="1">
    <dbPr connection="Provider=Microsoft.Mashup.OleDb.1;Data Source=$Workbook$;Location=&quot;Table_1522&quot;;Extended Properties=&quot;&quot;" commandType="0"/>
  </connection>
  <connection id="26" xr16:uid="{A7B1E6A5-80FE-4026-833D-2AFB5117B5A8}" keepAlive="1" name="連線119" type="5" refreshedVersion="0" background="1">
    <dbPr connection="Provider=Microsoft.Mashup.OleDb.1;Data Source=$Workbook$;Location=&quot;Table_1524&quot;;Extended Properties=&quot;&quot;" commandType="0"/>
  </connection>
  <connection id="27" xr16:uid="{E39BDE1D-5D57-4C42-BD5B-150D81CAEFE5}" keepAlive="1" name="連線12" type="5" refreshedVersion="0" background="1">
    <dbPr connection="Provider=Microsoft.Mashup.OleDb.1;Data Source=$Workbook$;Location=&quot;Table_1215&quot;;Extended Properties=&quot;&quot;" commandType="0"/>
  </connection>
  <connection id="28" xr16:uid="{8CECA279-A1A7-4B9A-A190-12B17B3558BB}" keepAlive="1" name="連線120" type="5" refreshedVersion="0" background="1">
    <dbPr connection="Provider=Microsoft.Mashup.OleDb.1;Data Source=$Workbook$;Location=&quot;Table_1525&quot;;Extended Properties=&quot;&quot;" commandType="0"/>
  </connection>
  <connection id="29" xr16:uid="{7EA3A11B-1018-4715-BEFC-C558C8B1AF12}" keepAlive="1" name="連線121" type="5" refreshedVersion="0" background="1">
    <dbPr connection="Provider=Microsoft.Mashup.OleDb.1;Data Source=$Workbook$;Location=&quot;Table_1526&quot;;Extended Properties=&quot;&quot;" commandType="0"/>
  </connection>
  <connection id="30" xr16:uid="{CB95DA70-964E-4D61-A558-C7E5E607CAC8}" keepAlive="1" name="連線122" type="5" refreshedVersion="0" background="1">
    <dbPr connection="Provider=Microsoft.Mashup.OleDb.1;Data Source=$Workbook$;Location=&quot;Table_1527&quot;;Extended Properties=&quot;&quot;" commandType="0"/>
  </connection>
  <connection id="31" xr16:uid="{106908C0-BE01-4178-8682-F5E941013AB6}" keepAlive="1" name="連線123" type="5" refreshedVersion="0" background="1">
    <dbPr connection="Provider=Microsoft.Mashup.OleDb.1;Data Source=$Workbook$;Location=&quot;Table_1528&quot;;Extended Properties=&quot;&quot;" commandType="0"/>
  </connection>
  <connection id="32" xr16:uid="{A97BBBB2-EE5B-4394-9AFB-521212D2EBB9}" keepAlive="1" name="連線124" type="5" refreshedVersion="0" background="1">
    <dbPr connection="Provider=Microsoft.Mashup.OleDb.1;Data Source=$Workbook$;Location=&quot;Table_1529&quot;;Extended Properties=&quot;&quot;" commandType="0"/>
  </connection>
  <connection id="33" xr16:uid="{81627DFF-5BD8-4A72-ABFB-A8554983FC9F}" keepAlive="1" name="連線125" type="5" refreshedVersion="0" background="1">
    <dbPr connection="Provider=Microsoft.Mashup.OleDb.1;Data Source=$Workbook$;Location=&quot;Table_1530&quot;;Extended Properties=&quot;&quot;" commandType="0"/>
  </connection>
  <connection id="34" xr16:uid="{D0297B3D-C8FD-4BA9-B615-AB64135E99B7}" keepAlive="1" name="連線126" type="5" refreshedVersion="0" background="1">
    <dbPr connection="Provider=Microsoft.Mashup.OleDb.1;Data Source=$Workbook$;Location=&quot;Table_1531&quot;;Extended Properties=&quot;&quot;" commandType="0"/>
  </connection>
  <connection id="35" xr16:uid="{4C5E8529-2117-4D4F-82C1-6DCB0B7F06EB}" keepAlive="1" name="連線127" type="5" refreshedVersion="0" background="1">
    <dbPr connection="Provider=Microsoft.Mashup.OleDb.1;Data Source=$Workbook$;Location=&quot;Table_1532&quot;;Extended Properties=&quot;&quot;" commandType="0"/>
  </connection>
  <connection id="36" xr16:uid="{2F648037-9762-486A-AACC-8618FBC44216}" keepAlive="1" name="連線128" type="5" refreshedVersion="0" background="1">
    <dbPr connection="Provider=Microsoft.Mashup.OleDb.1;Data Source=$Workbook$;Location=&quot;Table_1533&quot;;Extended Properties=&quot;&quot;" commandType="0"/>
  </connection>
  <connection id="37" xr16:uid="{BD2F18C4-8F7F-4171-9055-86E5A9AAA1FE}" keepAlive="1" name="連線129" type="5" refreshedVersion="0" background="1">
    <dbPr connection="Provider=Microsoft.Mashup.OleDb.1;Data Source=$Workbook$;Location=&quot;Table_1535&quot;;Extended Properties=&quot;&quot;" commandType="0"/>
  </connection>
  <connection id="38" xr16:uid="{4683B146-8880-487E-808C-2159A6B3C0E3}" keepAlive="1" name="連線13" type="5" refreshedVersion="0" background="1">
    <dbPr connection="Provider=Microsoft.Mashup.OleDb.1;Data Source=$Workbook$;Location=&quot;Table_1216&quot;;Extended Properties=&quot;&quot;" commandType="0"/>
  </connection>
  <connection id="39" xr16:uid="{B377A97C-F029-44F8-AAD8-A23A579EFCC0}" keepAlive="1" name="連線130" type="5" refreshedVersion="0" background="1">
    <dbPr connection="Provider=Microsoft.Mashup.OleDb.1;Data Source=$Workbook$;Location=&quot;Table_1536&quot;;Extended Properties=&quot;&quot;" commandType="0"/>
  </connection>
  <connection id="40" xr16:uid="{0184DC93-A6BC-420A-9914-3F49F1464F4C}" keepAlive="1" name="連線131" type="5" refreshedVersion="0" background="1">
    <dbPr connection="Provider=Microsoft.Mashup.OleDb.1;Data Source=$Workbook$;Location=&quot;Table_1537&quot;;Extended Properties=&quot;&quot;" commandType="0"/>
  </connection>
  <connection id="41" xr16:uid="{4328D5EE-F6B3-4BDD-AEEA-FD519B593167}" keepAlive="1" name="連線132" type="5" refreshedVersion="0" background="1">
    <dbPr connection="Provider=Microsoft.Mashup.OleDb.1;Data Source=$Workbook$;Location=&quot;Table_1538&quot;;Extended Properties=&quot;&quot;" commandType="0"/>
  </connection>
  <connection id="42" xr16:uid="{18166CAA-053D-4382-BFB0-7E6C5E574665}" keepAlive="1" name="連線133" type="5" refreshedVersion="0" background="1">
    <dbPr connection="Provider=Microsoft.Mashup.OleDb.1;Data Source=$Workbook$;Location=&quot;Table_1539&quot;;Extended Properties=&quot;&quot;" commandType="0"/>
  </connection>
  <connection id="43" xr16:uid="{5A0C571F-3A1E-45F7-B86E-B9DD3269F114}" keepAlive="1" name="連線134" type="5" refreshedVersion="0" background="1">
    <dbPr connection="Provider=Microsoft.Mashup.OleDb.1;Data Source=$Workbook$;Location=&quot;Table_1540&quot;;Extended Properties=&quot;&quot;" commandType="0"/>
  </connection>
  <connection id="44" xr16:uid="{87788EB3-8474-418A-A321-B93D5E5388AD}" keepAlive="1" name="連線135" type="5" refreshedVersion="0" background="1">
    <dbPr connection="Provider=Microsoft.Mashup.OleDb.1;Data Source=$Workbook$;Location=&quot;Table_1541&quot;;Extended Properties=&quot;&quot;" commandType="0"/>
  </connection>
  <connection id="45" xr16:uid="{72DC295F-4E19-4211-953C-A6DAF1B3A4AA}" keepAlive="1" name="連線136" type="5" refreshedVersion="0" background="1">
    <dbPr connection="Provider=Microsoft.Mashup.OleDb.1;Data Source=$Workbook$;Location=&quot;Table_1558&quot;;Extended Properties=&quot;&quot;" commandType="0"/>
  </connection>
  <connection id="46" xr16:uid="{4C5BB4A2-86BD-44CC-AA7E-0579617E2747}" keepAlive="1" name="連線137" type="5" refreshedVersion="0" background="1">
    <dbPr connection="Provider=Microsoft.Mashup.OleDb.1;Data Source=$Workbook$;Location=&quot;Table_1560&quot;;Extended Properties=&quot;&quot;" commandType="0"/>
  </connection>
  <connection id="47" xr16:uid="{5FE0C90C-A242-40FD-89AF-422E84242463}" keepAlive="1" name="連線138" type="5" refreshedVersion="0" background="1">
    <dbPr connection="Provider=Microsoft.Mashup.OleDb.1;Data Source=$Workbook$;Location=&quot;Table_1565&quot;;Extended Properties=&quot;&quot;" commandType="0"/>
  </connection>
  <connection id="48" xr16:uid="{6F6CFC38-F349-4227-9D86-C536948F57F4}" keepAlive="1" name="連線139" type="5" refreshedVersion="0" background="1">
    <dbPr connection="Provider=Microsoft.Mashup.OleDb.1;Data Source=$Workbook$;Location=&quot;Table_1568&quot;;Extended Properties=&quot;&quot;" commandType="0"/>
  </connection>
  <connection id="49" xr16:uid="{63818686-FBE8-42DA-BF10-40FE1277C4A4}" keepAlive="1" name="連線14" type="5" refreshedVersion="0" background="1">
    <dbPr connection="Provider=Microsoft.Mashup.OleDb.1;Data Source=$Workbook$;Location=&quot;Table_1217&quot;;Extended Properties=&quot;&quot;" commandType="0"/>
  </connection>
  <connection id="50" xr16:uid="{C6EA7779-68C4-428E-AF0E-321A5E519F37}" keepAlive="1" name="連線140" type="5" refreshedVersion="0" background="1">
    <dbPr connection="Provider=Microsoft.Mashup.OleDb.1;Data Source=$Workbook$;Location=&quot;Table_1569&quot;;Extended Properties=&quot;&quot;" commandType="0"/>
  </connection>
  <connection id="51" xr16:uid="{926E96AD-E72A-4838-8238-ACF2B2B7588F}" keepAlive="1" name="連線141" type="5" refreshedVersion="0" background="1">
    <dbPr connection="Provider=Microsoft.Mashup.OleDb.1;Data Source=$Workbook$;Location=&quot;Table_1570&quot;;Extended Properties=&quot;&quot;" commandType="0"/>
  </connection>
  <connection id="52" xr16:uid="{81F3033A-95CB-4699-AE9A-7CF11432F4B3}" keepAlive="1" name="連線142" type="5" refreshedVersion="0" background="1">
    <dbPr connection="Provider=Microsoft.Mashup.OleDb.1;Data Source=$Workbook$;Location=&quot;Table_1580&quot;;Extended Properties=&quot;&quot;" commandType="0"/>
  </connection>
  <connection id="53" xr16:uid="{85F73C31-BB35-4320-B75C-C7A5F7B8DFC5}" keepAlive="1" name="連線143" type="5" refreshedVersion="0" background="1">
    <dbPr connection="Provider=Microsoft.Mashup.OleDb.1;Data Source=$Workbook$;Location=&quot;Table_1582&quot;;Extended Properties=&quot;&quot;" commandType="0"/>
  </connection>
  <connection id="54" xr16:uid="{8EF7904D-B20F-403E-B819-383B822E8F5C}" keepAlive="1" name="連線144" type="5" refreshedVersion="0" background="1">
    <dbPr connection="Provider=Microsoft.Mashup.OleDb.1;Data Source=$Workbook$;Location=&quot;Table_1583&quot;;Extended Properties=&quot;&quot;" commandType="0"/>
  </connection>
  <connection id="55" xr16:uid="{E6B5E797-11E8-48E9-9ABD-62C1B0C16103}" keepAlive="1" name="連線145" type="5" refreshedVersion="0" background="1">
    <dbPr connection="Provider=Microsoft.Mashup.OleDb.1;Data Source=$Workbook$;Location=&quot;Table_1584&quot;;Extended Properties=&quot;&quot;" commandType="0"/>
  </connection>
  <connection id="56" xr16:uid="{46679400-C040-40D6-8D85-FEDCE62774C6}" keepAlive="1" name="連線146" type="5" refreshedVersion="0" background="1">
    <dbPr connection="Provider=Microsoft.Mashup.OleDb.1;Data Source=$Workbook$;Location=&quot;Table_1586&quot;;Extended Properties=&quot;&quot;" commandType="0"/>
  </connection>
  <connection id="57" xr16:uid="{ED0F7835-F54F-4C1D-BC2D-CBE2257609D9}" keepAlive="1" name="連線147" type="5" refreshedVersion="0" background="1">
    <dbPr connection="Provider=Microsoft.Mashup.OleDb.1;Data Source=$Workbook$;Location=&quot;Table_1587&quot;;Extended Properties=&quot;&quot;" commandType="0"/>
  </connection>
  <connection id="58" xr16:uid="{DA07ABEE-3DB4-4E10-8C9D-493C3B260ECF}" keepAlive="1" name="連線148" type="5" refreshedVersion="0" background="1">
    <dbPr connection="Provider=Microsoft.Mashup.OleDb.1;Data Source=$Workbook$;Location=&quot;Table_1589&quot;;Extended Properties=&quot;&quot;" commandType="0"/>
  </connection>
  <connection id="59" xr16:uid="{234424DF-6E74-4D72-8C8D-7710D6E01D4B}" keepAlive="1" name="連線149" type="5" refreshedVersion="0" background="1">
    <dbPr connection="Provider=Microsoft.Mashup.OleDb.1;Data Source=$Workbook$;Location=&quot;Table_1590&quot;;Extended Properties=&quot;&quot;" commandType="0"/>
  </connection>
  <connection id="60" xr16:uid="{C96880BD-5388-4F6D-BFEF-FF5DB20173A3}" keepAlive="1" name="連線15" type="5" refreshedVersion="0" background="1">
    <dbPr connection="Provider=Microsoft.Mashup.OleDb.1;Data Source=$Workbook$;Location=&quot;Table_1218&quot;;Extended Properties=&quot;&quot;" commandType="0"/>
  </connection>
  <connection id="61" xr16:uid="{3080BB85-C4F3-4E09-B52B-BED2C5BEB705}" keepAlive="1" name="連線150" type="5" refreshedVersion="0" background="1">
    <dbPr connection="Provider=Microsoft.Mashup.OleDb.1;Data Source=$Workbook$;Location=&quot;Table_1591&quot;;Extended Properties=&quot;&quot;" commandType="0"/>
  </connection>
  <connection id="62" xr16:uid="{A7046822-E557-40A1-AFE7-2E56E6E62B4F}" keepAlive="1" name="連線151" type="5" refreshedVersion="0" background="1">
    <dbPr connection="Provider=Microsoft.Mashup.OleDb.1;Data Source=$Workbook$;Location=&quot;Table_1593&quot;;Extended Properties=&quot;&quot;" commandType="0"/>
  </connection>
  <connection id="63" xr16:uid="{5975274D-317B-4290-A17E-68DF8CCA435E}" keepAlive="1" name="連線152" type="5" refreshedVersion="0" background="1">
    <dbPr connection="Provider=Microsoft.Mashup.OleDb.1;Data Source=$Workbook$;Location=&quot;Table_1595&quot;;Extended Properties=&quot;&quot;" commandType="0"/>
  </connection>
  <connection id="64" xr16:uid="{2B1D4362-E514-4F0B-A9A7-960C3F8B44AC}" keepAlive="1" name="連線153" type="5" refreshedVersion="0" background="1">
    <dbPr connection="Provider=Microsoft.Mashup.OleDb.1;Data Source=$Workbook$;Location=&quot;Table_1597&quot;;Extended Properties=&quot;&quot;" commandType="0"/>
  </connection>
  <connection id="65" xr16:uid="{3C21B57A-4CFC-4049-9594-DC94241473A9}" keepAlive="1" name="連線154" type="5" refreshedVersion="0" background="1">
    <dbPr connection="Provider=Microsoft.Mashup.OleDb.1;Data Source=$Workbook$;Location=&quot;Table_1598&quot;;Extended Properties=&quot;&quot;" commandType="0"/>
  </connection>
  <connection id="66" xr16:uid="{40AF53D1-8E1C-4671-B102-39C790342A3D}" keepAlive="1" name="連線155" type="5" refreshedVersion="0" background="1">
    <dbPr connection="Provider=Microsoft.Mashup.OleDb.1;Data Source=$Workbook$;Location=&quot;Table_1599&quot;;Extended Properties=&quot;&quot;" commandType="0"/>
  </connection>
  <connection id="67" xr16:uid="{08C9D575-6D16-4D72-BF81-D6255D7B9393}" keepAlive="1" name="連線156" type="5" refreshedVersion="0" background="1">
    <dbPr connection="Provider=Microsoft.Mashup.OleDb.1;Data Source=$Workbook$;Location=&quot;Table_1603&quot;;Extended Properties=&quot;&quot;" commandType="0"/>
  </connection>
  <connection id="68" xr16:uid="{E0761EFF-7675-4EF3-B5E2-D77956272008}" keepAlive="1" name="連線157" type="5" refreshedVersion="0" background="1">
    <dbPr connection="Provider=Microsoft.Mashup.OleDb.1;Data Source=$Workbook$;Location=&quot;Table_1604&quot;;Extended Properties=&quot;&quot;" commandType="0"/>
  </connection>
  <connection id="69" xr16:uid="{55DD30D6-C210-45AB-9A71-DAAA2AA8537A}" keepAlive="1" name="連線158" type="5" refreshedVersion="0" background="1">
    <dbPr connection="Provider=Microsoft.Mashup.OleDb.1;Data Source=$Workbook$;Location=&quot;Table_1605&quot;;Extended Properties=&quot;&quot;" commandType="0"/>
  </connection>
  <connection id="70" xr16:uid="{D45EC4F8-CDED-43B2-AC22-539DA5D13BD7}" keepAlive="1" name="連線159" type="5" refreshedVersion="0" background="1">
    <dbPr connection="Provider=Microsoft.Mashup.OleDb.1;Data Source=$Workbook$;Location=&quot;Table_1608&quot;;Extended Properties=&quot;&quot;" commandType="0"/>
  </connection>
  <connection id="71" xr16:uid="{B712DA8E-254B-4CE8-B43B-8EBBD4FA78A7}" keepAlive="1" name="連線16" type="5" refreshedVersion="0" background="1">
    <dbPr connection="Provider=Microsoft.Mashup.OleDb.1;Data Source=$Workbook$;Location=&quot;Table_1219&quot;;Extended Properties=&quot;&quot;" commandType="0"/>
  </connection>
  <connection id="72" xr16:uid="{55B1DA5B-8F4A-4FD9-82ED-16A1105F1524}" keepAlive="1" name="連線160" type="5" refreshedVersion="0" background="1">
    <dbPr connection="Provider=Microsoft.Mashup.OleDb.1;Data Source=$Workbook$;Location=&quot;Table_1609&quot;;Extended Properties=&quot;&quot;" commandType="0"/>
  </connection>
  <connection id="73" xr16:uid="{35B68E91-5F93-4C17-BBD5-9F9A8691653A}" keepAlive="1" name="連線161" type="5" refreshedVersion="0" background="1">
    <dbPr connection="Provider=Microsoft.Mashup.OleDb.1;Data Source=$Workbook$;Location=&quot;Table_1611&quot;;Extended Properties=&quot;&quot;" commandType="0"/>
  </connection>
  <connection id="74" xr16:uid="{81C6E8A9-1321-402D-9655-8E32D43ADCBA}" keepAlive="1" name="連線162" type="5" refreshedVersion="0" background="1">
    <dbPr connection="Provider=Microsoft.Mashup.OleDb.1;Data Source=$Workbook$;Location=&quot;Table_1612&quot;;Extended Properties=&quot;&quot;" commandType="0"/>
  </connection>
  <connection id="75" xr16:uid="{96925E9E-83E5-4549-AB4C-231F6B49ADD4}" keepAlive="1" name="連線163" type="5" refreshedVersion="0" background="1">
    <dbPr connection="Provider=Microsoft.Mashup.OleDb.1;Data Source=$Workbook$;Location=&quot;Table_1614&quot;;Extended Properties=&quot;&quot;" commandType="0"/>
  </connection>
  <connection id="76" xr16:uid="{8B7F2183-DFC0-4245-B2F6-9FA485610B77}" keepAlive="1" name="連線164" type="5" refreshedVersion="0" background="1">
    <dbPr connection="Provider=Microsoft.Mashup.OleDb.1;Data Source=$Workbook$;Location=&quot;Table_1615&quot;;Extended Properties=&quot;&quot;" commandType="0"/>
  </connection>
  <connection id="77" xr16:uid="{8E6BF03F-838E-4AAD-B493-13125F469FA3}" keepAlive="1" name="連線165" type="5" refreshedVersion="0" background="1">
    <dbPr connection="Provider=Microsoft.Mashup.OleDb.1;Data Source=$Workbook$;Location=&quot;Table_1616&quot;;Extended Properties=&quot;&quot;" commandType="0"/>
  </connection>
  <connection id="78" xr16:uid="{82DAFA75-28AE-4376-A750-075736076C3F}" keepAlive="1" name="連線166" type="5" refreshedVersion="0" background="1">
    <dbPr connection="Provider=Microsoft.Mashup.OleDb.1;Data Source=$Workbook$;Location=&quot;Table_1617&quot;;Extended Properties=&quot;&quot;" commandType="0"/>
  </connection>
  <connection id="79" xr16:uid="{7B2573FE-C1A0-4999-A040-75C8967DE493}" keepAlive="1" name="連線167" type="5" refreshedVersion="0" background="1">
    <dbPr connection="Provider=Microsoft.Mashup.OleDb.1;Data Source=$Workbook$;Location=&quot;Table_1618&quot;;Extended Properties=&quot;&quot;" commandType="0"/>
  </connection>
  <connection id="80" xr16:uid="{85358BB2-A2DE-4ACB-9479-865580A1123B}" keepAlive="1" name="連線168" type="5" refreshedVersion="0" background="1">
    <dbPr connection="Provider=Microsoft.Mashup.OleDb.1;Data Source=$Workbook$;Location=&quot;Table_1626&quot;;Extended Properties=&quot;&quot;" commandType="0"/>
  </connection>
  <connection id="81" xr16:uid="{66B538F2-72C2-4223-8246-8A4253689394}" keepAlive="1" name="連線169" type="5" refreshedVersion="0" background="1">
    <dbPr connection="Provider=Microsoft.Mashup.OleDb.1;Data Source=$Workbook$;Location=&quot;Table_1101&quot;;Extended Properties=&quot;&quot;" commandType="0"/>
  </connection>
  <connection id="82" xr16:uid="{BE06C15D-7760-48F1-A7A9-2945485C56D0}" keepAlive="1" name="連線17" type="5" refreshedVersion="0" background="1">
    <dbPr connection="Provider=Microsoft.Mashup.OleDb.1;Data Source=$Workbook$;Location=&quot;Table_1220&quot;;Extended Properties=&quot;&quot;" commandType="0"/>
  </connection>
  <connection id="83" xr16:uid="{A4A1EE49-39E7-48F3-9535-747A69BD165E}" keepAlive="1" name="連線170" type="5" refreshedVersion="0" background="1">
    <dbPr connection="Provider=Microsoft.Mashup.OleDb.1;Data Source=$Workbook$;Location=&quot;Table_1102&quot;;Extended Properties=&quot;&quot;" commandType="0"/>
  </connection>
  <connection id="84" xr16:uid="{C2FD4F7A-A4FF-434F-8795-C8BF201DD1AD}" keepAlive="1" name="連線171" type="5" refreshedVersion="0" background="1">
    <dbPr connection="Provider=Microsoft.Mashup.OleDb.1;Data Source=$Workbook$;Location=&quot;Table_1103&quot;;Extended Properties=&quot;&quot;" commandType="0"/>
  </connection>
  <connection id="85" xr16:uid="{153E2AB4-871C-46E9-BE09-29EF033D56F2}" keepAlive="1" name="連線172" type="5" refreshedVersion="0" background="1">
    <dbPr connection="Provider=Microsoft.Mashup.OleDb.1;Data Source=$Workbook$;Location=&quot;Table_1104&quot;;Extended Properties=&quot;&quot;" commandType="0"/>
  </connection>
  <connection id="86" xr16:uid="{12A64EED-A5B0-4220-A994-14780D838D85}" keepAlive="1" name="連線173" type="5" refreshedVersion="0" background="1">
    <dbPr connection="Provider=Microsoft.Mashup.OleDb.1;Data Source=$Workbook$;Location=&quot;Table_1108&quot;;Extended Properties=&quot;&quot;" commandType="0"/>
  </connection>
  <connection id="87" xr16:uid="{197A9B41-035B-4491-BEEC-F7F5DB3B53FE}" keepAlive="1" name="連線174" type="5" refreshedVersion="0" background="1">
    <dbPr connection="Provider=Microsoft.Mashup.OleDb.1;Data Source=$Workbook$;Location=&quot;Table_1109&quot;;Extended Properties=&quot;&quot;" commandType="0"/>
  </connection>
  <connection id="88" xr16:uid="{817403B6-4FD6-4AB3-8721-0318883A358C}" keepAlive="1" name="連線175" type="5" refreshedVersion="0" background="1">
    <dbPr connection="Provider=Microsoft.Mashup.OleDb.1;Data Source=$Workbook$;Location=&quot;Table_1110&quot;;Extended Properties=&quot;&quot;" commandType="0"/>
  </connection>
  <connection id="89" xr16:uid="{150A7634-325C-4F4F-9A77-B753D1D5E5E7}" keepAlive="1" name="連線176" type="5" refreshedVersion="0" background="1">
    <dbPr connection="Provider=Microsoft.Mashup.OleDb.1;Data Source=$Workbook$;Location=&quot;Table_1201&quot;;Extended Properties=&quot;&quot;" commandType="0"/>
  </connection>
  <connection id="90" xr16:uid="{0332E242-9B2D-47EA-812A-5A59E5FAC181}" keepAlive="1" name="連線177" type="5" refreshedVersion="0" background="1">
    <dbPr connection="Provider=Microsoft.Mashup.OleDb.1;Data Source=$Workbook$;Location=&quot;Table_1203&quot;;Extended Properties=&quot;&quot;" commandType="0"/>
  </connection>
  <connection id="91" xr16:uid="{19C0D140-37D8-4118-8D95-3ACE7B5788F8}" keepAlive="1" name="連線178" type="5" refreshedVersion="0" background="1">
    <dbPr connection="Provider=Microsoft.Mashup.OleDb.1;Data Source=$Workbook$;Location=&quot;Table_1210&quot;;Extended Properties=&quot;&quot;" commandType="0"/>
  </connection>
  <connection id="92" xr16:uid="{823E8C8E-7B83-4BE4-8C4C-4600D48ECC93}" keepAlive="1" name="連線179" type="5" refreshedVersion="0" background="1">
    <dbPr connection="Provider=Microsoft.Mashup.OleDb.1;Data Source=$Workbook$;Location=&quot;Table_1213&quot;;Extended Properties=&quot;&quot;" commandType="0"/>
  </connection>
  <connection id="93" xr16:uid="{401C385D-85D9-42B2-BEC8-4C22E548B62B}" keepAlive="1" name="連線18" type="5" refreshedVersion="0" background="1">
    <dbPr connection="Provider=Microsoft.Mashup.OleDb.1;Data Source=$Workbook$;Location=&quot;Table_1225&quot;;Extended Properties=&quot;&quot;" commandType="0"/>
  </connection>
  <connection id="94" xr16:uid="{42355B66-935A-4866-9651-C713F90B2CEC}" keepAlive="1" name="連線180" type="5" refreshedVersion="0" background="1">
    <dbPr connection="Provider=Microsoft.Mashup.OleDb.1;Data Source=$Workbook$;Location=&quot;Table_1215&quot;;Extended Properties=&quot;&quot;" commandType="0"/>
  </connection>
  <connection id="95" xr16:uid="{ECFAF373-62F4-498B-ACBB-B3CBA11ED2F0}" keepAlive="1" name="連線181" type="5" refreshedVersion="0" background="1">
    <dbPr connection="Provider=Microsoft.Mashup.OleDb.1;Data Source=$Workbook$;Location=&quot;Table_1216&quot;;Extended Properties=&quot;&quot;" commandType="0"/>
  </connection>
  <connection id="96" xr16:uid="{12870B92-DEF9-4A31-826C-EA77CC2BDF92}" keepAlive="1" name="連線182" type="5" refreshedVersion="0" background="1">
    <dbPr connection="Provider=Microsoft.Mashup.OleDb.1;Data Source=$Workbook$;Location=&quot;Table_1217&quot;;Extended Properties=&quot;&quot;" commandType="0"/>
  </connection>
  <connection id="97" xr16:uid="{46D577AA-2EC0-43E4-A903-9EE77CB1AE46}" keepAlive="1" name="連線183" type="5" refreshedVersion="0" background="1">
    <dbPr connection="Provider=Microsoft.Mashup.OleDb.1;Data Source=$Workbook$;Location=&quot;Table_1218&quot;;Extended Properties=&quot;&quot;" commandType="0"/>
  </connection>
  <connection id="98" xr16:uid="{55604E8E-58F6-487D-9870-ECF06A297F7E}" keepAlive="1" name="連線184" type="5" refreshedVersion="0" background="1">
    <dbPr connection="Provider=Microsoft.Mashup.OleDb.1;Data Source=$Workbook$;Location=&quot;Table_1219&quot;;Extended Properties=&quot;&quot;" commandType="0"/>
  </connection>
  <connection id="99" xr16:uid="{92A26F5E-0072-439E-925C-70D62054D712}" keepAlive="1" name="連線185" type="5" refreshedVersion="0" background="1">
    <dbPr connection="Provider=Microsoft.Mashup.OleDb.1;Data Source=$Workbook$;Location=&quot;Table_1220&quot;;Extended Properties=&quot;&quot;" commandType="0"/>
  </connection>
  <connection id="100" xr16:uid="{C5AA2324-8EDC-4589-A84F-A0784FC689FA}" keepAlive="1" name="連線186" type="5" refreshedVersion="0" background="1">
    <dbPr connection="Provider=Microsoft.Mashup.OleDb.1;Data Source=$Workbook$;Location=&quot;Table_1225&quot;;Extended Properties=&quot;&quot;" commandType="0"/>
  </connection>
  <connection id="101" xr16:uid="{5A82B110-CCE8-42A4-B08A-3D63C0819528}" keepAlive="1" name="連線187" type="5" refreshedVersion="0" background="1">
    <dbPr connection="Provider=Microsoft.Mashup.OleDb.1;Data Source=$Workbook$;Location=&quot;Table_1227&quot;;Extended Properties=&quot;&quot;" commandType="0"/>
  </connection>
  <connection id="102" xr16:uid="{C700BF50-D423-4F00-A1C7-BB6538A4C62A}" keepAlive="1" name="連線188" type="5" refreshedVersion="0" background="1">
    <dbPr connection="Provider=Microsoft.Mashup.OleDb.1;Data Source=$Workbook$;Location=&quot;Table_1229&quot;;Extended Properties=&quot;&quot;" commandType="0"/>
  </connection>
  <connection id="103" xr16:uid="{D180B85C-A0D4-4093-9BEB-AA2531450F16}" keepAlive="1" name="連線189" type="5" refreshedVersion="0" background="1">
    <dbPr connection="Provider=Microsoft.Mashup.OleDb.1;Data Source=$Workbook$;Location=&quot;Table_1231&quot;;Extended Properties=&quot;&quot;" commandType="0"/>
  </connection>
  <connection id="104" xr16:uid="{08F45B83-AEF9-473C-B014-98B54CE81B5C}" keepAlive="1" name="連線19" type="5" refreshedVersion="0" background="1">
    <dbPr connection="Provider=Microsoft.Mashup.OleDb.1;Data Source=$Workbook$;Location=&quot;Table_1227&quot;;Extended Properties=&quot;&quot;" commandType="0"/>
  </connection>
  <connection id="105" xr16:uid="{91E324CA-C9C8-4AFF-BC5C-2FC5EAE2F581}" keepAlive="1" name="連線190" type="5" refreshedVersion="0" background="1">
    <dbPr connection="Provider=Microsoft.Mashup.OleDb.1;Data Source=$Workbook$;Location=&quot;Table_1232&quot;;Extended Properties=&quot;&quot;" commandType="0"/>
  </connection>
  <connection id="106" xr16:uid="{047BAB66-1E31-43B9-A5CF-4222CA784760}" keepAlive="1" name="連線191" type="5" refreshedVersion="0" background="1">
    <dbPr connection="Provider=Microsoft.Mashup.OleDb.1;Data Source=$Workbook$;Location=&quot;Table_1233&quot;;Extended Properties=&quot;&quot;" commandType="0"/>
  </connection>
  <connection id="107" xr16:uid="{E9AF4200-B8E2-450D-B166-72CC36DA19D2}" keepAlive="1" name="連線192" type="5" refreshedVersion="0" background="1">
    <dbPr connection="Provider=Microsoft.Mashup.OleDb.1;Data Source=$Workbook$;Location=&quot;Table_1234&quot;;Extended Properties=&quot;&quot;" commandType="0"/>
  </connection>
  <connection id="108" xr16:uid="{C6780A84-6476-4E71-B233-1CAF3C28961D}" keepAlive="1" name="連線193" type="5" refreshedVersion="0" background="1">
    <dbPr connection="Provider=Microsoft.Mashup.OleDb.1;Data Source=$Workbook$;Location=&quot;Table_1235&quot;;Extended Properties=&quot;&quot;" commandType="0"/>
  </connection>
  <connection id="109" xr16:uid="{7073CD87-88DA-41A4-BB82-29EA7FB1994F}" keepAlive="1" name="連線194" type="5" refreshedVersion="0" background="1">
    <dbPr connection="Provider=Microsoft.Mashup.OleDb.1;Data Source=$Workbook$;Location=&quot;Table_1236&quot;;Extended Properties=&quot;&quot;" commandType="0"/>
  </connection>
  <connection id="110" xr16:uid="{B2B3EEAC-C213-49AF-AB9B-EBC3DCEDD40E}" keepAlive="1" name="連線195" type="5" refreshedVersion="0" background="1">
    <dbPr connection="Provider=Microsoft.Mashup.OleDb.1;Data Source=$Workbook$;Location=&quot;Table_1240&quot;;Extended Properties=&quot;&quot;" commandType="0"/>
  </connection>
  <connection id="111" xr16:uid="{6FC28DB5-B269-4302-B6ED-9449ED86A806}" keepAlive="1" name="連線196" type="5" refreshedVersion="0" background="1">
    <dbPr connection="Provider=Microsoft.Mashup.OleDb.1;Data Source=$Workbook$;Location=&quot;Table_1256&quot;;Extended Properties=&quot;&quot;" commandType="0"/>
  </connection>
  <connection id="112" xr16:uid="{7A6D6FC8-046D-4512-9B73-F4FCE7FC282B}" keepAlive="1" name="連線197" type="5" refreshedVersion="0" background="1">
    <dbPr connection="Provider=Microsoft.Mashup.OleDb.1;Data Source=$Workbook$;Location=&quot;Table_1258&quot;;Extended Properties=&quot;&quot;" commandType="0"/>
  </connection>
  <connection id="113" xr16:uid="{26721E2F-AF67-44BB-917B-2FCEB8915560}" keepAlive="1" name="連線198" type="5" refreshedVersion="0" background="1">
    <dbPr connection="Provider=Microsoft.Mashup.OleDb.1;Data Source=$Workbook$;Location=&quot;Table_1259&quot;;Extended Properties=&quot;&quot;" commandType="0"/>
  </connection>
  <connection id="114" xr16:uid="{F7004B58-4BEB-4D32-861D-7BF31E4CDA9D}" keepAlive="1" name="連線199" type="5" refreshedVersion="0" background="1">
    <dbPr connection="Provider=Microsoft.Mashup.OleDb.1;Data Source=$Workbook$;Location=&quot;Table_1264&quot;;Extended Properties=&quot;&quot;" commandType="0"/>
  </connection>
  <connection id="115" xr16:uid="{AC689E60-0DB6-4BDF-890D-D3CFAD9E7205}" keepAlive="1" name="連線2" type="5" refreshedVersion="0" background="1">
    <dbPr connection="Provider=Microsoft.Mashup.OleDb.1;Data Source=$Workbook$;Location=&quot;Table_1102&quot;;Extended Properties=&quot;&quot;" commandType="0"/>
  </connection>
  <connection id="116" xr16:uid="{303C8DD0-5812-43B9-A9F8-BB78C1587494}" keepAlive="1" name="連線20" type="5" refreshedVersion="0" background="1">
    <dbPr connection="Provider=Microsoft.Mashup.OleDb.1;Data Source=$Workbook$;Location=&quot;Table_1229&quot;;Extended Properties=&quot;&quot;" commandType="0"/>
  </connection>
  <connection id="117" xr16:uid="{EB358222-CEB6-43B2-825E-1C3FF9B42F43}" keepAlive="1" name="連線200" type="5" refreshedVersion="0" background="1">
    <dbPr connection="Provider=Microsoft.Mashup.OleDb.1;Data Source=$Workbook$;Location=&quot;Table_1268&quot;;Extended Properties=&quot;&quot;" commandType="0"/>
  </connection>
  <connection id="118" xr16:uid="{A851D6FC-888E-440A-ACEB-ABF83D25C72B}" keepAlive="1" name="連線201" type="5" refreshedVersion="0" background="1">
    <dbPr connection="Provider=Microsoft.Mashup.OleDb.1;Data Source=$Workbook$;Location=&quot;Table_1301&quot;;Extended Properties=&quot;&quot;" commandType="0"/>
  </connection>
  <connection id="119" xr16:uid="{54128403-04B5-4AD4-A9A2-5A6E10D738C0}" keepAlive="1" name="連線202" type="5" refreshedVersion="0" background="1">
    <dbPr connection="Provider=Microsoft.Mashup.OleDb.1;Data Source=$Workbook$;Location=&quot;Table_1303&quot;;Extended Properties=&quot;&quot;" commandType="0"/>
  </connection>
  <connection id="120" xr16:uid="{4E7A8442-4E0C-46F8-BD49-294A23EC989A}" keepAlive="1" name="連線203" type="5" refreshedVersion="0" background="1">
    <dbPr connection="Provider=Microsoft.Mashup.OleDb.1;Data Source=$Workbook$;Location=&quot;Table_1304&quot;;Extended Properties=&quot;&quot;" commandType="0"/>
  </connection>
  <connection id="121" xr16:uid="{C2BE4231-64B6-4588-A76F-E63E30650576}" keepAlive="1" name="連線204" type="5" refreshedVersion="0" background="1">
    <dbPr connection="Provider=Microsoft.Mashup.OleDb.1;Data Source=$Workbook$;Location=&quot;Table_1305&quot;;Extended Properties=&quot;&quot;" commandType="0"/>
  </connection>
  <connection id="122" xr16:uid="{8E3676AD-1EF0-43FE-826A-29B8ECB19949}" keepAlive="1" name="連線205" type="5" refreshedVersion="0" background="1">
    <dbPr connection="Provider=Microsoft.Mashup.OleDb.1;Data Source=$Workbook$;Location=&quot;Table_1307&quot;;Extended Properties=&quot;&quot;" commandType="0"/>
  </connection>
  <connection id="123" xr16:uid="{B25611D3-576F-4AD9-A3FD-66D40CE24FB6}" keepAlive="1" name="連線206" type="5" refreshedVersion="0" background="1">
    <dbPr connection="Provider=Microsoft.Mashup.OleDb.1;Data Source=$Workbook$;Location=&quot;Table_1308&quot;;Extended Properties=&quot;&quot;" commandType="0"/>
  </connection>
  <connection id="124" xr16:uid="{3A970046-4C3E-49D9-B27D-DE6A9538DDEB}" keepAlive="1" name="連線207" type="5" refreshedVersion="0" background="1">
    <dbPr connection="Provider=Microsoft.Mashup.OleDb.1;Data Source=$Workbook$;Location=&quot;Table_1309&quot;;Extended Properties=&quot;&quot;" commandType="0"/>
  </connection>
  <connection id="125" xr16:uid="{18F84251-8E98-4D2F-B0BE-10FC13478914}" keepAlive="1" name="連線208" type="5" refreshedVersion="0" background="1">
    <dbPr connection="Provider=Microsoft.Mashup.OleDb.1;Data Source=$Workbook$;Location=&quot;Table_1310&quot;;Extended Properties=&quot;&quot;" commandType="0"/>
  </connection>
  <connection id="126" xr16:uid="{ADF9D5D4-F132-4B0B-BB13-D655C4DD1A37}" keepAlive="1" name="連線209" type="5" refreshedVersion="0" background="1">
    <dbPr connection="Provider=Microsoft.Mashup.OleDb.1;Data Source=$Workbook$;Location=&quot;Table_1312&quot;;Extended Properties=&quot;&quot;" commandType="0"/>
  </connection>
  <connection id="127" xr16:uid="{E93802EE-6A18-4036-A541-3B2A71733631}" keepAlive="1" name="連線21" type="5" refreshedVersion="0" background="1">
    <dbPr connection="Provider=Microsoft.Mashup.OleDb.1;Data Source=$Workbook$;Location=&quot;Table_1231&quot;;Extended Properties=&quot;&quot;" commandType="0"/>
  </connection>
  <connection id="128" xr16:uid="{71835CA5-A774-43EF-8CD1-F90ADA61B841}" keepAlive="1" name="連線210" type="5" refreshedVersion="0" background="1">
    <dbPr connection="Provider=Microsoft.Mashup.OleDb.1;Data Source=$Workbook$;Location=&quot;Table_1313&quot;;Extended Properties=&quot;&quot;" commandType="0"/>
  </connection>
  <connection id="129" xr16:uid="{156DCF58-911B-4329-B4F6-6D9D9E89C1FA}" keepAlive="1" name="連線211" type="5" refreshedVersion="0" background="1">
    <dbPr connection="Provider=Microsoft.Mashup.OleDb.1;Data Source=$Workbook$;Location=&quot;Table_1314&quot;;Extended Properties=&quot;&quot;" commandType="0"/>
  </connection>
  <connection id="130" xr16:uid="{74356157-D88D-4A66-86FE-4043DFF4D2C2}" keepAlive="1" name="連線212" type="5" refreshedVersion="0" background="1">
    <dbPr connection="Provider=Microsoft.Mashup.OleDb.1;Data Source=$Workbook$;Location=&quot;Table_1315&quot;;Extended Properties=&quot;&quot;" commandType="0"/>
  </connection>
  <connection id="131" xr16:uid="{89C9BC66-1DEE-404E-8793-CDA78A71C2B1}" keepAlive="1" name="連線213" type="5" refreshedVersion="0" background="1">
    <dbPr connection="Provider=Microsoft.Mashup.OleDb.1;Data Source=$Workbook$;Location=&quot;Table_1316&quot;;Extended Properties=&quot;&quot;" commandType="0"/>
  </connection>
  <connection id="132" xr16:uid="{A78BE971-067A-4C51-8C6D-58B88950FA2B}" keepAlive="1" name="連線214" type="5" refreshedVersion="0" background="1">
    <dbPr connection="Provider=Microsoft.Mashup.OleDb.1;Data Source=$Workbook$;Location=&quot;Table_1319&quot;;Extended Properties=&quot;&quot;" commandType="0"/>
  </connection>
  <connection id="133" xr16:uid="{BC11AD18-F220-4D0D-B171-30A0F61B976E}" keepAlive="1" name="連線215" type="5" refreshedVersion="0" background="1">
    <dbPr connection="Provider=Microsoft.Mashup.OleDb.1;Data Source=$Workbook$;Location=&quot;Table_1321&quot;;Extended Properties=&quot;&quot;" commandType="0"/>
  </connection>
  <connection id="134" xr16:uid="{F7C7DE6B-5AA0-44EC-9383-5322F37F85DF}" keepAlive="1" name="連線216" type="5" refreshedVersion="0" background="1">
    <dbPr connection="Provider=Microsoft.Mashup.OleDb.1;Data Source=$Workbook$;Location=&quot;Table_1323&quot;;Extended Properties=&quot;&quot;" commandType="0"/>
  </connection>
  <connection id="135" xr16:uid="{D04D550A-EFE3-496C-B755-DF45F3B5B07B}" keepAlive="1" name="連線217" type="5" refreshedVersion="0" background="1">
    <dbPr connection="Provider=Microsoft.Mashup.OleDb.1;Data Source=$Workbook$;Location=&quot;Table_1324&quot;;Extended Properties=&quot;&quot;" commandType="0"/>
  </connection>
  <connection id="136" xr16:uid="{AC89CD1D-DED5-42BB-B6E1-750FC3DA409A}" keepAlive="1" name="連線218" type="5" refreshedVersion="0" background="1">
    <dbPr connection="Provider=Microsoft.Mashup.OleDb.1;Data Source=$Workbook$;Location=&quot;Table_1325&quot;;Extended Properties=&quot;&quot;" commandType="0"/>
  </connection>
  <connection id="137" xr16:uid="{8B09B637-7F1F-4E05-926A-C5A3026D81F8}" keepAlive="1" name="連線219" type="5" refreshedVersion="0" background="1">
    <dbPr connection="Provider=Microsoft.Mashup.OleDb.1;Data Source=$Workbook$;Location=&quot;Table_1326&quot;;Extended Properties=&quot;&quot;" commandType="0"/>
  </connection>
  <connection id="138" xr16:uid="{C3329DD3-5419-48A9-8728-714DCF9C4CEA}" keepAlive="1" name="連線22" type="5" refreshedVersion="0" background="1">
    <dbPr connection="Provider=Microsoft.Mashup.OleDb.1;Data Source=$Workbook$;Location=&quot;Table_1232&quot;;Extended Properties=&quot;&quot;" commandType="0"/>
  </connection>
  <connection id="139" xr16:uid="{2ADFC731-EB1B-4FBA-A4CD-2A8B78D86368}" keepAlive="1" name="連線220" type="5" refreshedVersion="0" background="1">
    <dbPr connection="Provider=Microsoft.Mashup.OleDb.1;Data Source=$Workbook$;Location=&quot;Table_1336&quot;;Extended Properties=&quot;&quot;" commandType="0"/>
  </connection>
  <connection id="140" xr16:uid="{A6EFAB5A-2857-417D-9C1C-227FD10B671B}" keepAlive="1" name="連線221" type="5" refreshedVersion="0" background="1">
    <dbPr connection="Provider=Microsoft.Mashup.OleDb.1;Data Source=$Workbook$;Location=&quot;Table_1337&quot;;Extended Properties=&quot;&quot;" commandType="0"/>
  </connection>
  <connection id="141" xr16:uid="{67DE8E6B-CD29-418A-AEBD-3AFCA75FF10C}" keepAlive="1" name="連線222" type="5" refreshedVersion="0" background="1">
    <dbPr connection="Provider=Microsoft.Mashup.OleDb.1;Data Source=$Workbook$;Location=&quot;Table_1338&quot;;Extended Properties=&quot;&quot;" commandType="0"/>
  </connection>
  <connection id="142" xr16:uid="{E723FF78-1327-4EFD-B912-13FAEDE6B029}" keepAlive="1" name="連線223" type="5" refreshedVersion="0" background="1">
    <dbPr connection="Provider=Microsoft.Mashup.OleDb.1;Data Source=$Workbook$;Location=&quot;Table_1339&quot;;Extended Properties=&quot;&quot;" commandType="0"/>
  </connection>
  <connection id="143" xr16:uid="{BFF34B76-DBE4-4980-8BC1-774D744F924A}" keepAlive="1" name="連線224" type="5" refreshedVersion="0" background="1">
    <dbPr connection="Provider=Microsoft.Mashup.OleDb.1;Data Source=$Workbook$;Location=&quot;Table_1340&quot;;Extended Properties=&quot;&quot;" commandType="0"/>
  </connection>
  <connection id="144" xr16:uid="{2A2146D6-B0F7-402B-9289-2BCD93B6A64A}" keepAlive="1" name="連線225" type="5" refreshedVersion="0" background="1">
    <dbPr connection="Provider=Microsoft.Mashup.OleDb.1;Data Source=$Workbook$;Location=&quot;Table_1341&quot;;Extended Properties=&quot;&quot;" commandType="0"/>
  </connection>
  <connection id="145" xr16:uid="{4AA5B5F0-2A7D-4A82-9AD4-E4963A292794}" keepAlive="1" name="連線226" type="5" refreshedVersion="0" background="1">
    <dbPr connection="Provider=Microsoft.Mashup.OleDb.1;Data Source=$Workbook$;Location=&quot;Table_1342&quot;;Extended Properties=&quot;&quot;" commandType="0"/>
  </connection>
  <connection id="146" xr16:uid="{22B91F54-8F82-4DB8-A092-74C7C13622E0}" keepAlive="1" name="連線227" type="5" refreshedVersion="0" background="1">
    <dbPr connection="Provider=Microsoft.Mashup.OleDb.1;Data Source=$Workbook$;Location=&quot;Table_1402&quot;;Extended Properties=&quot;&quot;" commandType="0"/>
  </connection>
  <connection id="147" xr16:uid="{D316A70A-F7AF-45E7-BCD2-979109BCA8E1}" keepAlive="1" name="連線228" type="5" refreshedVersion="0" background="1">
    <dbPr connection="Provider=Microsoft.Mashup.OleDb.1;Data Source=$Workbook$;Location=&quot;Table_1409&quot;;Extended Properties=&quot;&quot;" commandType="0"/>
  </connection>
  <connection id="148" xr16:uid="{A019CCC1-EDD0-4CB9-9171-C6A8684ABD37}" keepAlive="1" name="連線229" type="5" refreshedVersion="0" background="1">
    <dbPr connection="Provider=Microsoft.Mashup.OleDb.1;Data Source=$Workbook$;Location=&quot;Table_1410&quot;;Extended Properties=&quot;&quot;" commandType="0"/>
  </connection>
  <connection id="149" xr16:uid="{1CB80B13-DFAA-4A11-AEC3-F50C2BD3F8D0}" keepAlive="1" name="連線23" type="5" refreshedVersion="0" background="1">
    <dbPr connection="Provider=Microsoft.Mashup.OleDb.1;Data Source=$Workbook$;Location=&quot;Table_1233&quot;;Extended Properties=&quot;&quot;" commandType="0"/>
  </connection>
  <connection id="150" xr16:uid="{97AE76FD-6692-47AC-BFC8-9115C06C6E8A}" keepAlive="1" name="連線230" type="5" refreshedVersion="0" background="1">
    <dbPr connection="Provider=Microsoft.Mashup.OleDb.1;Data Source=$Workbook$;Location=&quot;Table_1413&quot;;Extended Properties=&quot;&quot;" commandType="0"/>
  </connection>
  <connection id="151" xr16:uid="{45143991-2D51-4CFF-A704-51A0E2A079E9}" keepAlive="1" name="連線231" type="5" refreshedVersion="0" background="1">
    <dbPr connection="Provider=Microsoft.Mashup.OleDb.1;Data Source=$Workbook$;Location=&quot;Table_1414&quot;;Extended Properties=&quot;&quot;" commandType="0"/>
  </connection>
  <connection id="152" xr16:uid="{78E0C0FA-917C-44FC-BF24-D9551CE9B8A9}" keepAlive="1" name="連線232" type="5" refreshedVersion="0" background="1">
    <dbPr connection="Provider=Microsoft.Mashup.OleDb.1;Data Source=$Workbook$;Location=&quot;Table_1416&quot;;Extended Properties=&quot;&quot;" commandType="0"/>
  </connection>
  <connection id="153" xr16:uid="{39599C98-E5A3-4E30-8756-E878709DBBC7}" keepAlive="1" name="連線233" type="5" refreshedVersion="0" background="1">
    <dbPr connection="Provider=Microsoft.Mashup.OleDb.1;Data Source=$Workbook$;Location=&quot;Table_1417&quot;;Extended Properties=&quot;&quot;" commandType="0"/>
  </connection>
  <connection id="154" xr16:uid="{A4CDDC1F-72A4-4159-8377-E5CA3B18C3CB}" keepAlive="1" name="連線234" type="5" refreshedVersion="0" background="1">
    <dbPr connection="Provider=Microsoft.Mashup.OleDb.1;Data Source=$Workbook$;Location=&quot;Table_1418&quot;;Extended Properties=&quot;&quot;" commandType="0"/>
  </connection>
  <connection id="155" xr16:uid="{631FD434-3E16-4C40-AD19-DEF07F30D663}" keepAlive="1" name="連線235" type="5" refreshedVersion="0" background="1">
    <dbPr connection="Provider=Microsoft.Mashup.OleDb.1;Data Source=$Workbook$;Location=&quot;Table_1419&quot;;Extended Properties=&quot;&quot;" commandType="0"/>
  </connection>
  <connection id="156" xr16:uid="{3CCCADFD-9070-4740-B355-48E8DE6659CD}" keepAlive="1" name="連線236" type="5" refreshedVersion="0" background="1">
    <dbPr connection="Provider=Microsoft.Mashup.OleDb.1;Data Source=$Workbook$;Location=&quot;Table_1423&quot;;Extended Properties=&quot;&quot;" commandType="0"/>
  </connection>
  <connection id="157" xr16:uid="{C1D38903-710E-4841-9A3B-7A5722AEA7D9}" keepAlive="1" name="連線237" type="5" refreshedVersion="0" background="1">
    <dbPr connection="Provider=Microsoft.Mashup.OleDb.1;Data Source=$Workbook$;Location=&quot;Table_1432&quot;;Extended Properties=&quot;&quot;" commandType="0"/>
  </connection>
  <connection id="158" xr16:uid="{9E62100E-53BC-4895-B16E-B7EE98607C1D}" keepAlive="1" name="連線238" type="5" refreshedVersion="0" background="1">
    <dbPr connection="Provider=Microsoft.Mashup.OleDb.1;Data Source=$Workbook$;Location=&quot;Table_1434&quot;;Extended Properties=&quot;&quot;" commandType="0"/>
  </connection>
  <connection id="159" xr16:uid="{C35EE013-4896-431C-993D-3C779929A419}" keepAlive="1" name="連線239" type="5" refreshedVersion="0" background="1">
    <dbPr connection="Provider=Microsoft.Mashup.OleDb.1;Data Source=$Workbook$;Location=&quot;Table_1436&quot;;Extended Properties=&quot;&quot;" commandType="0"/>
  </connection>
  <connection id="160" xr16:uid="{F06294A1-9120-4E37-B3BF-346B775C7BD9}" keepAlive="1" name="連線24" type="5" refreshedVersion="0" background="1">
    <dbPr connection="Provider=Microsoft.Mashup.OleDb.1;Data Source=$Workbook$;Location=&quot;Table_1234&quot;;Extended Properties=&quot;&quot;" commandType="0"/>
  </connection>
  <connection id="161" xr16:uid="{D45AFBDF-D418-4C47-A450-DAF1870F9429}" keepAlive="1" name="連線240" type="5" refreshedVersion="0" background="1">
    <dbPr connection="Provider=Microsoft.Mashup.OleDb.1;Data Source=$Workbook$;Location=&quot;Table_1437&quot;;Extended Properties=&quot;&quot;" commandType="0"/>
  </connection>
  <connection id="162" xr16:uid="{6EA07B45-AB5E-412A-B8E0-6A477D5F29F7}" keepAlive="1" name="連線241" type="5" refreshedVersion="0" background="1">
    <dbPr connection="Provider=Microsoft.Mashup.OleDb.1;Data Source=$Workbook$;Location=&quot;Table_1438&quot;;Extended Properties=&quot;&quot;" commandType="0"/>
  </connection>
  <connection id="163" xr16:uid="{09FC35BF-5928-463D-A09A-8174CF48BEA7}" keepAlive="1" name="連線242" type="5" refreshedVersion="0" background="1">
    <dbPr connection="Provider=Microsoft.Mashup.OleDb.1;Data Source=$Workbook$;Location=&quot;Table_1439&quot;;Extended Properties=&quot;&quot;" commandType="0"/>
  </connection>
  <connection id="164" xr16:uid="{CA062FCE-CA4B-4BB0-8AA4-3BEF85C06B72}" keepAlive="1" name="連線243" type="5" refreshedVersion="0" background="1">
    <dbPr connection="Provider=Microsoft.Mashup.OleDb.1;Data Source=$Workbook$;Location=&quot;Table_1440&quot;;Extended Properties=&quot;&quot;" commandType="0"/>
  </connection>
  <connection id="165" xr16:uid="{108BF455-63E2-4323-A067-33992F7B644A}" keepAlive="1" name="連線244" type="5" refreshedVersion="0" background="1">
    <dbPr connection="Provider=Microsoft.Mashup.OleDb.1;Data Source=$Workbook$;Location=&quot;Table_1441&quot;;Extended Properties=&quot;&quot;" commandType="0"/>
  </connection>
  <connection id="166" xr16:uid="{7A1479D9-C23A-41DD-993F-8AB3DE83EFDE}" keepAlive="1" name="連線245" type="5" refreshedVersion="0" background="1">
    <dbPr connection="Provider=Microsoft.Mashup.OleDb.1;Data Source=$Workbook$;Location=&quot;Table_1442&quot;;Extended Properties=&quot;&quot;" commandType="0"/>
  </connection>
  <connection id="167" xr16:uid="{08A58AFD-5945-4BDC-9E69-ABC7605D4C64}" keepAlive="1" name="連線246" type="5" refreshedVersion="0" background="1">
    <dbPr connection="Provider=Microsoft.Mashup.OleDb.1;Data Source=$Workbook$;Location=&quot;Table_1443&quot;;Extended Properties=&quot;&quot;" commandType="0"/>
  </connection>
  <connection id="168" xr16:uid="{AAC3DF14-D069-4F5B-AAF6-DDB5FB9DA3ED}" keepAlive="1" name="連線247" type="5" refreshedVersion="0" background="1">
    <dbPr connection="Provider=Microsoft.Mashup.OleDb.1;Data Source=$Workbook$;Location=&quot;Table_1444&quot;;Extended Properties=&quot;&quot;" commandType="0"/>
  </connection>
  <connection id="169" xr16:uid="{895E35B8-2499-4332-BB47-585D1F5B4FAF}" keepAlive="1" name="連線248" type="5" refreshedVersion="0" background="1">
    <dbPr connection="Provider=Microsoft.Mashup.OleDb.1;Data Source=$Workbook$;Location=&quot;Table_1445&quot;;Extended Properties=&quot;&quot;" commandType="0"/>
  </connection>
  <connection id="170" xr16:uid="{21099E48-9872-474C-8C32-2DFF175DE77B}" keepAlive="1" name="連線249" type="5" refreshedVersion="0" background="1">
    <dbPr connection="Provider=Microsoft.Mashup.OleDb.1;Data Source=$Workbook$;Location=&quot;Table_1446&quot;;Extended Properties=&quot;&quot;" commandType="0"/>
  </connection>
  <connection id="171" xr16:uid="{9ED9D0B2-BA31-45D9-9105-C79B8DA41A46}" keepAlive="1" name="連線25" type="5" refreshedVersion="0" background="1">
    <dbPr connection="Provider=Microsoft.Mashup.OleDb.1;Data Source=$Workbook$;Location=&quot;Table_1235&quot;;Extended Properties=&quot;&quot;" commandType="0"/>
  </connection>
  <connection id="172" xr16:uid="{5E7227BC-E722-49E0-AAB1-9E302E4A3938}" keepAlive="1" name="連線250" type="5" refreshedVersion="0" background="1">
    <dbPr connection="Provider=Microsoft.Mashup.OleDb.1;Data Source=$Workbook$;Location=&quot;Table_1447&quot;;Extended Properties=&quot;&quot;" commandType="0"/>
  </connection>
  <connection id="173" xr16:uid="{933C0368-1EAB-45F8-AE95-79FE5E124CFE}" keepAlive="1" name="連線251" type="5" refreshedVersion="0" background="1">
    <dbPr connection="Provider=Microsoft.Mashup.OleDb.1;Data Source=$Workbook$;Location=&quot;Table_1449&quot;;Extended Properties=&quot;&quot;" commandType="0"/>
  </connection>
  <connection id="174" xr16:uid="{44019442-53C7-4CC3-888F-A6F3E3653D63}" keepAlive="1" name="連線252" type="5" refreshedVersion="0" background="1">
    <dbPr connection="Provider=Microsoft.Mashup.OleDb.1;Data Source=$Workbook$;Location=&quot;Table_1451&quot;;Extended Properties=&quot;&quot;" commandType="0"/>
  </connection>
  <connection id="175" xr16:uid="{F9E67550-2EA8-410D-8CFA-7FFAC4D7134C}" keepAlive="1" name="連線253" type="5" refreshedVersion="0" background="1">
    <dbPr connection="Provider=Microsoft.Mashup.OleDb.1;Data Source=$Workbook$;Location=&quot;Table_1452&quot;;Extended Properties=&quot;&quot;" commandType="0"/>
  </connection>
  <connection id="176" xr16:uid="{CEFA636C-5827-4EF6-9637-12B35D5E26CB}" keepAlive="1" name="連線254" type="5" refreshedVersion="0" background="1">
    <dbPr connection="Provider=Microsoft.Mashup.OleDb.1;Data Source=$Workbook$;Location=&quot;Table_1453&quot;;Extended Properties=&quot;&quot;" commandType="0"/>
  </connection>
  <connection id="177" xr16:uid="{995333CC-0549-4B8A-9308-723E65287282}" keepAlive="1" name="連線255" type="5" refreshedVersion="0" background="1">
    <dbPr connection="Provider=Microsoft.Mashup.OleDb.1;Data Source=$Workbook$;Location=&quot;Table_1454&quot;;Extended Properties=&quot;&quot;" commandType="0"/>
  </connection>
  <connection id="178" xr16:uid="{3E485BB6-8F4A-4545-8DCA-A29A149B8789}" keepAlive="1" name="連線256" type="5" refreshedVersion="0" background="1">
    <dbPr connection="Provider=Microsoft.Mashup.OleDb.1;Data Source=$Workbook$;Location=&quot;Table_1455&quot;;Extended Properties=&quot;&quot;" commandType="0"/>
  </connection>
  <connection id="179" xr16:uid="{CA439BB0-A7F9-4BE4-A6F2-9FA36D24906B}" keepAlive="1" name="連線257" type="5" refreshedVersion="0" background="1">
    <dbPr connection="Provider=Microsoft.Mashup.OleDb.1;Data Source=$Workbook$;Location=&quot;Table_1456&quot;;Extended Properties=&quot;&quot;" commandType="0"/>
  </connection>
  <connection id="180" xr16:uid="{25BC4521-1291-4BAF-95EE-42B665E75D3A}" keepAlive="1" name="連線258" type="5" refreshedVersion="0" background="1">
    <dbPr connection="Provider=Microsoft.Mashup.OleDb.1;Data Source=$Workbook$;Location=&quot;Table_1457&quot;;Extended Properties=&quot;&quot;" commandType="0"/>
  </connection>
  <connection id="181" xr16:uid="{1F7E26C2-B8C2-406F-BAE2-E6AC9E1E1EBD}" keepAlive="1" name="連線259" type="5" refreshedVersion="0" background="1">
    <dbPr connection="Provider=Microsoft.Mashup.OleDb.1;Data Source=$Workbook$;Location=&quot;Table_1459&quot;;Extended Properties=&quot;&quot;" commandType="0"/>
  </connection>
  <connection id="182" xr16:uid="{B7AAFB15-C0CB-49E6-8EC9-F2975F9DDC4D}" keepAlive="1" name="連線26" type="5" refreshedVersion="0" background="1">
    <dbPr connection="Provider=Microsoft.Mashup.OleDb.1;Data Source=$Workbook$;Location=&quot;Table_1236&quot;;Extended Properties=&quot;&quot;" commandType="0"/>
  </connection>
  <connection id="183" xr16:uid="{729F158D-C3EE-4809-8374-F6A81DEA26AA}" keepAlive="1" name="連線260" type="5" refreshedVersion="0" background="1">
    <dbPr connection="Provider=Microsoft.Mashup.OleDb.1;Data Source=$Workbook$;Location=&quot;Table_1460&quot;;Extended Properties=&quot;&quot;" commandType="0"/>
  </connection>
  <connection id="184" xr16:uid="{2A0802CF-313B-4725-95C3-825DBE0F7FC1}" keepAlive="1" name="連線261" type="5" refreshedVersion="0" background="1">
    <dbPr connection="Provider=Microsoft.Mashup.OleDb.1;Data Source=$Workbook$;Location=&quot;Table_1463&quot;;Extended Properties=&quot;&quot;" commandType="0"/>
  </connection>
  <connection id="185" xr16:uid="{E4A036B8-CAEC-4878-B9B4-40E2F0B20E6E}" keepAlive="1" name="連線262" type="5" refreshedVersion="0" background="1">
    <dbPr connection="Provider=Microsoft.Mashup.OleDb.1;Data Source=$Workbook$;Location=&quot;Table_1464&quot;;Extended Properties=&quot;&quot;" commandType="0"/>
  </connection>
  <connection id="186" xr16:uid="{7CF74EDA-AD6C-4920-8206-73F2DFB2265D}" keepAlive="1" name="連線263" type="5" refreshedVersion="0" background="1">
    <dbPr connection="Provider=Microsoft.Mashup.OleDb.1;Data Source=$Workbook$;Location=&quot;Table_1465&quot;;Extended Properties=&quot;&quot;" commandType="0"/>
  </connection>
  <connection id="187" xr16:uid="{F89DECFD-63E2-4140-AD74-F877736D033E}" keepAlive="1" name="連線264" type="5" refreshedVersion="0" background="1">
    <dbPr connection="Provider=Microsoft.Mashup.OleDb.1;Data Source=$Workbook$;Location=&quot;Table_1466&quot;;Extended Properties=&quot;&quot;" commandType="0"/>
  </connection>
  <connection id="188" xr16:uid="{F133ED99-BC57-4CB6-BE4D-848637990623}" keepAlive="1" name="連線265" type="5" refreshedVersion="0" background="1">
    <dbPr connection="Provider=Microsoft.Mashup.OleDb.1;Data Source=$Workbook$;Location=&quot;Table_1467&quot;;Extended Properties=&quot;&quot;" commandType="0"/>
  </connection>
  <connection id="189" xr16:uid="{7CC23BDF-FC40-4596-A919-F59602A3C4AB}" keepAlive="1" name="連線266" type="5" refreshedVersion="0" background="1">
    <dbPr connection="Provider=Microsoft.Mashup.OleDb.1;Data Source=$Workbook$;Location=&quot;Table_1468&quot;;Extended Properties=&quot;&quot;" commandType="0"/>
  </connection>
  <connection id="190" xr16:uid="{6405BA6C-3386-4659-9F8E-956EB130BE43}" keepAlive="1" name="連線267" type="5" refreshedVersion="0" background="1">
    <dbPr connection="Provider=Microsoft.Mashup.OleDb.1;Data Source=$Workbook$;Location=&quot;Table_1470&quot;;Extended Properties=&quot;&quot;" commandType="0"/>
  </connection>
  <connection id="191" xr16:uid="{53E104D6-89A9-4CFB-A0B7-3F6524B50803}" keepAlive="1" name="連線268" type="5" refreshedVersion="0" background="1">
    <dbPr connection="Provider=Microsoft.Mashup.OleDb.1;Data Source=$Workbook$;Location=&quot;Table_1471&quot;;Extended Properties=&quot;&quot;" commandType="0"/>
  </connection>
  <connection id="192" xr16:uid="{0E4B8D59-C3B9-48D1-A158-1D45A541F5EE}" keepAlive="1" name="連線269" type="5" refreshedVersion="0" background="1">
    <dbPr connection="Provider=Microsoft.Mashup.OleDb.1;Data Source=$Workbook$;Location=&quot;Table_1472&quot;;Extended Properties=&quot;&quot;" commandType="0"/>
  </connection>
  <connection id="193" xr16:uid="{FBC8B5DA-CB1A-47BC-9781-652546305ACD}" keepAlive="1" name="連線27" type="5" refreshedVersion="0" background="1">
    <dbPr connection="Provider=Microsoft.Mashup.OleDb.1;Data Source=$Workbook$;Location=&quot;Table_1240&quot;;Extended Properties=&quot;&quot;" commandType="0"/>
  </connection>
  <connection id="194" xr16:uid="{21C328F4-19B1-4953-B552-6EB7FEC9B4AC}" keepAlive="1" name="連線270" type="5" refreshedVersion="0" background="1">
    <dbPr connection="Provider=Microsoft.Mashup.OleDb.1;Data Source=$Workbook$;Location=&quot;Table_1473&quot;;Extended Properties=&quot;&quot;" commandType="0"/>
  </connection>
  <connection id="195" xr16:uid="{555DDC35-A50A-4BD3-9C91-D5CA5775303D}" keepAlive="1" name="連線271" type="5" refreshedVersion="0" background="1">
    <dbPr connection="Provider=Microsoft.Mashup.OleDb.1;Data Source=$Workbook$;Location=&quot;Table_1474&quot;;Extended Properties=&quot;&quot;" commandType="0"/>
  </connection>
  <connection id="196" xr16:uid="{D4092240-DB68-432A-A931-62C51EC11DE5}" keepAlive="1" name="連線272" type="5" refreshedVersion="0" background="1">
    <dbPr connection="Provider=Microsoft.Mashup.OleDb.1;Data Source=$Workbook$;Location=&quot;Table_1475&quot;;Extended Properties=&quot;&quot;" commandType="0"/>
  </connection>
  <connection id="197" xr16:uid="{90C4A66C-69FB-4F1D-B6B4-FB1B82A5EFDA}" keepAlive="1" name="連線273" type="5" refreshedVersion="0" background="1">
    <dbPr connection="Provider=Microsoft.Mashup.OleDb.1;Data Source=$Workbook$;Location=&quot;Table_1476&quot;;Extended Properties=&quot;&quot;" commandType="0"/>
  </connection>
  <connection id="198" xr16:uid="{92D6D8F9-0184-4B09-95A2-492E9B3022A9}" keepAlive="1" name="連線274" type="5" refreshedVersion="0" background="1">
    <dbPr connection="Provider=Microsoft.Mashup.OleDb.1;Data Source=$Workbook$;Location=&quot;Table_1477&quot;;Extended Properties=&quot;&quot;" commandType="0"/>
  </connection>
  <connection id="199" xr16:uid="{F50ECF41-7872-45CD-B7BD-F1C98C1512DF}" keepAlive="1" name="連線275" type="5" refreshedVersion="0" background="1">
    <dbPr connection="Provider=Microsoft.Mashup.OleDb.1;Data Source=$Workbook$;Location=&quot;Table_1503&quot;;Extended Properties=&quot;&quot;" commandType="0"/>
  </connection>
  <connection id="200" xr16:uid="{7DA376BE-EF13-43B7-9225-A649D50359FC}" keepAlive="1" name="連線276" type="5" refreshedVersion="0" background="1">
    <dbPr connection="Provider=Microsoft.Mashup.OleDb.1;Data Source=$Workbook$;Location=&quot;Table_1504&quot;;Extended Properties=&quot;&quot;" commandType="0"/>
  </connection>
  <connection id="201" xr16:uid="{ECC454A4-B66B-4BD7-A8F4-BE36ABC69EB8}" keepAlive="1" name="連線277" type="5" refreshedVersion="0" background="1">
    <dbPr connection="Provider=Microsoft.Mashup.OleDb.1;Data Source=$Workbook$;Location=&quot;Table_1506&quot;;Extended Properties=&quot;&quot;" commandType="0"/>
  </connection>
  <connection id="202" xr16:uid="{15C49E91-2C29-4346-97CC-B7F0FF22C1C1}" keepAlive="1" name="連線278" type="5" refreshedVersion="0" background="1">
    <dbPr connection="Provider=Microsoft.Mashup.OleDb.1;Data Source=$Workbook$;Location=&quot;Table_1512&quot;;Extended Properties=&quot;&quot;" commandType="0"/>
  </connection>
  <connection id="203" xr16:uid="{AEB89257-AC68-4B11-BA95-38C1A720D4C6}" keepAlive="1" name="連線279" type="5" refreshedVersion="0" background="1">
    <dbPr connection="Provider=Microsoft.Mashup.OleDb.1;Data Source=$Workbook$;Location=&quot;Table_1513&quot;;Extended Properties=&quot;&quot;" commandType="0"/>
  </connection>
  <connection id="204" xr16:uid="{E96837FE-C041-453C-9981-5DBFB414547A}" keepAlive="1" name="連線28" type="5" refreshedVersion="0" background="1">
    <dbPr connection="Provider=Microsoft.Mashup.OleDb.1;Data Source=$Workbook$;Location=&quot;Table_1256&quot;;Extended Properties=&quot;&quot;" commandType="0"/>
  </connection>
  <connection id="205" xr16:uid="{5120AE13-76E2-4354-910E-10BD043A2406}" keepAlive="1" name="連線280" type="5" refreshedVersion="0" background="1">
    <dbPr connection="Provider=Microsoft.Mashup.OleDb.1;Data Source=$Workbook$;Location=&quot;Table_1514&quot;;Extended Properties=&quot;&quot;" commandType="0"/>
  </connection>
  <connection id="206" xr16:uid="{36379936-8A9E-4BB9-8012-6B2EE0853217}" keepAlive="1" name="連線281" type="5" refreshedVersion="0" background="1">
    <dbPr connection="Provider=Microsoft.Mashup.OleDb.1;Data Source=$Workbook$;Location=&quot;Table_1515&quot;;Extended Properties=&quot;&quot;" commandType="0"/>
  </connection>
  <connection id="207" xr16:uid="{E534AC2A-381C-468D-A1C2-8D8D3F30AAB8}" keepAlive="1" name="連線282" type="5" refreshedVersion="0" background="1">
    <dbPr connection="Provider=Microsoft.Mashup.OleDb.1;Data Source=$Workbook$;Location=&quot;Table_1516&quot;;Extended Properties=&quot;&quot;" commandType="0"/>
  </connection>
  <connection id="208" xr16:uid="{09996628-A76B-4145-91C5-11E96D52128A}" keepAlive="1" name="連線283" type="5" refreshedVersion="0" background="1">
    <dbPr connection="Provider=Microsoft.Mashup.OleDb.1;Data Source=$Workbook$;Location=&quot;Table_1517&quot;;Extended Properties=&quot;&quot;" commandType="0"/>
  </connection>
  <connection id="209" xr16:uid="{02DCAEA1-E7D2-4E44-AD93-6691F0CBDCE9}" keepAlive="1" name="連線284" type="5" refreshedVersion="0" background="1">
    <dbPr connection="Provider=Microsoft.Mashup.OleDb.1;Data Source=$Workbook$;Location=&quot;Table_1519&quot;;Extended Properties=&quot;&quot;" commandType="0"/>
  </connection>
  <connection id="210" xr16:uid="{E4FF3407-F38C-4069-AD60-32BE5CDEC6FF}" keepAlive="1" name="連線285" type="5" refreshedVersion="0" background="1">
    <dbPr connection="Provider=Microsoft.Mashup.OleDb.1;Data Source=$Workbook$;Location=&quot;Table_1521&quot;;Extended Properties=&quot;&quot;" commandType="0"/>
  </connection>
  <connection id="211" xr16:uid="{0BB95D8A-E229-4692-A0F2-56FE369DA554}" keepAlive="1" name="連線286" type="5" refreshedVersion="0" background="1">
    <dbPr connection="Provider=Microsoft.Mashup.OleDb.1;Data Source=$Workbook$;Location=&quot;Table_1522&quot;;Extended Properties=&quot;&quot;" commandType="0"/>
  </connection>
  <connection id="212" xr16:uid="{47FED17D-131B-4670-93F8-27B2158951B6}" keepAlive="1" name="連線287" type="5" refreshedVersion="0" background="1">
    <dbPr connection="Provider=Microsoft.Mashup.OleDb.1;Data Source=$Workbook$;Location=&quot;Table_1524&quot;;Extended Properties=&quot;&quot;" commandType="0"/>
  </connection>
  <connection id="213" xr16:uid="{6EF90661-B9D3-4D02-89AA-839432770B71}" keepAlive="1" name="連線288" type="5" refreshedVersion="0" background="1">
    <dbPr connection="Provider=Microsoft.Mashup.OleDb.1;Data Source=$Workbook$;Location=&quot;Table_1525&quot;;Extended Properties=&quot;&quot;" commandType="0"/>
  </connection>
  <connection id="214" xr16:uid="{6BA54548-84DE-4637-A906-E8848EF6D56B}" keepAlive="1" name="連線289" type="5" refreshedVersion="0" background="1">
    <dbPr connection="Provider=Microsoft.Mashup.OleDb.1;Data Source=$Workbook$;Location=&quot;Table_1526&quot;;Extended Properties=&quot;&quot;" commandType="0"/>
  </connection>
  <connection id="215" xr16:uid="{5861BE19-97B3-490A-991E-EFF5E4C11746}" keepAlive="1" name="連線29" type="5" refreshedVersion="0" background="1">
    <dbPr connection="Provider=Microsoft.Mashup.OleDb.1;Data Source=$Workbook$;Location=&quot;Table_1258&quot;;Extended Properties=&quot;&quot;" commandType="0"/>
  </connection>
  <connection id="216" xr16:uid="{01700B98-08BF-43EA-829B-15588994C18A}" keepAlive="1" name="連線290" type="5" refreshedVersion="0" background="1">
    <dbPr connection="Provider=Microsoft.Mashup.OleDb.1;Data Source=$Workbook$;Location=&quot;Table_1527&quot;;Extended Properties=&quot;&quot;" commandType="0"/>
  </connection>
  <connection id="217" xr16:uid="{E8400154-DC9E-4AB5-B42C-94DC05A46936}" keepAlive="1" name="連線291" type="5" refreshedVersion="0" background="1">
    <dbPr connection="Provider=Microsoft.Mashup.OleDb.1;Data Source=$Workbook$;Location=&quot;Table_1528&quot;;Extended Properties=&quot;&quot;" commandType="0"/>
  </connection>
  <connection id="218" xr16:uid="{DEAD4137-B52E-43BF-9847-05943CFCF0E4}" keepAlive="1" name="連線292" type="5" refreshedVersion="0" background="1">
    <dbPr connection="Provider=Microsoft.Mashup.OleDb.1;Data Source=$Workbook$;Location=&quot;Table_1529&quot;;Extended Properties=&quot;&quot;" commandType="0"/>
  </connection>
  <connection id="219" xr16:uid="{D5B25F66-04E9-4DA0-9F06-3650027A9897}" keepAlive="1" name="連線293" type="5" refreshedVersion="0" background="1">
    <dbPr connection="Provider=Microsoft.Mashup.OleDb.1;Data Source=$Workbook$;Location=&quot;Table_1530&quot;;Extended Properties=&quot;&quot;" commandType="0"/>
  </connection>
  <connection id="220" xr16:uid="{97DA4E19-3C52-44E1-94F2-C31A30622F79}" keepAlive="1" name="連線294" type="5" refreshedVersion="0" background="1">
    <dbPr connection="Provider=Microsoft.Mashup.OleDb.1;Data Source=$Workbook$;Location=&quot;Table_1531&quot;;Extended Properties=&quot;&quot;" commandType="0"/>
  </connection>
  <connection id="221" xr16:uid="{7410B3F5-FA46-46CC-B056-40E07970F2B4}" keepAlive="1" name="連線295" type="5" refreshedVersion="0" background="1">
    <dbPr connection="Provider=Microsoft.Mashup.OleDb.1;Data Source=$Workbook$;Location=&quot;Table_1532&quot;;Extended Properties=&quot;&quot;" commandType="0"/>
  </connection>
  <connection id="222" xr16:uid="{AB19B43D-4109-447B-9A66-7CAB2D0DA5B0}" keepAlive="1" name="連線296" type="5" refreshedVersion="0" background="1">
    <dbPr connection="Provider=Microsoft.Mashup.OleDb.1;Data Source=$Workbook$;Location=&quot;Table_1533&quot;;Extended Properties=&quot;&quot;" commandType="0"/>
  </connection>
  <connection id="223" xr16:uid="{574E1968-912E-4651-A728-6FD81D0ECE26}" keepAlive="1" name="連線297" type="5" refreshedVersion="0" background="1">
    <dbPr connection="Provider=Microsoft.Mashup.OleDb.1;Data Source=$Workbook$;Location=&quot;Table_1535&quot;;Extended Properties=&quot;&quot;" commandType="0"/>
  </connection>
  <connection id="224" xr16:uid="{CAA1CCCB-420B-4FB1-9326-C13653975434}" keepAlive="1" name="連線298" type="5" refreshedVersion="0" background="1">
    <dbPr connection="Provider=Microsoft.Mashup.OleDb.1;Data Source=$Workbook$;Location=&quot;Table_1536&quot;;Extended Properties=&quot;&quot;" commandType="0"/>
  </connection>
  <connection id="225" xr16:uid="{EBA85BBE-A0C0-434F-A964-FDCD7CBDB431}" keepAlive="1" name="連線299" type="5" refreshedVersion="0" background="1">
    <dbPr connection="Provider=Microsoft.Mashup.OleDb.1;Data Source=$Workbook$;Location=&quot;Table_1537&quot;;Extended Properties=&quot;&quot;" commandType="0"/>
  </connection>
  <connection id="226" xr16:uid="{CDB380BF-8D13-42BB-98D1-742AE5E58CC2}" keepAlive="1" name="連線3" type="5" refreshedVersion="0" background="1">
    <dbPr connection="Provider=Microsoft.Mashup.OleDb.1;Data Source=$Workbook$;Location=&quot;Table_1103&quot;;Extended Properties=&quot;&quot;" commandType="0"/>
  </connection>
  <connection id="227" xr16:uid="{D94DEAA8-36B8-40F8-8528-17DE76FB9CEC}" keepAlive="1" name="連線30" type="5" refreshedVersion="0" background="1">
    <dbPr connection="Provider=Microsoft.Mashup.OleDb.1;Data Source=$Workbook$;Location=&quot;Table_1259&quot;;Extended Properties=&quot;&quot;" commandType="0"/>
  </connection>
  <connection id="228" xr16:uid="{0351E1D8-D5D8-4C51-B9B7-D7A71BF4540A}" keepAlive="1" name="連線300" type="5" refreshedVersion="0" background="1">
    <dbPr connection="Provider=Microsoft.Mashup.OleDb.1;Data Source=$Workbook$;Location=&quot;Table_1538&quot;;Extended Properties=&quot;&quot;" commandType="0"/>
  </connection>
  <connection id="229" xr16:uid="{3A889555-5CD4-44E2-B3C3-09EB114F423C}" keepAlive="1" name="連線301" type="5" refreshedVersion="0" background="1">
    <dbPr connection="Provider=Microsoft.Mashup.OleDb.1;Data Source=$Workbook$;Location=&quot;Table_1539&quot;;Extended Properties=&quot;&quot;" commandType="0"/>
  </connection>
  <connection id="230" xr16:uid="{C24611F6-B2AB-416B-AB96-0C633174584D}" keepAlive="1" name="連線302" type="5" refreshedVersion="0" background="1">
    <dbPr connection="Provider=Microsoft.Mashup.OleDb.1;Data Source=$Workbook$;Location=&quot;Table_1540&quot;;Extended Properties=&quot;&quot;" commandType="0"/>
  </connection>
  <connection id="231" xr16:uid="{E648197C-5561-4E78-89A3-6AFCB08B4C24}" keepAlive="1" name="連線303" type="5" refreshedVersion="0" background="1">
    <dbPr connection="Provider=Microsoft.Mashup.OleDb.1;Data Source=$Workbook$;Location=&quot;Table_1541&quot;;Extended Properties=&quot;&quot;" commandType="0"/>
  </connection>
  <connection id="232" xr16:uid="{BD25A86E-5929-4806-AFCB-7EC8210B53EA}" keepAlive="1" name="連線304" type="5" refreshedVersion="0" background="1">
    <dbPr connection="Provider=Microsoft.Mashup.OleDb.1;Data Source=$Workbook$;Location=&quot;Table_1558&quot;;Extended Properties=&quot;&quot;" commandType="0"/>
  </connection>
  <connection id="233" xr16:uid="{DC32E310-CB71-410C-AB60-AE81D0886EEE}" keepAlive="1" name="連線305" type="5" refreshedVersion="0" background="1">
    <dbPr connection="Provider=Microsoft.Mashup.OleDb.1;Data Source=$Workbook$;Location=&quot;Table_1560&quot;;Extended Properties=&quot;&quot;" commandType="0"/>
  </connection>
  <connection id="234" xr16:uid="{32C0C8B1-6CDF-4EEA-B39B-E621D7FA7FCE}" keepAlive="1" name="連線306" type="5" refreshedVersion="0" background="1">
    <dbPr connection="Provider=Microsoft.Mashup.OleDb.1;Data Source=$Workbook$;Location=&quot;Table_1565&quot;;Extended Properties=&quot;&quot;" commandType="0"/>
  </connection>
  <connection id="235" xr16:uid="{842F3A34-3115-4CFC-83FB-DE738C7003E2}" keepAlive="1" name="連線307" type="5" refreshedVersion="0" background="1">
    <dbPr connection="Provider=Microsoft.Mashup.OleDb.1;Data Source=$Workbook$;Location=&quot;Table_1568&quot;;Extended Properties=&quot;&quot;" commandType="0"/>
  </connection>
  <connection id="236" xr16:uid="{216BFDED-FA00-4313-8017-BFA5A062BDEA}" keepAlive="1" name="連線308" type="5" refreshedVersion="0" background="1">
    <dbPr connection="Provider=Microsoft.Mashup.OleDb.1;Data Source=$Workbook$;Location=&quot;Table_1569&quot;;Extended Properties=&quot;&quot;" commandType="0"/>
  </connection>
  <connection id="237" xr16:uid="{D3B84757-2660-4F80-933D-B903EB2AC2CA}" keepAlive="1" name="連線309" type="5" refreshedVersion="0" background="1">
    <dbPr connection="Provider=Microsoft.Mashup.OleDb.1;Data Source=$Workbook$;Location=&quot;Table_1570&quot;;Extended Properties=&quot;&quot;" commandType="0"/>
  </connection>
  <connection id="238" xr16:uid="{25D4F970-A1AF-4489-8B43-AB1F46DEB137}" keepAlive="1" name="連線31" type="5" refreshedVersion="0" background="1">
    <dbPr connection="Provider=Microsoft.Mashup.OleDb.1;Data Source=$Workbook$;Location=&quot;Table_1264&quot;;Extended Properties=&quot;&quot;" commandType="0"/>
  </connection>
  <connection id="239" xr16:uid="{70E97668-BF0C-4D27-A1A3-7754A6D12CA4}" keepAlive="1" name="連線310" type="5" refreshedVersion="0" background="1">
    <dbPr connection="Provider=Microsoft.Mashup.OleDb.1;Data Source=$Workbook$;Location=&quot;Table_1580&quot;;Extended Properties=&quot;&quot;" commandType="0"/>
  </connection>
  <connection id="240" xr16:uid="{A83D3ED0-BDD5-47D3-880E-DFF05CE5836A}" keepAlive="1" name="連線311" type="5" refreshedVersion="0" background="1">
    <dbPr connection="Provider=Microsoft.Mashup.OleDb.1;Data Source=$Workbook$;Location=&quot;Table_1582&quot;;Extended Properties=&quot;&quot;" commandType="0"/>
  </connection>
  <connection id="241" xr16:uid="{A30F822E-31E1-4955-9583-28E618075BE8}" keepAlive="1" name="連線312" type="5" refreshedVersion="0" background="1">
    <dbPr connection="Provider=Microsoft.Mashup.OleDb.1;Data Source=$Workbook$;Location=&quot;Table_1583&quot;;Extended Properties=&quot;&quot;" commandType="0"/>
  </connection>
  <connection id="242" xr16:uid="{044FD333-4523-477C-8CCF-6B5792ED498F}" keepAlive="1" name="連線313" type="5" refreshedVersion="0" background="1">
    <dbPr connection="Provider=Microsoft.Mashup.OleDb.1;Data Source=$Workbook$;Location=&quot;Table_1584&quot;;Extended Properties=&quot;&quot;" commandType="0"/>
  </connection>
  <connection id="243" xr16:uid="{7C059F2E-A13B-4C10-ACF6-9F61447C48C1}" keepAlive="1" name="連線314" type="5" refreshedVersion="0" background="1">
    <dbPr connection="Provider=Microsoft.Mashup.OleDb.1;Data Source=$Workbook$;Location=&quot;Table_1586&quot;;Extended Properties=&quot;&quot;" commandType="0"/>
  </connection>
  <connection id="244" xr16:uid="{00D8968F-5370-430C-90BF-51B5050E6560}" keepAlive="1" name="連線315" type="5" refreshedVersion="0" background="1">
    <dbPr connection="Provider=Microsoft.Mashup.OleDb.1;Data Source=$Workbook$;Location=&quot;Table_1587&quot;;Extended Properties=&quot;&quot;" commandType="0"/>
  </connection>
  <connection id="245" xr16:uid="{FF2F0BBF-F89E-424B-B624-CE2CBCBC5AAA}" keepAlive="1" name="連線316" type="5" refreshedVersion="0" background="1">
    <dbPr connection="Provider=Microsoft.Mashup.OleDb.1;Data Source=$Workbook$;Location=&quot;Table_1589&quot;;Extended Properties=&quot;&quot;" commandType="0"/>
  </connection>
  <connection id="246" xr16:uid="{F7F752A9-9EFB-4460-A977-4FB3C7265926}" keepAlive="1" name="連線317" type="5" refreshedVersion="0" background="1">
    <dbPr connection="Provider=Microsoft.Mashup.OleDb.1;Data Source=$Workbook$;Location=&quot;Table_1590&quot;;Extended Properties=&quot;&quot;" commandType="0"/>
  </connection>
  <connection id="247" xr16:uid="{F4AE0716-88D9-43DF-9674-3DFDDC53764C}" keepAlive="1" name="連線318" type="5" refreshedVersion="0" background="1">
    <dbPr connection="Provider=Microsoft.Mashup.OleDb.1;Data Source=$Workbook$;Location=&quot;Table_1591&quot;;Extended Properties=&quot;&quot;" commandType="0"/>
  </connection>
  <connection id="248" xr16:uid="{BC377D79-E8D1-4847-B8E0-64B1DC452C0F}" keepAlive="1" name="連線319" type="5" refreshedVersion="0" background="1">
    <dbPr connection="Provider=Microsoft.Mashup.OleDb.1;Data Source=$Workbook$;Location=&quot;Table_1593&quot;;Extended Properties=&quot;&quot;" commandType="0"/>
  </connection>
  <connection id="249" xr16:uid="{A02EB250-62A4-4752-93F8-18386C67A05E}" keepAlive="1" name="連線32" type="5" refreshedVersion="0" background="1">
    <dbPr connection="Provider=Microsoft.Mashup.OleDb.1;Data Source=$Workbook$;Location=&quot;Table_1268&quot;;Extended Properties=&quot;&quot;" commandType="0"/>
  </connection>
  <connection id="250" xr16:uid="{2B1875D6-9E1C-4CAE-B8A8-B23A9D66CBFF}" keepAlive="1" name="連線320" type="5" refreshedVersion="0" background="1">
    <dbPr connection="Provider=Microsoft.Mashup.OleDb.1;Data Source=$Workbook$;Location=&quot;Table_1595&quot;;Extended Properties=&quot;&quot;" commandType="0"/>
  </connection>
  <connection id="251" xr16:uid="{B1B9727D-722E-4189-8978-9FADDF151513}" keepAlive="1" name="連線321" type="5" refreshedVersion="0" background="1">
    <dbPr connection="Provider=Microsoft.Mashup.OleDb.1;Data Source=$Workbook$;Location=&quot;Table_1597&quot;;Extended Properties=&quot;&quot;" commandType="0"/>
  </connection>
  <connection id="252" xr16:uid="{3683D63B-5C7C-460F-83E8-E5D0138BA02F}" keepAlive="1" name="連線322" type="5" refreshedVersion="0" background="1">
    <dbPr connection="Provider=Microsoft.Mashup.OleDb.1;Data Source=$Workbook$;Location=&quot;Table_1598&quot;;Extended Properties=&quot;&quot;" commandType="0"/>
  </connection>
  <connection id="253" xr16:uid="{D14493F5-6D69-4D4C-A12B-A8ED3CE1C778}" keepAlive="1" name="連線323" type="5" refreshedVersion="0" background="1">
    <dbPr connection="Provider=Microsoft.Mashup.OleDb.1;Data Source=$Workbook$;Location=&quot;Table_1599&quot;;Extended Properties=&quot;&quot;" commandType="0"/>
  </connection>
  <connection id="254" xr16:uid="{9AA916E8-F9B3-4BBA-888F-1B3E1AAF5A01}" keepAlive="1" name="連線324" type="5" refreshedVersion="0" background="1">
    <dbPr connection="Provider=Microsoft.Mashup.OleDb.1;Data Source=$Workbook$;Location=&quot;Table_1603&quot;;Extended Properties=&quot;&quot;" commandType="0"/>
  </connection>
  <connection id="255" xr16:uid="{842CD03C-49D6-45D8-8F14-AD917E4C028E}" keepAlive="1" name="連線325" type="5" refreshedVersion="0" background="1">
    <dbPr connection="Provider=Microsoft.Mashup.OleDb.1;Data Source=$Workbook$;Location=&quot;Table_1604&quot;;Extended Properties=&quot;&quot;" commandType="0"/>
  </connection>
  <connection id="256" xr16:uid="{319101B4-E54C-48CB-A453-5C3467412D6E}" keepAlive="1" name="連線326" type="5" refreshedVersion="0" background="1">
    <dbPr connection="Provider=Microsoft.Mashup.OleDb.1;Data Source=$Workbook$;Location=&quot;Table_1605&quot;;Extended Properties=&quot;&quot;" commandType="0"/>
  </connection>
  <connection id="257" xr16:uid="{A54E81F1-1B30-4F7F-B376-3DD76770FF84}" keepAlive="1" name="連線327" type="5" refreshedVersion="0" background="1">
    <dbPr connection="Provider=Microsoft.Mashup.OleDb.1;Data Source=$Workbook$;Location=&quot;Table_1608&quot;;Extended Properties=&quot;&quot;" commandType="0"/>
  </connection>
  <connection id="258" xr16:uid="{196E6F50-5B59-439D-823E-A2FB76D0AE11}" keepAlive="1" name="連線328" type="5" refreshedVersion="0" background="1">
    <dbPr connection="Provider=Microsoft.Mashup.OleDb.1;Data Source=$Workbook$;Location=&quot;Table_1609&quot;;Extended Properties=&quot;&quot;" commandType="0"/>
  </connection>
  <connection id="259" xr16:uid="{0E1166B7-6A85-4295-8E6B-E875A2B7B169}" keepAlive="1" name="連線329" type="5" refreshedVersion="0" background="1">
    <dbPr connection="Provider=Microsoft.Mashup.OleDb.1;Data Source=$Workbook$;Location=&quot;Table_1611&quot;;Extended Properties=&quot;&quot;" commandType="0"/>
  </connection>
  <connection id="260" xr16:uid="{4F4236F5-C8FC-4A43-8A9E-D83D22EE2DA0}" keepAlive="1" name="連線33" type="5" refreshedVersion="0" background="1">
    <dbPr connection="Provider=Microsoft.Mashup.OleDb.1;Data Source=$Workbook$;Location=&quot;Table_1301&quot;;Extended Properties=&quot;&quot;" commandType="0"/>
  </connection>
  <connection id="261" xr16:uid="{9D953178-4344-45D6-9086-A1730DFDC155}" keepAlive="1" name="連線330" type="5" refreshedVersion="0" background="1">
    <dbPr connection="Provider=Microsoft.Mashup.OleDb.1;Data Source=$Workbook$;Location=&quot;Table_1612&quot;;Extended Properties=&quot;&quot;" commandType="0"/>
  </connection>
  <connection id="262" xr16:uid="{EE0D67F2-77BD-4AC5-8246-F9A1B8FFF754}" keepAlive="1" name="連線331" type="5" refreshedVersion="0" background="1">
    <dbPr connection="Provider=Microsoft.Mashup.OleDb.1;Data Source=$Workbook$;Location=&quot;Table_1614&quot;;Extended Properties=&quot;&quot;" commandType="0"/>
  </connection>
  <connection id="263" xr16:uid="{7354FA5D-19BA-43B9-B060-6797BB7D9FB1}" keepAlive="1" name="連線332" type="5" refreshedVersion="0" background="1">
    <dbPr connection="Provider=Microsoft.Mashup.OleDb.1;Data Source=$Workbook$;Location=&quot;Table_1615&quot;;Extended Properties=&quot;&quot;" commandType="0"/>
  </connection>
  <connection id="264" xr16:uid="{4F5CC2E3-AA54-4E68-9E6F-1E4E359F84B1}" keepAlive="1" name="連線333" type="5" refreshedVersion="0" background="1">
    <dbPr connection="Provider=Microsoft.Mashup.OleDb.1;Data Source=$Workbook$;Location=&quot;Table_1616&quot;;Extended Properties=&quot;&quot;" commandType="0"/>
  </connection>
  <connection id="265" xr16:uid="{58A6B3D1-81D8-483F-B786-AD33D84F7A6B}" keepAlive="1" name="連線334" type="5" refreshedVersion="0" background="1">
    <dbPr connection="Provider=Microsoft.Mashup.OleDb.1;Data Source=$Workbook$;Location=&quot;Table_1617&quot;;Extended Properties=&quot;&quot;" commandType="0"/>
  </connection>
  <connection id="266" xr16:uid="{FAEA0BB6-EC8B-486B-A949-9C2BD3F78D31}" keepAlive="1" name="連線335" type="5" refreshedVersion="0" background="1">
    <dbPr connection="Provider=Microsoft.Mashup.OleDb.1;Data Source=$Workbook$;Location=&quot;Table_1618&quot;;Extended Properties=&quot;&quot;" commandType="0"/>
  </connection>
  <connection id="267" xr16:uid="{1BA4E149-36A3-4B0F-9B92-B32789F578BF}" keepAlive="1" name="連線336" type="5" refreshedVersion="0" background="1">
    <dbPr connection="Provider=Microsoft.Mashup.OleDb.1;Data Source=$Workbook$;Location=&quot;Table_1626&quot;;Extended Properties=&quot;&quot;" commandType="0"/>
  </connection>
  <connection id="268" xr16:uid="{644EACF3-7A07-4508-9D07-B0B76E9B95A9}" keepAlive="1" name="連線337" type="5" refreshedVersion="0" background="1">
    <dbPr connection="Provider=Microsoft.Mashup.OleDb.1;Data Source=$Workbook$;Location=&quot;Table_1701&quot;;Extended Properties=&quot;&quot;" commandType="0"/>
  </connection>
  <connection id="269" xr16:uid="{1BD193D8-B835-4030-89A0-67ED782A3FD5}" keepAlive="1" name="連線338" type="5" refreshedVersion="0" background="1">
    <dbPr connection="Provider=Microsoft.Mashup.OleDb.1;Data Source=$Workbook$;Location=&quot;Table_1702&quot;;Extended Properties=&quot;&quot;" commandType="0"/>
  </connection>
  <connection id="270" xr16:uid="{692C44C5-F658-41B4-ADF5-1914F54DA928}" keepAlive="1" name="連線339" type="5" refreshedVersion="0" background="1">
    <dbPr connection="Provider=Microsoft.Mashup.OleDb.1;Data Source=$Workbook$;Location=&quot;Table_1707&quot;;Extended Properties=&quot;&quot;" commandType="0"/>
  </connection>
  <connection id="271" xr16:uid="{443A6D74-FA81-4F67-B08D-78038F899BA2}" keepAlive="1" name="連線34" type="5" refreshedVersion="0" background="1">
    <dbPr connection="Provider=Microsoft.Mashup.OleDb.1;Data Source=$Workbook$;Location=&quot;Table_1303&quot;;Extended Properties=&quot;&quot;" commandType="0"/>
  </connection>
  <connection id="272" xr16:uid="{A10D4777-8AAE-4883-B087-CDF23AD3CDE9}" keepAlive="1" name="連線340" type="5" refreshedVersion="0" background="1">
    <dbPr connection="Provider=Microsoft.Mashup.OleDb.1;Data Source=$Workbook$;Location=&quot;Table_1708&quot;;Extended Properties=&quot;&quot;" commandType="0"/>
  </connection>
  <connection id="273" xr16:uid="{4EE51949-D221-4F0C-B16E-3C5240F300BC}" keepAlive="1" name="連線341" type="5" refreshedVersion="0" background="1">
    <dbPr connection="Provider=Microsoft.Mashup.OleDb.1;Data Source=$Workbook$;Location=&quot;Table_1709&quot;;Extended Properties=&quot;&quot;" commandType="0"/>
  </connection>
  <connection id="274" xr16:uid="{BE8C0029-9BFE-42EA-84F0-638BA84B4494}" keepAlive="1" name="連線342" type="5" refreshedVersion="0" background="1">
    <dbPr connection="Provider=Microsoft.Mashup.OleDb.1;Data Source=$Workbook$;Location=&quot;Table_1710&quot;;Extended Properties=&quot;&quot;" commandType="0"/>
  </connection>
  <connection id="275" xr16:uid="{4700BDD3-61F0-4586-B1C7-77A14ACE3414}" keepAlive="1" name="連線343" type="5" refreshedVersion="0" background="1">
    <dbPr connection="Provider=Microsoft.Mashup.OleDb.1;Data Source=$Workbook$;Location=&quot;Table_1711&quot;;Extended Properties=&quot;&quot;" commandType="0"/>
  </connection>
  <connection id="276" xr16:uid="{54E93A20-2B00-419E-9F8D-42089814D95E}" keepAlive="1" name="連線344" type="5" refreshedVersion="0" background="1">
    <dbPr connection="Provider=Microsoft.Mashup.OleDb.1;Data Source=$Workbook$;Location=&quot;Table_1712&quot;;Extended Properties=&quot;&quot;" commandType="0"/>
  </connection>
  <connection id="277" xr16:uid="{94CEDAB0-101B-4FAB-A7D0-8978A854911B}" keepAlive="1" name="連線345" type="5" refreshedVersion="0" background="1">
    <dbPr connection="Provider=Microsoft.Mashup.OleDb.1;Data Source=$Workbook$;Location=&quot;Table_1713&quot;;Extended Properties=&quot;&quot;" commandType="0"/>
  </connection>
  <connection id="278" xr16:uid="{697ECB1A-CFDA-4B21-BCBC-96D85AC7951A}" keepAlive="1" name="連線346" type="5" refreshedVersion="0" background="1">
    <dbPr connection="Provider=Microsoft.Mashup.OleDb.1;Data Source=$Workbook$;Location=&quot;Table_1714&quot;;Extended Properties=&quot;&quot;" commandType="0"/>
  </connection>
  <connection id="279" xr16:uid="{6A2047E4-959E-418E-B15F-487D6A55D168}" keepAlive="1" name="連線347" type="5" refreshedVersion="0" background="1">
    <dbPr connection="Provider=Microsoft.Mashup.OleDb.1;Data Source=$Workbook$;Location=&quot;Table_1717&quot;;Extended Properties=&quot;&quot;" commandType="0"/>
  </connection>
  <connection id="280" xr16:uid="{220A1A1D-ED47-4C52-8D52-0B019077F0FC}" keepAlive="1" name="連線348" type="5" refreshedVersion="0" background="1">
    <dbPr connection="Provider=Microsoft.Mashup.OleDb.1;Data Source=$Workbook$;Location=&quot;Table_1718&quot;;Extended Properties=&quot;&quot;" commandType="0"/>
  </connection>
  <connection id="281" xr16:uid="{A6DA2036-BD4D-4883-9C7E-03BAB4AE6189}" keepAlive="1" name="連線349" type="5" refreshedVersion="0" background="1">
    <dbPr connection="Provider=Microsoft.Mashup.OleDb.1;Data Source=$Workbook$;Location=&quot;Table_1720&quot;;Extended Properties=&quot;&quot;" commandType="0"/>
  </connection>
  <connection id="282" xr16:uid="{817C0C18-DD0C-496C-9C4D-DFD3A3D92F0B}" keepAlive="1" name="連線35" type="5" refreshedVersion="0" background="1">
    <dbPr connection="Provider=Microsoft.Mashup.OleDb.1;Data Source=$Workbook$;Location=&quot;Table_1304&quot;;Extended Properties=&quot;&quot;" commandType="0"/>
  </connection>
  <connection id="283" xr16:uid="{86504D46-559E-4695-9A8C-C6EF760B75C2}" keepAlive="1" name="連線350" type="5" refreshedVersion="0" background="1">
    <dbPr connection="Provider=Microsoft.Mashup.OleDb.1;Data Source=$Workbook$;Location=&quot;Table_1721&quot;;Extended Properties=&quot;&quot;" commandType="0"/>
  </connection>
  <connection id="284" xr16:uid="{29628FD1-4D94-43A1-B601-9779BC2D93C2}" keepAlive="1" name="連線351" type="5" refreshedVersion="0" background="1">
    <dbPr connection="Provider=Microsoft.Mashup.OleDb.1;Data Source=$Workbook$;Location=&quot;Table_1722&quot;;Extended Properties=&quot;&quot;" commandType="0"/>
  </connection>
  <connection id="285" xr16:uid="{DF5F62EE-53F4-4B98-9031-C2AA946C02CC}" keepAlive="1" name="連線352" type="5" refreshedVersion="0" background="1">
    <dbPr connection="Provider=Microsoft.Mashup.OleDb.1;Data Source=$Workbook$;Location=&quot;Table_1723&quot;;Extended Properties=&quot;&quot;" commandType="0"/>
  </connection>
  <connection id="286" xr16:uid="{2D3B6A2C-0DD2-4B9A-B8F9-417A48E15B7B}" keepAlive="1" name="連線353" type="5" refreshedVersion="0" background="1">
    <dbPr connection="Provider=Microsoft.Mashup.OleDb.1;Data Source=$Workbook$;Location=&quot;Table_1725&quot;;Extended Properties=&quot;&quot;" commandType="0"/>
  </connection>
  <connection id="287" xr16:uid="{E3800A45-F1DE-4B86-A4C7-78F91C795CA4}" keepAlive="1" name="連線354" type="5" refreshedVersion="0" background="1">
    <dbPr connection="Provider=Microsoft.Mashup.OleDb.1;Data Source=$Workbook$;Location=&quot;Table_1726&quot;;Extended Properties=&quot;&quot;" commandType="0"/>
  </connection>
  <connection id="288" xr16:uid="{09E352D3-5D74-46E4-80E2-AB629277F303}" keepAlive="1" name="連線355" type="5" refreshedVersion="0" background="1">
    <dbPr connection="Provider=Microsoft.Mashup.OleDb.1;Data Source=$Workbook$;Location=&quot;Table_1727&quot;;Extended Properties=&quot;&quot;" commandType="0"/>
  </connection>
  <connection id="289" xr16:uid="{7C275113-0675-4E7A-BB54-F80CD97C7DD6}" keepAlive="1" name="連線356" type="5" refreshedVersion="0" background="1">
    <dbPr connection="Provider=Microsoft.Mashup.OleDb.1;Data Source=$Workbook$;Location=&quot;Table_1730&quot;;Extended Properties=&quot;&quot;" commandType="0"/>
  </connection>
  <connection id="290" xr16:uid="{99634035-6D30-4B63-9370-B507A423C6AE}" keepAlive="1" name="連線357" type="5" refreshedVersion="0" background="1">
    <dbPr connection="Provider=Microsoft.Mashup.OleDb.1;Data Source=$Workbook$;Location=&quot;Table_1731&quot;;Extended Properties=&quot;&quot;" commandType="0"/>
  </connection>
  <connection id="291" xr16:uid="{D5ED54C7-E17D-48F7-B2C6-080DF344F88A}" keepAlive="1" name="連線358" type="5" refreshedVersion="0" background="1">
    <dbPr connection="Provider=Microsoft.Mashup.OleDb.1;Data Source=$Workbook$;Location=&quot;Table_1732&quot;;Extended Properties=&quot;&quot;" commandType="0"/>
  </connection>
  <connection id="292" xr16:uid="{BD4FDD1D-7537-49D0-806A-1F2A9EEF4EBA}" keepAlive="1" name="連線359" type="5" refreshedVersion="0" background="1">
    <dbPr connection="Provider=Microsoft.Mashup.OleDb.1;Data Source=$Workbook$;Location=&quot;Table_1733&quot;;Extended Properties=&quot;&quot;" commandType="0"/>
  </connection>
  <connection id="293" xr16:uid="{359B2B74-411D-44A3-9E3A-BB201E36159B}" keepAlive="1" name="連線36" type="5" refreshedVersion="0" background="1">
    <dbPr connection="Provider=Microsoft.Mashup.OleDb.1;Data Source=$Workbook$;Location=&quot;Table_1305&quot;;Extended Properties=&quot;&quot;" commandType="0"/>
  </connection>
  <connection id="294" xr16:uid="{FF729B2A-B674-458C-A4DB-BBCB382B3B5D}" keepAlive="1" name="連線360" type="5" refreshedVersion="0" background="1">
    <dbPr connection="Provider=Microsoft.Mashup.OleDb.1;Data Source=$Workbook$;Location=&quot;Table_1734&quot;;Extended Properties=&quot;&quot;" commandType="0"/>
  </connection>
  <connection id="295" xr16:uid="{BFE38FAA-75B1-4B55-989B-9E80942FD2B5}" keepAlive="1" name="連線361" type="5" refreshedVersion="0" background="1">
    <dbPr connection="Provider=Microsoft.Mashup.OleDb.1;Data Source=$Workbook$;Location=&quot;Table_1735&quot;;Extended Properties=&quot;&quot;" commandType="0"/>
  </connection>
  <connection id="296" xr16:uid="{8A0477BE-B0DA-448D-9128-ED543C6EB985}" keepAlive="1" name="連線362" type="5" refreshedVersion="0" background="1">
    <dbPr connection="Provider=Microsoft.Mashup.OleDb.1;Data Source=$Workbook$;Location=&quot;Table_1736&quot;;Extended Properties=&quot;&quot;" commandType="0"/>
  </connection>
  <connection id="297" xr16:uid="{6D6AF82D-8BE7-4C18-816A-083F687D0A83}" keepAlive="1" name="連線363" type="5" refreshedVersion="0" background="1">
    <dbPr connection="Provider=Microsoft.Mashup.OleDb.1;Data Source=$Workbook$;Location=&quot;Table_1737&quot;;Extended Properties=&quot;&quot;" commandType="0"/>
  </connection>
  <connection id="298" xr16:uid="{11B0E8B8-6AF1-443B-85A4-082D1AFF2586}" keepAlive="1" name="連線364" type="5" refreshedVersion="0" background="1">
    <dbPr connection="Provider=Microsoft.Mashup.OleDb.1;Data Source=$Workbook$;Location=&quot;Table_1742&quot;;Extended Properties=&quot;&quot;" commandType="0"/>
  </connection>
  <connection id="299" xr16:uid="{F2681C0C-AFD2-446C-AB9D-ABBE7DFA6687}" keepAlive="1" name="連線365" type="5" refreshedVersion="0" background="1">
    <dbPr connection="Provider=Microsoft.Mashup.OleDb.1;Data Source=$Workbook$;Location=&quot;Table_1752&quot;;Extended Properties=&quot;&quot;" commandType="0"/>
  </connection>
  <connection id="300" xr16:uid="{EC1AFF66-3520-42C2-821C-4F8B9B8D9798}" keepAlive="1" name="連線366" type="5" refreshedVersion="0" background="1">
    <dbPr connection="Provider=Microsoft.Mashup.OleDb.1;Data Source=$Workbook$;Location=&quot;Table_1760&quot;;Extended Properties=&quot;&quot;" commandType="0"/>
  </connection>
  <connection id="301" xr16:uid="{E7BF4C75-E067-493C-BA12-B8D6B923B2A4}" keepAlive="1" name="連線367" type="5" refreshedVersion="0" background="1">
    <dbPr connection="Provider=Microsoft.Mashup.OleDb.1;Data Source=$Workbook$;Location=&quot;Table_1762&quot;;Extended Properties=&quot;&quot;" commandType="0"/>
  </connection>
  <connection id="302" xr16:uid="{12B81B52-FDC6-4263-BAB7-2585379CC757}" keepAlive="1" name="連線368" type="5" refreshedVersion="0" background="1">
    <dbPr connection="Provider=Microsoft.Mashup.OleDb.1;Data Source=$Workbook$;Location=&quot;Table_1773&quot;;Extended Properties=&quot;&quot;" commandType="0"/>
  </connection>
  <connection id="303" xr16:uid="{992032FB-4109-4D17-9F91-9D235D304B37}" keepAlive="1" name="連線369" type="5" refreshedVersion="0" background="1">
    <dbPr connection="Provider=Microsoft.Mashup.OleDb.1;Data Source=$Workbook$;Location=&quot;Table_1776&quot;;Extended Properties=&quot;&quot;" commandType="0"/>
  </connection>
  <connection id="304" xr16:uid="{4F816CBB-8BA8-4257-88D9-BED63FE904FE}" keepAlive="1" name="連線37" type="5" refreshedVersion="0" background="1">
    <dbPr connection="Provider=Microsoft.Mashup.OleDb.1;Data Source=$Workbook$;Location=&quot;Table_1307&quot;;Extended Properties=&quot;&quot;" commandType="0"/>
  </connection>
  <connection id="305" xr16:uid="{7A4EE2AF-0EC9-4F41-B4E2-203D62BE7526}" keepAlive="1" name="連線370" type="5" refreshedVersion="0" background="1">
    <dbPr connection="Provider=Microsoft.Mashup.OleDb.1;Data Source=$Workbook$;Location=&quot;Table_1777&quot;;Extended Properties=&quot;&quot;" commandType="0"/>
  </connection>
  <connection id="306" xr16:uid="{9852704D-2089-48E9-BECD-8EA23583C988}" keepAlive="1" name="連線371" type="5" refreshedVersion="0" background="1">
    <dbPr connection="Provider=Microsoft.Mashup.OleDb.1;Data Source=$Workbook$;Location=&quot;Table_1781&quot;;Extended Properties=&quot;&quot;" commandType="0"/>
  </connection>
  <connection id="307" xr16:uid="{9D8E79BE-A00F-4D62-9A6B-0ACD328E2AE3}" keepAlive="1" name="連線372" type="5" refreshedVersion="0" background="1">
    <dbPr connection="Provider=Microsoft.Mashup.OleDb.1;Data Source=$Workbook$;Location=&quot;Table_1783&quot;;Extended Properties=&quot;&quot;" commandType="0"/>
  </connection>
  <connection id="308" xr16:uid="{0812BA4F-A923-4EF5-A3D5-0B4E898C5755}" keepAlive="1" name="連線373" type="5" refreshedVersion="0" background="1">
    <dbPr connection="Provider=Microsoft.Mashup.OleDb.1;Data Source=$Workbook$;Location=&quot;Table_1784&quot;;Extended Properties=&quot;&quot;" commandType="0"/>
  </connection>
  <connection id="309" xr16:uid="{C689811A-AF8F-4D52-B8A6-ABE5B3197552}" keepAlive="1" name="連線374" type="5" refreshedVersion="0" background="1">
    <dbPr connection="Provider=Microsoft.Mashup.OleDb.1;Data Source=$Workbook$;Location=&quot;Table_1785&quot;;Extended Properties=&quot;&quot;" commandType="0"/>
  </connection>
  <connection id="310" xr16:uid="{749CBC32-3161-4BF9-8B98-24D6E6F48A72}" keepAlive="1" name="連線375" type="5" refreshedVersion="0" background="1">
    <dbPr connection="Provider=Microsoft.Mashup.OleDb.1;Data Source=$Workbook$;Location=&quot;Table_1786&quot;;Extended Properties=&quot;&quot;" commandType="0"/>
  </connection>
  <connection id="311" xr16:uid="{B63E3C84-B15A-41FF-8DFE-E945ACDC91AA}" keepAlive="1" name="連線376" type="5" refreshedVersion="0" background="1">
    <dbPr connection="Provider=Microsoft.Mashup.OleDb.1;Data Source=$Workbook$;Location=&quot;Table_1788&quot;;Extended Properties=&quot;&quot;" commandType="0"/>
  </connection>
  <connection id="312" xr16:uid="{CF166257-A486-4B8B-839B-C6D3EFB55491}" keepAlive="1" name="連線377" type="5" refreshedVersion="0" background="1">
    <dbPr connection="Provider=Microsoft.Mashup.OleDb.1;Data Source=$Workbook$;Location=&quot;Table_1789&quot;;Extended Properties=&quot;&quot;" commandType="0"/>
  </connection>
  <connection id="313" xr16:uid="{F7C7C08C-D782-4878-A6FE-2B58C1156D35}" keepAlive="1" name="連線378" type="5" refreshedVersion="0" background="1">
    <dbPr connection="Provider=Microsoft.Mashup.OleDb.1;Data Source=$Workbook$;Location=&quot;Table_1795&quot;;Extended Properties=&quot;&quot;" commandType="0"/>
  </connection>
  <connection id="314" xr16:uid="{045016FB-1E05-4554-BA08-E333B38AB65A}" keepAlive="1" name="連線379" type="5" refreshedVersion="0" background="1">
    <dbPr connection="Provider=Microsoft.Mashup.OleDb.1;Data Source=$Workbook$;Location=&quot;Table_1796&quot;;Extended Properties=&quot;&quot;" commandType="0"/>
  </connection>
  <connection id="315" xr16:uid="{FE2CFAE8-B04D-4D4D-89F7-AAD2246BD683}" keepAlive="1" name="連線38" type="5" refreshedVersion="0" background="1">
    <dbPr connection="Provider=Microsoft.Mashup.OleDb.1;Data Source=$Workbook$;Location=&quot;Table_1308&quot;;Extended Properties=&quot;&quot;" commandType="0"/>
  </connection>
  <connection id="316" xr16:uid="{38A59B62-0B73-494C-A5E3-CD7D42099E62}" keepAlive="1" name="連線380" type="5" refreshedVersion="0" background="1">
    <dbPr connection="Provider=Microsoft.Mashup.OleDb.1;Data Source=$Workbook$;Location=&quot;Table_1799&quot;;Extended Properties=&quot;&quot;" commandType="0"/>
  </connection>
  <connection id="317" xr16:uid="{98BA0805-980E-4FD9-9092-15FCAFB18463}" keepAlive="1" name="連線381" type="5" refreshedVersion="0" background="1">
    <dbPr connection="Provider=Microsoft.Mashup.OleDb.1;Data Source=$Workbook$;Location=&quot;Table_1802&quot;;Extended Properties=&quot;&quot;" commandType="0"/>
  </connection>
  <connection id="318" xr16:uid="{F25A2533-CC43-4C99-A8AF-96E407D865E1}" keepAlive="1" name="連線382" type="5" refreshedVersion="0" background="1">
    <dbPr connection="Provider=Microsoft.Mashup.OleDb.1;Data Source=$Workbook$;Location=&quot;Table_1805&quot;;Extended Properties=&quot;&quot;" commandType="0"/>
  </connection>
  <connection id="319" xr16:uid="{F2C157E9-6D0A-4B11-A03C-3DA521165955}" keepAlive="1" name="連線383" type="5" refreshedVersion="0" background="1">
    <dbPr connection="Provider=Microsoft.Mashup.OleDb.1;Data Source=$Workbook$;Location=&quot;Table_1806&quot;;Extended Properties=&quot;&quot;" commandType="0"/>
  </connection>
  <connection id="320" xr16:uid="{E59A79E0-0ADF-4FAD-8808-A6BB73D35AA0}" keepAlive="1" name="連線384" type="5" refreshedVersion="0" background="1">
    <dbPr connection="Provider=Microsoft.Mashup.OleDb.1;Data Source=$Workbook$;Location=&quot;Table_1808&quot;;Extended Properties=&quot;&quot;" commandType="0"/>
  </connection>
  <connection id="321" xr16:uid="{AE6BEF51-B6E5-4B76-AB66-BAAF79792DE7}" keepAlive="1" name="連線385" type="5" refreshedVersion="0" background="1">
    <dbPr connection="Provider=Microsoft.Mashup.OleDb.1;Data Source=$Workbook$;Location=&quot;Table_1809&quot;;Extended Properties=&quot;&quot;" commandType="0"/>
  </connection>
  <connection id="322" xr16:uid="{06017826-D262-4442-9838-AFF63108F480}" keepAlive="1" name="連線386" type="5" refreshedVersion="0" background="1">
    <dbPr connection="Provider=Microsoft.Mashup.OleDb.1;Data Source=$Workbook$;Location=&quot;Table_1810&quot;;Extended Properties=&quot;&quot;" commandType="0"/>
  </connection>
  <connection id="323" xr16:uid="{BE47FFA4-8BB3-4A9B-97DB-F2FB9B5113B3}" keepAlive="1" name="連線387" type="5" refreshedVersion="0" background="1">
    <dbPr connection="Provider=Microsoft.Mashup.OleDb.1;Data Source=$Workbook$;Location=&quot;Table_1813&quot;;Extended Properties=&quot;&quot;" commandType="0"/>
  </connection>
  <connection id="324" xr16:uid="{5E922106-0A66-4483-9C38-1FE438C54194}" keepAlive="1" name="連線388" type="5" refreshedVersion="0" background="1">
    <dbPr connection="Provider=Microsoft.Mashup.OleDb.1;Data Source=$Workbook$;Location=&quot;Table_1815&quot;;Extended Properties=&quot;&quot;" commandType="0"/>
  </connection>
  <connection id="325" xr16:uid="{3137D053-DFDD-4E89-8C01-49106AF13986}" keepAlive="1" name="連線389" type="5" refreshedVersion="0" background="1">
    <dbPr connection="Provider=Microsoft.Mashup.OleDb.1;Data Source=$Workbook$;Location=&quot;Table_1817&quot;;Extended Properties=&quot;&quot;" commandType="0"/>
  </connection>
  <connection id="326" xr16:uid="{DDB61987-6E39-4069-98EA-5C212D5BB076}" keepAlive="1" name="連線39" type="5" refreshedVersion="0" background="1">
    <dbPr connection="Provider=Microsoft.Mashup.OleDb.1;Data Source=$Workbook$;Location=&quot;Table_1309&quot;;Extended Properties=&quot;&quot;" commandType="0"/>
  </connection>
  <connection id="327" xr16:uid="{4957707F-754F-4944-A3F2-2E70A12D4554}" keepAlive="1" name="連線390" type="5" refreshedVersion="0" background="1">
    <dbPr connection="Provider=Microsoft.Mashup.OleDb.1;Data Source=$Workbook$;Location=&quot;Table_1903&quot;;Extended Properties=&quot;&quot;" commandType="0"/>
  </connection>
  <connection id="328" xr16:uid="{B34AEAD3-5E68-4AB7-8D35-839AFD18A11B}" keepAlive="1" name="連線391" type="5" refreshedVersion="0" background="1">
    <dbPr connection="Provider=Microsoft.Mashup.OleDb.1;Data Source=$Workbook$;Location=&quot;Table_1904&quot;;Extended Properties=&quot;&quot;" commandType="0"/>
  </connection>
  <connection id="329" xr16:uid="{9D72C82E-663D-430D-A137-BB61C7F013B0}" keepAlive="1" name="連線392" type="5" refreshedVersion="0" background="1">
    <dbPr connection="Provider=Microsoft.Mashup.OleDb.1;Data Source=$Workbook$;Location=&quot;Table_1905&quot;;Extended Properties=&quot;&quot;" commandType="0"/>
  </connection>
  <connection id="330" xr16:uid="{DF673CA7-BEE1-4743-B7A0-B404548D7B20}" keepAlive="1" name="連線393" type="5" refreshedVersion="0" background="1">
    <dbPr connection="Provider=Microsoft.Mashup.OleDb.1;Data Source=$Workbook$;Location=&quot;Table_1906&quot;;Extended Properties=&quot;&quot;" commandType="0"/>
  </connection>
  <connection id="331" xr16:uid="{72516CC2-4723-4F56-BE4F-BD3B0058480F}" keepAlive="1" name="連線394" type="5" refreshedVersion="0" background="1">
    <dbPr connection="Provider=Microsoft.Mashup.OleDb.1;Data Source=$Workbook$;Location=&quot;Table_1907&quot;;Extended Properties=&quot;&quot;" commandType="0"/>
  </connection>
  <connection id="332" xr16:uid="{0D4D47BB-EAF8-4105-862E-2F9FFBDB83D7}" keepAlive="1" name="連線395" type="5" refreshedVersion="0" background="1">
    <dbPr connection="Provider=Microsoft.Mashup.OleDb.1;Data Source=$Workbook$;Location=&quot;Table_1909&quot;;Extended Properties=&quot;&quot;" commandType="0"/>
  </connection>
  <connection id="333" xr16:uid="{176DDCEE-FEE5-4CAD-BFCF-187C99278F96}" keepAlive="1" name="連線396" type="5" refreshedVersion="0" background="1">
    <dbPr connection="Provider=Microsoft.Mashup.OleDb.1;Data Source=$Workbook$;Location=&quot;Table_2002&quot;;Extended Properties=&quot;&quot;" commandType="0"/>
  </connection>
  <connection id="334" xr16:uid="{68C5091C-E88B-4495-8C38-74B5F65237D4}" keepAlive="1" name="連線397" type="5" refreshedVersion="0" background="1">
    <dbPr connection="Provider=Microsoft.Mashup.OleDb.1;Data Source=$Workbook$;Location=&quot;Table_2006&quot;;Extended Properties=&quot;&quot;" commandType="0"/>
  </connection>
  <connection id="335" xr16:uid="{46E93132-AC53-41A2-AC91-CC90F89FA23B}" keepAlive="1" name="連線398" type="5" refreshedVersion="0" background="1">
    <dbPr connection="Provider=Microsoft.Mashup.OleDb.1;Data Source=$Workbook$;Location=&quot;Table_2007&quot;;Extended Properties=&quot;&quot;" commandType="0"/>
  </connection>
  <connection id="336" xr16:uid="{5E595147-9FD5-4945-8916-BD1A84DBA1D4}" keepAlive="1" name="連線399" type="5" refreshedVersion="0" background="1">
    <dbPr connection="Provider=Microsoft.Mashup.OleDb.1;Data Source=$Workbook$;Location=&quot;Table_2008&quot;;Extended Properties=&quot;&quot;" commandType="0"/>
  </connection>
  <connection id="337" xr16:uid="{90E76622-A3F8-499A-910F-225856CCDFA7}" keepAlive="1" name="連線4" type="5" refreshedVersion="0" background="1">
    <dbPr connection="Provider=Microsoft.Mashup.OleDb.1;Data Source=$Workbook$;Location=&quot;Table_1104&quot;;Extended Properties=&quot;&quot;" commandType="0"/>
  </connection>
  <connection id="338" xr16:uid="{E1B52978-4AE4-40C1-B6BF-5AE18005D650}" keepAlive="1" name="連線40" type="5" refreshedVersion="0" background="1">
    <dbPr connection="Provider=Microsoft.Mashup.OleDb.1;Data Source=$Workbook$;Location=&quot;Table_1310&quot;;Extended Properties=&quot;&quot;" commandType="0"/>
  </connection>
  <connection id="339" xr16:uid="{1D211C65-9EBB-4EB9-B6D1-3EB3F0A16627}" keepAlive="1" name="連線400" type="5" refreshedVersion="0" background="1">
    <dbPr connection="Provider=Microsoft.Mashup.OleDb.1;Data Source=$Workbook$;Location=&quot;Table_2009&quot;;Extended Properties=&quot;&quot;" commandType="0"/>
  </connection>
  <connection id="340" xr16:uid="{3B9E74FD-BA72-4020-9853-3BAA27E258E1}" keepAlive="1" name="連線401" type="5" refreshedVersion="0" background="1">
    <dbPr connection="Provider=Microsoft.Mashup.OleDb.1;Data Source=$Workbook$;Location=&quot;Table_2010&quot;;Extended Properties=&quot;&quot;" commandType="0"/>
  </connection>
  <connection id="341" xr16:uid="{87F8E7F9-FDF2-4527-BAE8-80A3936E1636}" keepAlive="1" name="連線402" type="5" refreshedVersion="0" background="1">
    <dbPr connection="Provider=Microsoft.Mashup.OleDb.1;Data Source=$Workbook$;Location=&quot;Table_2012&quot;;Extended Properties=&quot;&quot;" commandType="0"/>
  </connection>
  <connection id="342" xr16:uid="{A9B06719-EE7A-4DCA-8743-36D5F553F2BB}" keepAlive="1" name="連線403" type="5" refreshedVersion="0" background="1">
    <dbPr connection="Provider=Microsoft.Mashup.OleDb.1;Data Source=$Workbook$;Location=&quot;Table_2013&quot;;Extended Properties=&quot;&quot;" commandType="0"/>
  </connection>
  <connection id="343" xr16:uid="{8B918732-5826-4B4C-947D-FF22C5DFDEFA}" keepAlive="1" name="連線404" type="5" refreshedVersion="0" background="1">
    <dbPr connection="Provider=Microsoft.Mashup.OleDb.1;Data Source=$Workbook$;Location=&quot;Table_2014&quot;;Extended Properties=&quot;&quot;" commandType="0"/>
  </connection>
  <connection id="344" xr16:uid="{62581B8A-C642-4A9D-970C-1996C7E918FF}" keepAlive="1" name="連線405" type="5" refreshedVersion="0" background="1">
    <dbPr connection="Provider=Microsoft.Mashup.OleDb.1;Data Source=$Workbook$;Location=&quot;Table_2015&quot;;Extended Properties=&quot;&quot;" commandType="0"/>
  </connection>
  <connection id="345" xr16:uid="{58385F31-9610-4055-A90E-ADD8CE8AE7E3}" keepAlive="1" name="連線406" type="5" refreshedVersion="0" background="1">
    <dbPr connection="Provider=Microsoft.Mashup.OleDb.1;Data Source=$Workbook$;Location=&quot;Table_2017&quot;;Extended Properties=&quot;&quot;" commandType="0"/>
  </connection>
  <connection id="346" xr16:uid="{02093DBF-9521-429B-935A-4D0786B69626}" keepAlive="1" name="連線407" type="5" refreshedVersion="0" background="1">
    <dbPr connection="Provider=Microsoft.Mashup.OleDb.1;Data Source=$Workbook$;Location=&quot;Table_2020&quot;;Extended Properties=&quot;&quot;" commandType="0"/>
  </connection>
  <connection id="347" xr16:uid="{F3DB9C9F-A6F3-447C-B748-2AD0FF2A2E74}" keepAlive="1" name="連線408" type="5" refreshedVersion="0" background="1">
    <dbPr connection="Provider=Microsoft.Mashup.OleDb.1;Data Source=$Workbook$;Location=&quot;Table_2022&quot;;Extended Properties=&quot;&quot;" commandType="0"/>
  </connection>
  <connection id="348" xr16:uid="{168EF8F1-9697-4F1E-9939-AAB79EF9E541}" keepAlive="1" name="連線409" type="5" refreshedVersion="0" background="1">
    <dbPr connection="Provider=Microsoft.Mashup.OleDb.1;Data Source=$Workbook$;Location=&quot;Table_2023&quot;;Extended Properties=&quot;&quot;" commandType="0"/>
  </connection>
  <connection id="349" xr16:uid="{6884A525-B615-4DD1-911B-1BC1088753A0}" keepAlive="1" name="連線41" type="5" refreshedVersion="0" background="1">
    <dbPr connection="Provider=Microsoft.Mashup.OleDb.1;Data Source=$Workbook$;Location=&quot;Table_1312&quot;;Extended Properties=&quot;&quot;" commandType="0"/>
  </connection>
  <connection id="350" xr16:uid="{54BAC6BB-06FD-4F51-B2CD-0E1C57EBC846}" keepAlive="1" name="連線410" type="5" refreshedVersion="0" background="1">
    <dbPr connection="Provider=Microsoft.Mashup.OleDb.1;Data Source=$Workbook$;Location=&quot;Table_2024&quot;;Extended Properties=&quot;&quot;" commandType="0"/>
  </connection>
  <connection id="351" xr16:uid="{9D2E11DF-E482-4882-8F64-E9D0D296AA37}" keepAlive="1" name="連線411" type="5" refreshedVersion="0" background="1">
    <dbPr connection="Provider=Microsoft.Mashup.OleDb.1;Data Source=$Workbook$;Location=&quot;Table_2025&quot;;Extended Properties=&quot;&quot;" commandType="0"/>
  </connection>
  <connection id="352" xr16:uid="{67A6C1B4-2A27-4B5C-9763-1C8254D05D96}" keepAlive="1" name="連線412" type="5" refreshedVersion="0" background="1">
    <dbPr connection="Provider=Microsoft.Mashup.OleDb.1;Data Source=$Workbook$;Location=&quot;Table_2027&quot;;Extended Properties=&quot;&quot;" commandType="0"/>
  </connection>
  <connection id="353" xr16:uid="{12184F0A-F9F2-4006-B8A1-09D3F51DE333}" keepAlive="1" name="連線413" type="5" refreshedVersion="0" background="1">
    <dbPr connection="Provider=Microsoft.Mashup.OleDb.1;Data Source=$Workbook$;Location=&quot;Table_2028&quot;;Extended Properties=&quot;&quot;" commandType="0"/>
  </connection>
  <connection id="354" xr16:uid="{1351F59D-51A0-4BED-881C-4306645E8378}" keepAlive="1" name="連線414" type="5" refreshedVersion="0" background="1">
    <dbPr connection="Provider=Microsoft.Mashup.OleDb.1;Data Source=$Workbook$;Location=&quot;Table_2029&quot;;Extended Properties=&quot;&quot;" commandType="0"/>
  </connection>
  <connection id="355" xr16:uid="{9E271B85-8698-4C90-B9A5-2437151470A4}" keepAlive="1" name="連線415" type="5" refreshedVersion="0" background="1">
    <dbPr connection="Provider=Microsoft.Mashup.OleDb.1;Data Source=$Workbook$;Location=&quot;Table_2030&quot;;Extended Properties=&quot;&quot;" commandType="0"/>
  </connection>
  <connection id="356" xr16:uid="{3B09DC91-E487-4711-A2EA-457E5284865D}" keepAlive="1" name="連線416" type="5" refreshedVersion="0" background="1">
    <dbPr connection="Provider=Microsoft.Mashup.OleDb.1;Data Source=$Workbook$;Location=&quot;Table_2031&quot;;Extended Properties=&quot;&quot;" commandType="0"/>
  </connection>
  <connection id="357" xr16:uid="{2BB2148A-C016-4B91-A4DF-89573CFBEF19}" keepAlive="1" name="連線417" type="5" refreshedVersion="0" background="1">
    <dbPr connection="Provider=Microsoft.Mashup.OleDb.1;Data Source=$Workbook$;Location=&quot;Table_2032&quot;;Extended Properties=&quot;&quot;" commandType="0"/>
  </connection>
  <connection id="358" xr16:uid="{77D00577-01BB-4E2B-8EBA-E5B5772D006C}" keepAlive="1" name="連線418" type="5" refreshedVersion="0" background="1">
    <dbPr connection="Provider=Microsoft.Mashup.OleDb.1;Data Source=$Workbook$;Location=&quot;Table_2033&quot;;Extended Properties=&quot;&quot;" commandType="0"/>
  </connection>
  <connection id="359" xr16:uid="{C17B38A3-781D-40DA-92A5-B511F462AF09}" keepAlive="1" name="連線419" type="5" refreshedVersion="0" background="1">
    <dbPr connection="Provider=Microsoft.Mashup.OleDb.1;Data Source=$Workbook$;Location=&quot;Table_2034&quot;;Extended Properties=&quot;&quot;" commandType="0"/>
  </connection>
  <connection id="360" xr16:uid="{C8DBD0A7-0180-43D4-B2C1-6228C30BCFC5}" keepAlive="1" name="連線42" type="5" refreshedVersion="0" background="1">
    <dbPr connection="Provider=Microsoft.Mashup.OleDb.1;Data Source=$Workbook$;Location=&quot;Table_1313&quot;;Extended Properties=&quot;&quot;" commandType="0"/>
  </connection>
  <connection id="361" xr16:uid="{72A14DC8-3BC7-4314-B5DD-3E8B322262A7}" keepAlive="1" name="連線420" type="5" refreshedVersion="0" background="1">
    <dbPr connection="Provider=Microsoft.Mashup.OleDb.1;Data Source=$Workbook$;Location=&quot;Table_2035&quot;;Extended Properties=&quot;&quot;" commandType="0"/>
  </connection>
  <connection id="362" xr16:uid="{D06E5583-DB3B-4848-AE57-8A328EA7670E}" keepAlive="1" name="連線421" type="5" refreshedVersion="0" background="1">
    <dbPr connection="Provider=Microsoft.Mashup.OleDb.1;Data Source=$Workbook$;Location=&quot;Table_2038&quot;;Extended Properties=&quot;&quot;" commandType="0"/>
  </connection>
  <connection id="363" xr16:uid="{4725ECD2-6B18-4DAA-BBD7-A1EA3D121D8D}" keepAlive="1" name="連線422" type="5" refreshedVersion="0" background="1">
    <dbPr connection="Provider=Microsoft.Mashup.OleDb.1;Data Source=$Workbook$;Location=&quot;Table_2049&quot;;Extended Properties=&quot;&quot;" commandType="0"/>
  </connection>
  <connection id="364" xr16:uid="{32D82743-A55D-4DC4-83CA-EDCB806358D7}" keepAlive="1" name="連線423" type="5" refreshedVersion="0" background="1">
    <dbPr connection="Provider=Microsoft.Mashup.OleDb.1;Data Source=$Workbook$;Location=&quot;Table_2059&quot;;Extended Properties=&quot;&quot;" commandType="0"/>
  </connection>
  <connection id="365" xr16:uid="{D37BD32F-CDA6-478B-9473-27041D3191FD}" keepAlive="1" name="連線424" type="5" refreshedVersion="0" background="1">
    <dbPr connection="Provider=Microsoft.Mashup.OleDb.1;Data Source=$Workbook$;Location=&quot;Table_2061&quot;;Extended Properties=&quot;&quot;" commandType="0"/>
  </connection>
  <connection id="366" xr16:uid="{BFC0FE85-AB13-4845-AB70-2DBC007D3CCB}" keepAlive="1" name="連線425" type="5" refreshedVersion="0" background="1">
    <dbPr connection="Provider=Microsoft.Mashup.OleDb.1;Data Source=$Workbook$;Location=&quot;Table_2062&quot;;Extended Properties=&quot;&quot;" commandType="0"/>
  </connection>
  <connection id="367" xr16:uid="{7D7992D0-857C-497D-B27E-C87AD044F133}" keepAlive="1" name="連線426" type="5" refreshedVersion="0" background="1">
    <dbPr connection="Provider=Microsoft.Mashup.OleDb.1;Data Source=$Workbook$;Location=&quot;Table_2063&quot;;Extended Properties=&quot;&quot;" commandType="0"/>
  </connection>
  <connection id="368" xr16:uid="{BED591BE-3F76-4D25-A299-D1A9C6F3F767}" keepAlive="1" name="連線427" type="5" refreshedVersion="0" background="1">
    <dbPr connection="Provider=Microsoft.Mashup.OleDb.1;Data Source=$Workbook$;Location=&quot;Table_2064&quot;;Extended Properties=&quot;&quot;" commandType="0"/>
  </connection>
  <connection id="369" xr16:uid="{D0D9A327-1345-48E7-9295-5C9C5203B7B5}" keepAlive="1" name="連線428" type="5" refreshedVersion="0" background="1">
    <dbPr connection="Provider=Microsoft.Mashup.OleDb.1;Data Source=$Workbook$;Location=&quot;Table_2065&quot;;Extended Properties=&quot;&quot;" commandType="0"/>
  </connection>
  <connection id="370" xr16:uid="{8A565ABF-AA4A-49DD-9B63-9C3ECD04A812}" keepAlive="1" name="連線429" type="5" refreshedVersion="0" background="1">
    <dbPr connection="Provider=Microsoft.Mashup.OleDb.1;Data Source=$Workbook$;Location=&quot;Table_2066&quot;;Extended Properties=&quot;&quot;" commandType="0"/>
  </connection>
  <connection id="371" xr16:uid="{CECF80F8-DB91-4EFE-8FCD-43F20F76F9C1}" keepAlive="1" name="連線43" type="5" refreshedVersion="0" background="1">
    <dbPr connection="Provider=Microsoft.Mashup.OleDb.1;Data Source=$Workbook$;Location=&quot;Table_1314&quot;;Extended Properties=&quot;&quot;" commandType="0"/>
  </connection>
  <connection id="372" xr16:uid="{8F9176E3-71CE-4A5A-AFFD-E7B7173AB3D2}" keepAlive="1" name="連線430" type="5" refreshedVersion="0" background="1">
    <dbPr connection="Provider=Microsoft.Mashup.OleDb.1;Data Source=$Workbook$;Location=&quot;Table_2067&quot;;Extended Properties=&quot;&quot;" commandType="0"/>
  </connection>
  <connection id="373" xr16:uid="{EDEB9664-3539-4ACD-A92D-8883CE65A151}" keepAlive="1" name="連線431" type="5" refreshedVersion="0" background="1">
    <dbPr connection="Provider=Microsoft.Mashup.OleDb.1;Data Source=$Workbook$;Location=&quot;Table_2069&quot;;Extended Properties=&quot;&quot;" commandType="0"/>
  </connection>
  <connection id="374" xr16:uid="{B3AC0939-EB23-49ED-9D34-55D3E1AF7F36}" keepAlive="1" name="連線432" type="5" refreshedVersion="0" background="1">
    <dbPr connection="Provider=Microsoft.Mashup.OleDb.1;Data Source=$Workbook$;Location=&quot;Table_2070&quot;;Extended Properties=&quot;&quot;" commandType="0"/>
  </connection>
  <connection id="375" xr16:uid="{08F1FC3D-DB1B-4726-9EDB-C3510CA8BD83}" keepAlive="1" name="連線433" type="5" refreshedVersion="0" background="1">
    <dbPr connection="Provider=Microsoft.Mashup.OleDb.1;Data Source=$Workbook$;Location=&quot;Table_2101&quot;;Extended Properties=&quot;&quot;" commandType="0"/>
  </connection>
  <connection id="376" xr16:uid="{CFE413E1-E3A3-4703-A1F9-0826A7EA1582}" keepAlive="1" name="連線434" type="5" refreshedVersion="0" background="1">
    <dbPr connection="Provider=Microsoft.Mashup.OleDb.1;Data Source=$Workbook$;Location=&quot;Table_2102&quot;;Extended Properties=&quot;&quot;" commandType="0"/>
  </connection>
  <connection id="377" xr16:uid="{1F25D1E2-61F2-4244-A88F-534C23E2BFD0}" keepAlive="1" name="連線435" type="5" refreshedVersion="0" background="1">
    <dbPr connection="Provider=Microsoft.Mashup.OleDb.1;Data Source=$Workbook$;Location=&quot;Table_2103&quot;;Extended Properties=&quot;&quot;" commandType="0"/>
  </connection>
  <connection id="378" xr16:uid="{A63B0549-3EA2-4E55-B97E-B2D676EA4D0D}" keepAlive="1" name="連線436" type="5" refreshedVersion="0" background="1">
    <dbPr connection="Provider=Microsoft.Mashup.OleDb.1;Data Source=$Workbook$;Location=&quot;Table_2104&quot;;Extended Properties=&quot;&quot;" commandType="0"/>
  </connection>
  <connection id="379" xr16:uid="{37CB6382-C4E1-4AD4-A581-9F1F54513FC6}" keepAlive="1" name="連線437" type="5" refreshedVersion="0" background="1">
    <dbPr connection="Provider=Microsoft.Mashup.OleDb.1;Data Source=$Workbook$;Location=&quot;Table_2105&quot;;Extended Properties=&quot;&quot;" commandType="0"/>
  </connection>
  <connection id="380" xr16:uid="{C1B51D3A-9A72-4A8D-A1C1-22E0911C7575}" keepAlive="1" name="連線438" type="5" refreshedVersion="0" background="1">
    <dbPr connection="Provider=Microsoft.Mashup.OleDb.1;Data Source=$Workbook$;Location=&quot;Table_2106&quot;;Extended Properties=&quot;&quot;" commandType="0"/>
  </connection>
  <connection id="381" xr16:uid="{60F9AD50-F049-4354-9774-2EA52DFC0846}" keepAlive="1" name="連線439" type="5" refreshedVersion="0" background="1">
    <dbPr connection="Provider=Microsoft.Mashup.OleDb.1;Data Source=$Workbook$;Location=&quot;Table_2107&quot;;Extended Properties=&quot;&quot;" commandType="0"/>
  </connection>
  <connection id="382" xr16:uid="{9314615B-E6DE-44EC-B46D-EBE00679DC3B}" keepAlive="1" name="連線44" type="5" refreshedVersion="0" background="1">
    <dbPr connection="Provider=Microsoft.Mashup.OleDb.1;Data Source=$Workbook$;Location=&quot;Table_1315&quot;;Extended Properties=&quot;&quot;" commandType="0"/>
  </connection>
  <connection id="383" xr16:uid="{573BDBB6-D048-4BBF-99FC-16978F4C01DB}" keepAlive="1" name="連線440" type="5" refreshedVersion="0" background="1">
    <dbPr connection="Provider=Microsoft.Mashup.OleDb.1;Data Source=$Workbook$;Location=&quot;Table_2108&quot;;Extended Properties=&quot;&quot;" commandType="0"/>
  </connection>
  <connection id="384" xr16:uid="{7F49C19C-F882-4067-82B5-F5EB7704BEA9}" keepAlive="1" name="連線441" type="5" refreshedVersion="0" background="1">
    <dbPr connection="Provider=Microsoft.Mashup.OleDb.1;Data Source=$Workbook$;Location=&quot;Table_2109&quot;;Extended Properties=&quot;&quot;" commandType="0"/>
  </connection>
  <connection id="385" xr16:uid="{EBBB44BC-6C6E-4C6A-9AFD-61EF4B9F53CB}" keepAlive="1" name="連線442" type="5" refreshedVersion="0" background="1">
    <dbPr connection="Provider=Microsoft.Mashup.OleDb.1;Data Source=$Workbook$;Location=&quot;Table_2114&quot;;Extended Properties=&quot;&quot;" commandType="0"/>
  </connection>
  <connection id="386" xr16:uid="{EF02B2D5-8D00-4F11-A106-37B8119D0F89}" keepAlive="1" name="連線443" type="5" refreshedVersion="0" background="1">
    <dbPr connection="Provider=Microsoft.Mashup.OleDb.1;Data Source=$Workbook$;Location=&quot;Table_2115&quot;;Extended Properties=&quot;&quot;" commandType="0"/>
  </connection>
  <connection id="387" xr16:uid="{5B2CBDF1-3BC7-470E-98EB-1014840866A3}" keepAlive="1" name="連線444" type="5" refreshedVersion="0" background="1">
    <dbPr connection="Provider=Microsoft.Mashup.OleDb.1;Data Source=$Workbook$;Location=&quot;Table_2201&quot;;Extended Properties=&quot;&quot;" commandType="0"/>
  </connection>
  <connection id="388" xr16:uid="{B4FC605C-DC50-4F0A-96F8-656B62EA2444}" keepAlive="1" name="連線445" type="5" refreshedVersion="0" background="1">
    <dbPr connection="Provider=Microsoft.Mashup.OleDb.1;Data Source=$Workbook$;Location=&quot;Table_2204&quot;;Extended Properties=&quot;&quot;" commandType="0"/>
  </connection>
  <connection id="389" xr16:uid="{C3E186B4-7102-4EAE-BC50-CBFD1426B600}" keepAlive="1" name="連線446" type="5" refreshedVersion="0" background="1">
    <dbPr connection="Provider=Microsoft.Mashup.OleDb.1;Data Source=$Workbook$;Location=&quot;Table_2206&quot;;Extended Properties=&quot;&quot;" commandType="0"/>
  </connection>
  <connection id="390" xr16:uid="{674516B0-1C3B-4CF0-A5F1-24963EA120C7}" keepAlive="1" name="連線447" type="5" refreshedVersion="0" background="1">
    <dbPr connection="Provider=Microsoft.Mashup.OleDb.1;Data Source=$Workbook$;Location=&quot;Table_2207&quot;;Extended Properties=&quot;&quot;" commandType="0"/>
  </connection>
  <connection id="391" xr16:uid="{AF6C254A-7A78-4165-8A75-918E9CC3644A}" keepAlive="1" name="連線448" type="5" refreshedVersion="0" background="1">
    <dbPr connection="Provider=Microsoft.Mashup.OleDb.1;Data Source=$Workbook$;Location=&quot;Table_2208&quot;;Extended Properties=&quot;&quot;" commandType="0"/>
  </connection>
  <connection id="392" xr16:uid="{0E5635BF-41B7-4497-A01A-3BC466132B11}" keepAlive="1" name="連線449" type="5" refreshedVersion="0" background="1">
    <dbPr connection="Provider=Microsoft.Mashup.OleDb.1;Data Source=$Workbook$;Location=&quot;Table_2211&quot;;Extended Properties=&quot;&quot;" commandType="0"/>
  </connection>
  <connection id="393" xr16:uid="{6045C8E1-004E-4B02-9E68-55ED19A6E222}" keepAlive="1" name="連線45" type="5" refreshedVersion="0" background="1">
    <dbPr connection="Provider=Microsoft.Mashup.OleDb.1;Data Source=$Workbook$;Location=&quot;Table_1316&quot;;Extended Properties=&quot;&quot;" commandType="0"/>
  </connection>
  <connection id="394" xr16:uid="{A9D66B19-EEB9-4230-842B-99BC439E3DCD}" keepAlive="1" name="連線450" type="5" refreshedVersion="0" background="1">
    <dbPr connection="Provider=Microsoft.Mashup.OleDb.1;Data Source=$Workbook$;Location=&quot;Table_2221&quot;;Extended Properties=&quot;&quot;" commandType="0"/>
  </connection>
  <connection id="395" xr16:uid="{D6B09FDE-8E70-4A58-B983-46226F0A6165}" keepAlive="1" name="連線451" type="5" refreshedVersion="0" background="1">
    <dbPr connection="Provider=Microsoft.Mashup.OleDb.1;Data Source=$Workbook$;Location=&quot;Table_2227&quot;;Extended Properties=&quot;&quot;" commandType="0"/>
  </connection>
  <connection id="396" xr16:uid="{A24C6B11-A6CB-4C53-BD7E-A2E441E80D8E}" keepAlive="1" name="連線452" type="5" refreshedVersion="0" background="1">
    <dbPr connection="Provider=Microsoft.Mashup.OleDb.1;Data Source=$Workbook$;Location=&quot;Table_2228&quot;;Extended Properties=&quot;&quot;" commandType="0"/>
  </connection>
  <connection id="397" xr16:uid="{4E57D7C1-BE5E-4C3E-9609-D5F61982C8EE}" keepAlive="1" name="連線453" type="5" refreshedVersion="0" background="1">
    <dbPr connection="Provider=Microsoft.Mashup.OleDb.1;Data Source=$Workbook$;Location=&quot;Table_2230&quot;;Extended Properties=&quot;&quot;" commandType="0"/>
  </connection>
  <connection id="398" xr16:uid="{A5F658AF-C822-4199-ADCA-72DB82F466AC}" keepAlive="1" name="連線454" type="5" refreshedVersion="0" background="1">
    <dbPr connection="Provider=Microsoft.Mashup.OleDb.1;Data Source=$Workbook$;Location=&quot;Table_2231&quot;;Extended Properties=&quot;&quot;" commandType="0"/>
  </connection>
  <connection id="399" xr16:uid="{FA07EE02-19C0-4EBE-9106-042407475BA9}" keepAlive="1" name="連線455" type="5" refreshedVersion="0" background="1">
    <dbPr connection="Provider=Microsoft.Mashup.OleDb.1;Data Source=$Workbook$;Location=&quot;Table_2233&quot;;Extended Properties=&quot;&quot;" commandType="0"/>
  </connection>
  <connection id="400" xr16:uid="{861D6044-2F68-4E35-96BD-C4E2A55D02EC}" keepAlive="1" name="連線456" type="5" refreshedVersion="0" background="1">
    <dbPr connection="Provider=Microsoft.Mashup.OleDb.1;Data Source=$Workbook$;Location=&quot;Table_2235&quot;;Extended Properties=&quot;&quot;" commandType="0"/>
  </connection>
  <connection id="401" xr16:uid="{8D8EF6D4-00E0-4FFB-8794-76BA69C41915}" keepAlive="1" name="連線457" type="5" refreshedVersion="0" background="1">
    <dbPr connection="Provider=Microsoft.Mashup.OleDb.1;Data Source=$Workbook$;Location=&quot;Table_2236&quot;;Extended Properties=&quot;&quot;" commandType="0"/>
  </connection>
  <connection id="402" xr16:uid="{9193802B-823A-4F26-8F4E-6609B701FA28}" keepAlive="1" name="連線458" type="5" refreshedVersion="0" background="1">
    <dbPr connection="Provider=Microsoft.Mashup.OleDb.1;Data Source=$Workbook$;Location=&quot;Table_2239&quot;;Extended Properties=&quot;&quot;" commandType="0"/>
  </connection>
  <connection id="403" xr16:uid="{A3C21864-D3E7-45A7-A931-BD7CB5F85F42}" keepAlive="1" name="連線459" type="5" refreshedVersion="0" background="1">
    <dbPr connection="Provider=Microsoft.Mashup.OleDb.1;Data Source=$Workbook$;Location=&quot;Table_2241&quot;;Extended Properties=&quot;&quot;" commandType="0"/>
  </connection>
  <connection id="404" xr16:uid="{C0B8F36F-8A22-4ED7-B441-C53DA55F9162}" keepAlive="1" name="連線46" type="5" refreshedVersion="0" background="1">
    <dbPr connection="Provider=Microsoft.Mashup.OleDb.1;Data Source=$Workbook$;Location=&quot;Table_1319&quot;;Extended Properties=&quot;&quot;" commandType="0"/>
  </connection>
  <connection id="405" xr16:uid="{6470A004-7EA9-4412-8FCE-401707DFC11C}" keepAlive="1" name="連線460" type="5" refreshedVersion="0" background="1">
    <dbPr connection="Provider=Microsoft.Mashup.OleDb.1;Data Source=$Workbook$;Location=&quot;Table_2243&quot;;Extended Properties=&quot;&quot;" commandType="0"/>
  </connection>
  <connection id="406" xr16:uid="{CDD68908-A9AC-463B-8312-522252D3A58A}" keepAlive="1" name="連線461" type="5" refreshedVersion="0" background="1">
    <dbPr connection="Provider=Microsoft.Mashup.OleDb.1;Data Source=$Workbook$;Location=&quot;Table_2247&quot;;Extended Properties=&quot;&quot;" commandType="0"/>
  </connection>
  <connection id="407" xr16:uid="{07982EAF-044B-4BCF-AB92-CD9910737EC6}" keepAlive="1" name="連線462" type="5" refreshedVersion="0" background="1">
    <dbPr connection="Provider=Microsoft.Mashup.OleDb.1;Data Source=$Workbook$;Location=&quot;Table_2250&quot;;Extended Properties=&quot;&quot;" commandType="0"/>
  </connection>
  <connection id="408" xr16:uid="{AC302A6A-390F-4512-B42E-12FB97CEE22E}" keepAlive="1" name="連線463" type="5" refreshedVersion="0" background="1">
    <dbPr connection="Provider=Microsoft.Mashup.OleDb.1;Data Source=$Workbook$;Location=&quot;Table_2301&quot;;Extended Properties=&quot;&quot;" commandType="0"/>
  </connection>
  <connection id="409" xr16:uid="{3C17DC95-2A26-44FF-8E42-AD1EDE652E54}" keepAlive="1" name="連線464" type="5" refreshedVersion="0" background="1">
    <dbPr connection="Provider=Microsoft.Mashup.OleDb.1;Data Source=$Workbook$;Location=&quot;Table_2302&quot;;Extended Properties=&quot;&quot;" commandType="0"/>
  </connection>
  <connection id="410" xr16:uid="{F2E2B3E1-139F-4EF4-AD50-731E9D6363F5}" keepAlive="1" name="連線465" type="5" refreshedVersion="0" background="1">
    <dbPr connection="Provider=Microsoft.Mashup.OleDb.1;Data Source=$Workbook$;Location=&quot;Table_2303&quot;;Extended Properties=&quot;&quot;" commandType="0"/>
  </connection>
  <connection id="411" xr16:uid="{C5F1D5B7-21AE-48F0-8155-4E8145B5EB24}" keepAlive="1" name="連線466" type="5" refreshedVersion="0" background="1">
    <dbPr connection="Provider=Microsoft.Mashup.OleDb.1;Data Source=$Workbook$;Location=&quot;Table_2305&quot;;Extended Properties=&quot;&quot;" commandType="0"/>
  </connection>
  <connection id="412" xr16:uid="{0902B2DA-3059-4655-B780-78EDC8A01938}" keepAlive="1" name="連線467" type="5" refreshedVersion="0" background="1">
    <dbPr connection="Provider=Microsoft.Mashup.OleDb.1;Data Source=$Workbook$;Location=&quot;Table_2308&quot;;Extended Properties=&quot;&quot;" commandType="0"/>
  </connection>
  <connection id="413" xr16:uid="{C7AB67CD-76F5-43D7-B846-25958E2D1570}" keepAlive="1" name="連線468" type="5" refreshedVersion="0" background="1">
    <dbPr connection="Provider=Microsoft.Mashup.OleDb.1;Data Source=$Workbook$;Location=&quot;Table_2312&quot;;Extended Properties=&quot;&quot;" commandType="0"/>
  </connection>
  <connection id="414" xr16:uid="{4B13EB7E-F1DC-42B2-8F7B-02DC93F903C1}" keepAlive="1" name="連線469" type="5" refreshedVersion="0" background="1">
    <dbPr connection="Provider=Microsoft.Mashup.OleDb.1;Data Source=$Workbook$;Location=&quot;Table_2313&quot;;Extended Properties=&quot;&quot;" commandType="0"/>
  </connection>
  <connection id="415" xr16:uid="{20B20945-6FB3-4FA0-85BB-1C7AE83C4557}" keepAlive="1" name="連線47" type="5" refreshedVersion="0" background="1">
    <dbPr connection="Provider=Microsoft.Mashup.OleDb.1;Data Source=$Workbook$;Location=&quot;Table_1321&quot;;Extended Properties=&quot;&quot;" commandType="0"/>
  </connection>
  <connection id="416" xr16:uid="{D6BD42DD-8521-43B7-9DAC-1EECBA090255}" keepAlive="1" name="連線470" type="5" refreshedVersion="0" background="1">
    <dbPr connection="Provider=Microsoft.Mashup.OleDb.1;Data Source=$Workbook$;Location=&quot;Table_2314&quot;;Extended Properties=&quot;&quot;" commandType="0"/>
  </connection>
  <connection id="417" xr16:uid="{25D27765-87CB-4D45-A496-B71BA50CD526}" keepAlive="1" name="連線471" type="5" refreshedVersion="0" background="1">
    <dbPr connection="Provider=Microsoft.Mashup.OleDb.1;Data Source=$Workbook$;Location=&quot;Table_2316&quot;;Extended Properties=&quot;&quot;" commandType="0"/>
  </connection>
  <connection id="418" xr16:uid="{BF6378E1-6C78-4377-AECF-0B1AEB2122FB}" keepAlive="1" name="連線472" type="5" refreshedVersion="0" background="1">
    <dbPr connection="Provider=Microsoft.Mashup.OleDb.1;Data Source=$Workbook$;Location=&quot;Table_2317&quot;;Extended Properties=&quot;&quot;" commandType="0"/>
  </connection>
  <connection id="419" xr16:uid="{C8F1E32C-9E85-475A-B83F-C88E2FC71FF4}" keepAlive="1" name="連線473" type="5" refreshedVersion="0" background="1">
    <dbPr connection="Provider=Microsoft.Mashup.OleDb.1;Data Source=$Workbook$;Location=&quot;Table_2321&quot;;Extended Properties=&quot;&quot;" commandType="0"/>
  </connection>
  <connection id="420" xr16:uid="{5B36A212-DE16-4151-A8E0-87C5F780BFA4}" keepAlive="1" name="連線474" type="5" refreshedVersion="0" background="1">
    <dbPr connection="Provider=Microsoft.Mashup.OleDb.1;Data Source=$Workbook$;Location=&quot;Table_2323&quot;;Extended Properties=&quot;&quot;" commandType="0"/>
  </connection>
  <connection id="421" xr16:uid="{F74D4C6A-FB21-47AB-B048-0177528ADDED}" keepAlive="1" name="連線475" type="5" refreshedVersion="0" background="1">
    <dbPr connection="Provider=Microsoft.Mashup.OleDb.1;Data Source=$Workbook$;Location=&quot;Table_2324&quot;;Extended Properties=&quot;&quot;" commandType="0"/>
  </connection>
  <connection id="422" xr16:uid="{8687A041-6B41-476E-92D0-8EBD00135BFE}" keepAlive="1" name="連線476" type="5" refreshedVersion="0" background="1">
    <dbPr connection="Provider=Microsoft.Mashup.OleDb.1;Data Source=$Workbook$;Location=&quot;Table_2327&quot;;Extended Properties=&quot;&quot;" commandType="0"/>
  </connection>
  <connection id="423" xr16:uid="{9615F86E-84EA-4885-970F-D8282D480999}" keepAlive="1" name="連線477" type="5" refreshedVersion="0" background="1">
    <dbPr connection="Provider=Microsoft.Mashup.OleDb.1;Data Source=$Workbook$;Location=&quot;Table_2328&quot;;Extended Properties=&quot;&quot;" commandType="0"/>
  </connection>
  <connection id="424" xr16:uid="{3BDEAE0F-464D-4354-BAB3-1D8E59BD2AA6}" keepAlive="1" name="連線478" type="5" refreshedVersion="0" background="1">
    <dbPr connection="Provider=Microsoft.Mashup.OleDb.1;Data Source=$Workbook$;Location=&quot;Table_2329&quot;;Extended Properties=&quot;&quot;" commandType="0"/>
  </connection>
  <connection id="425" xr16:uid="{9D781D05-065B-4286-9885-FA94A84B209A}" keepAlive="1" name="連線479" type="5" refreshedVersion="0" background="1">
    <dbPr connection="Provider=Microsoft.Mashup.OleDb.1;Data Source=$Workbook$;Location=&quot;Table_2330&quot;;Extended Properties=&quot;&quot;" commandType="0"/>
  </connection>
  <connection id="426" xr16:uid="{6877B8AB-6C39-4975-B674-740922471A61}" keepAlive="1" name="連線48" type="5" refreshedVersion="0" background="1">
    <dbPr connection="Provider=Microsoft.Mashup.OleDb.1;Data Source=$Workbook$;Location=&quot;Table_1323&quot;;Extended Properties=&quot;&quot;" commandType="0"/>
  </connection>
  <connection id="427" xr16:uid="{DABDC1F9-CED2-4CB8-BB3B-2159F84AD58D}" keepAlive="1" name="連線480" type="5" refreshedVersion="0" background="1">
    <dbPr connection="Provider=Microsoft.Mashup.OleDb.1;Data Source=$Workbook$;Location=&quot;Table_2331&quot;;Extended Properties=&quot;&quot;" commandType="0"/>
  </connection>
  <connection id="428" xr16:uid="{17002B10-CA3D-48CC-91AB-1211E8A92562}" keepAlive="1" name="連線481" type="5" refreshedVersion="0" background="1">
    <dbPr connection="Provider=Microsoft.Mashup.OleDb.1;Data Source=$Workbook$;Location=&quot;Table_2332&quot;;Extended Properties=&quot;&quot;" commandType="0"/>
  </connection>
  <connection id="429" xr16:uid="{3BAE1013-6FD8-4B5D-95A7-BA8C95B14513}" keepAlive="1" name="連線482" type="5" refreshedVersion="0" background="1">
    <dbPr connection="Provider=Microsoft.Mashup.OleDb.1;Data Source=$Workbook$;Location=&quot;Table_2337&quot;;Extended Properties=&quot;&quot;" commandType="0"/>
  </connection>
  <connection id="430" xr16:uid="{E9C9A8E7-060F-4C68-A791-676EB9111DF9}" keepAlive="1" name="連線483" type="5" refreshedVersion="0" background="1">
    <dbPr connection="Provider=Microsoft.Mashup.OleDb.1;Data Source=$Workbook$;Location=&quot;Table_2338&quot;;Extended Properties=&quot;&quot;" commandType="0"/>
  </connection>
  <connection id="431" xr16:uid="{2833D4D8-99C6-4A30-8AC4-36E9702ABDE8}" keepAlive="1" name="連線484" type="5" refreshedVersion="0" background="1">
    <dbPr connection="Provider=Microsoft.Mashup.OleDb.1;Data Source=$Workbook$;Location=&quot;Table_2340&quot;;Extended Properties=&quot;&quot;" commandType="0"/>
  </connection>
  <connection id="432" xr16:uid="{D22124D4-0089-4CB9-8D9D-584E141049CE}" keepAlive="1" name="連線485" type="5" refreshedVersion="0" background="1">
    <dbPr connection="Provider=Microsoft.Mashup.OleDb.1;Data Source=$Workbook$;Location=&quot;Table_2342&quot;;Extended Properties=&quot;&quot;" commandType="0"/>
  </connection>
  <connection id="433" xr16:uid="{1D53400D-347D-41F4-BDF6-F6B85F491D8B}" keepAlive="1" name="連線486" type="5" refreshedVersion="0" background="1">
    <dbPr connection="Provider=Microsoft.Mashup.OleDb.1;Data Source=$Workbook$;Location=&quot;Table_2344&quot;;Extended Properties=&quot;&quot;" commandType="0"/>
  </connection>
  <connection id="434" xr16:uid="{24FFF208-C6EC-454B-995E-C73E3200CE52}" keepAlive="1" name="連線487" type="5" refreshedVersion="0" background="1">
    <dbPr connection="Provider=Microsoft.Mashup.OleDb.1;Data Source=$Workbook$;Location=&quot;Table_2345&quot;;Extended Properties=&quot;&quot;" commandType="0"/>
  </connection>
  <connection id="435" xr16:uid="{DF3E6359-CC11-49A8-A065-BB38BCACECA1}" keepAlive="1" name="連線488" type="5" refreshedVersion="0" background="1">
    <dbPr connection="Provider=Microsoft.Mashup.OleDb.1;Data Source=$Workbook$;Location=&quot;Table_2347&quot;;Extended Properties=&quot;&quot;" commandType="0"/>
  </connection>
  <connection id="436" xr16:uid="{DAF6141C-5718-4A76-94EF-641E724E790F}" keepAlive="1" name="連線489" type="5" refreshedVersion="0" background="1">
    <dbPr connection="Provider=Microsoft.Mashup.OleDb.1;Data Source=$Workbook$;Location=&quot;Table_2348&quot;;Extended Properties=&quot;&quot;" commandType="0"/>
  </connection>
  <connection id="437" xr16:uid="{87C0441A-9970-4422-87A3-EB4FA151CF02}" keepAlive="1" name="連線49" type="5" refreshedVersion="0" background="1">
    <dbPr connection="Provider=Microsoft.Mashup.OleDb.1;Data Source=$Workbook$;Location=&quot;Table_1324&quot;;Extended Properties=&quot;&quot;" commandType="0"/>
  </connection>
  <connection id="438" xr16:uid="{840D1893-0CA9-4C88-9911-1DE6FC23C036}" keepAlive="1" name="連線490" type="5" refreshedVersion="0" background="1">
    <dbPr connection="Provider=Microsoft.Mashup.OleDb.1;Data Source=$Workbook$;Location=&quot;Table_2349&quot;;Extended Properties=&quot;&quot;" commandType="0"/>
  </connection>
  <connection id="439" xr16:uid="{A2F028C4-2AD8-4299-919D-DDB4068E78C2}" keepAlive="1" name="連線491" type="5" refreshedVersion="0" background="1">
    <dbPr connection="Provider=Microsoft.Mashup.OleDb.1;Data Source=$Workbook$;Location=&quot;Table_2351&quot;;Extended Properties=&quot;&quot;" commandType="0"/>
  </connection>
  <connection id="440" xr16:uid="{5B760E6B-F0D3-4D91-8E41-DD8EC589CFFF}" keepAlive="1" name="連線492" type="5" refreshedVersion="0" background="1">
    <dbPr connection="Provider=Microsoft.Mashup.OleDb.1;Data Source=$Workbook$;Location=&quot;Table_2352&quot;;Extended Properties=&quot;&quot;" commandType="0"/>
  </connection>
  <connection id="441" xr16:uid="{E65A21A2-9C1F-4EB2-9C4A-20DCD354FB80}" keepAlive="1" name="連線493" type="5" refreshedVersion="0" background="1">
    <dbPr connection="Provider=Microsoft.Mashup.OleDb.1;Data Source=$Workbook$;Location=&quot;Table_2353&quot;;Extended Properties=&quot;&quot;" commandType="0"/>
  </connection>
  <connection id="442" xr16:uid="{3B898DF1-348F-4AE7-9261-96379364BE65}" keepAlive="1" name="連線494" type="5" refreshedVersion="0" background="1">
    <dbPr connection="Provider=Microsoft.Mashup.OleDb.1;Data Source=$Workbook$;Location=&quot;Table_2354&quot;;Extended Properties=&quot;&quot;" commandType="0"/>
  </connection>
  <connection id="443" xr16:uid="{FDC26498-C189-4352-B346-6DE98CAFCA4F}" keepAlive="1" name="連線495" type="5" refreshedVersion="0" background="1">
    <dbPr connection="Provider=Microsoft.Mashup.OleDb.1;Data Source=$Workbook$;Location=&quot;Table_2355&quot;;Extended Properties=&quot;&quot;" commandType="0"/>
  </connection>
  <connection id="444" xr16:uid="{A627EC43-6559-49B0-8572-E60D1B92070D}" keepAlive="1" name="連線496" type="5" refreshedVersion="0" background="1">
    <dbPr connection="Provider=Microsoft.Mashup.OleDb.1;Data Source=$Workbook$;Location=&quot;Table_2356&quot;;Extended Properties=&quot;&quot;" commandType="0"/>
  </connection>
  <connection id="445" xr16:uid="{4D633A85-52FA-4D2B-A022-8A8598F3E347}" keepAlive="1" name="連線497" type="5" refreshedVersion="0" background="1">
    <dbPr connection="Provider=Microsoft.Mashup.OleDb.1;Data Source=$Workbook$;Location=&quot;Table_2357&quot;;Extended Properties=&quot;&quot;" commandType="0"/>
  </connection>
  <connection id="446" xr16:uid="{1D63C4BA-3D34-45EA-934D-DE14BB816A9C}" keepAlive="1" name="連線498" type="5" refreshedVersion="0" background="1">
    <dbPr connection="Provider=Microsoft.Mashup.OleDb.1;Data Source=$Workbook$;Location=&quot;Table_2358&quot;;Extended Properties=&quot;&quot;" commandType="0"/>
  </connection>
  <connection id="447" xr16:uid="{46C071AC-CCDE-4244-8892-C8DD1C6A63D8}" keepAlive="1" name="連線499" type="5" refreshedVersion="0" background="1">
    <dbPr connection="Provider=Microsoft.Mashup.OleDb.1;Data Source=$Workbook$;Location=&quot;Table_2359&quot;;Extended Properties=&quot;&quot;" commandType="0"/>
  </connection>
  <connection id="448" xr16:uid="{75C6F461-ED47-481A-BE8C-F90E5E2F96B2}" keepAlive="1" name="連線5" type="5" refreshedVersion="0" background="1">
    <dbPr connection="Provider=Microsoft.Mashup.OleDb.1;Data Source=$Workbook$;Location=&quot;Table_1108&quot;;Extended Properties=&quot;&quot;" commandType="0"/>
  </connection>
  <connection id="449" xr16:uid="{68B02C08-1F77-4171-9C14-7BA74A669D6D}" keepAlive="1" name="連線50" type="5" refreshedVersion="0" background="1">
    <dbPr connection="Provider=Microsoft.Mashup.OleDb.1;Data Source=$Workbook$;Location=&quot;Table_1325&quot;;Extended Properties=&quot;&quot;" commandType="0"/>
  </connection>
  <connection id="450" xr16:uid="{078606D0-73F2-4B0E-8F8D-6C74C80D6746}" keepAlive="1" name="連線500" type="5" refreshedVersion="0" background="1">
    <dbPr connection="Provider=Microsoft.Mashup.OleDb.1;Data Source=$Workbook$;Location=&quot;Table_2360&quot;;Extended Properties=&quot;&quot;" commandType="0"/>
  </connection>
  <connection id="451" xr16:uid="{7CD0BF91-8396-4807-ADD1-275D9071C282}" keepAlive="1" name="連線501" type="5" refreshedVersion="0" background="1">
    <dbPr connection="Provider=Microsoft.Mashup.OleDb.1;Data Source=$Workbook$;Location=&quot;Table_2362&quot;;Extended Properties=&quot;&quot;" commandType="0"/>
  </connection>
  <connection id="452" xr16:uid="{56626C15-1132-4E5C-A701-9ADE66BAA48B}" keepAlive="1" name="連線502" type="5" refreshedVersion="0" background="1">
    <dbPr connection="Provider=Microsoft.Mashup.OleDb.1;Data Source=$Workbook$;Location=&quot;Table_2363&quot;;Extended Properties=&quot;&quot;" commandType="0"/>
  </connection>
  <connection id="453" xr16:uid="{8B722CC2-BFF1-42BA-909A-A1D6FFAB816A}" keepAlive="1" name="連線503" type="5" refreshedVersion="0" background="1">
    <dbPr connection="Provider=Microsoft.Mashup.OleDb.1;Data Source=$Workbook$;Location=&quot;Table_2364&quot;;Extended Properties=&quot;&quot;" commandType="0"/>
  </connection>
  <connection id="454" xr16:uid="{0F9A23D8-427D-49AA-9FBE-28473F040FAD}" keepAlive="1" name="連線504" type="5" refreshedVersion="0" background="1">
    <dbPr connection="Provider=Microsoft.Mashup.OleDb.1;Data Source=$Workbook$;Location=&quot;Table_2365&quot;;Extended Properties=&quot;&quot;" commandType="0"/>
  </connection>
  <connection id="455" xr16:uid="{3D78760F-64D8-471B-B7CC-AE9BFE5BD21F}" keepAlive="1" name="連線505" type="5" refreshedVersion="0" background="1">
    <dbPr connection="Provider=Microsoft.Mashup.OleDb.1;Data Source=$Workbook$;Location=&quot;Table_2367&quot;;Extended Properties=&quot;&quot;" commandType="0"/>
  </connection>
  <connection id="456" xr16:uid="{BE69D7DD-17D4-4055-AA37-9F422725EA3B}" keepAlive="1" name="連線506" type="5" refreshedVersion="0" background="1">
    <dbPr connection="Provider=Microsoft.Mashup.OleDb.1;Data Source=$Workbook$;Location=&quot;Table_2368&quot;;Extended Properties=&quot;&quot;" commandType="0"/>
  </connection>
  <connection id="457" xr16:uid="{EE62FACF-CE62-4C7E-A7DB-727A29B5B8EE}" keepAlive="1" name="連線507" type="5" refreshedVersion="0" background="1">
    <dbPr connection="Provider=Microsoft.Mashup.OleDb.1;Data Source=$Workbook$;Location=&quot;Table_2369&quot;;Extended Properties=&quot;&quot;" commandType="0"/>
  </connection>
  <connection id="458" xr16:uid="{9B7A4EA7-C735-4517-801B-61CC6694884C}" keepAlive="1" name="連線508" type="5" refreshedVersion="0" background="1">
    <dbPr connection="Provider=Microsoft.Mashup.OleDb.1;Data Source=$Workbook$;Location=&quot;Table_2371&quot;;Extended Properties=&quot;&quot;" commandType="0"/>
  </connection>
  <connection id="459" xr16:uid="{65AE4B56-0CD7-4CA3-BF73-849C30C537C8}" keepAlive="1" name="連線509" type="5" refreshedVersion="0" background="1">
    <dbPr connection="Provider=Microsoft.Mashup.OleDb.1;Data Source=$Workbook$;Location=&quot;Table_2373&quot;;Extended Properties=&quot;&quot;" commandType="0"/>
  </connection>
  <connection id="460" xr16:uid="{E364FCE0-3BF3-4F6A-8799-3E16A5804A95}" keepAlive="1" name="連線51" type="5" refreshedVersion="0" background="1">
    <dbPr connection="Provider=Microsoft.Mashup.OleDb.1;Data Source=$Workbook$;Location=&quot;Table_1326&quot;;Extended Properties=&quot;&quot;" commandType="0"/>
  </connection>
  <connection id="461" xr16:uid="{3CC24C80-BBC4-44D8-B8EF-838709205EE7}" keepAlive="1" name="連線510" type="5" refreshedVersion="0" background="1">
    <dbPr connection="Provider=Microsoft.Mashup.OleDb.1;Data Source=$Workbook$;Location=&quot;Table_2374&quot;;Extended Properties=&quot;&quot;" commandType="0"/>
  </connection>
  <connection id="462" xr16:uid="{EAC951DD-4AF4-4907-8EB2-581785F12097}" keepAlive="1" name="連線511" type="5" refreshedVersion="0" background="1">
    <dbPr connection="Provider=Microsoft.Mashup.OleDb.1;Data Source=$Workbook$;Location=&quot;Table_2375&quot;;Extended Properties=&quot;&quot;" commandType="0"/>
  </connection>
  <connection id="463" xr16:uid="{7C16F9B6-A060-4F6E-A11A-0EA592EF029C}" keepAlive="1" name="連線512" type="5" refreshedVersion="0" background="1">
    <dbPr connection="Provider=Microsoft.Mashup.OleDb.1;Data Source=$Workbook$;Location=&quot;Table_2376&quot;;Extended Properties=&quot;&quot;" commandType="0"/>
  </connection>
  <connection id="464" xr16:uid="{4D1027E8-59BC-4301-890D-674E6AA0D3FF}" keepAlive="1" name="連線513" type="5" refreshedVersion="0" background="1">
    <dbPr connection="Provider=Microsoft.Mashup.OleDb.1;Data Source=$Workbook$;Location=&quot;Table_2377&quot;;Extended Properties=&quot;&quot;" commandType="0"/>
  </connection>
  <connection id="465" xr16:uid="{8C45A259-1C54-4066-84E1-7F01EB33FB57}" keepAlive="1" name="連線514" type="5" refreshedVersion="0" background="1">
    <dbPr connection="Provider=Microsoft.Mashup.OleDb.1;Data Source=$Workbook$;Location=&quot;Table_2379&quot;;Extended Properties=&quot;&quot;" commandType="0"/>
  </connection>
  <connection id="466" xr16:uid="{CF2CFDEB-41BA-4F44-B9C6-3D26265B7C69}" keepAlive="1" name="連線515" type="5" refreshedVersion="0" background="1">
    <dbPr connection="Provider=Microsoft.Mashup.OleDb.1;Data Source=$Workbook$;Location=&quot;Table_2380&quot;;Extended Properties=&quot;&quot;" commandType="0"/>
  </connection>
  <connection id="467" xr16:uid="{43B5C487-57A7-4B00-AFCF-D8DF13EB754A}" keepAlive="1" name="連線516" type="5" refreshedVersion="0" background="1">
    <dbPr connection="Provider=Microsoft.Mashup.OleDb.1;Data Source=$Workbook$;Location=&quot;Table_2382&quot;;Extended Properties=&quot;&quot;" commandType="0"/>
  </connection>
  <connection id="468" xr16:uid="{A671180C-09BD-46DA-BBE2-2F5D252D3E2D}" keepAlive="1" name="連線517" type="5" refreshedVersion="0" background="1">
    <dbPr connection="Provider=Microsoft.Mashup.OleDb.1;Data Source=$Workbook$;Location=&quot;Table_1101&quot;;Extended Properties=&quot;&quot;" commandType="0"/>
  </connection>
  <connection id="469" xr16:uid="{1741E2DB-8491-43C9-A77D-2D42E57331A5}" keepAlive="1" name="連線518" type="5" refreshedVersion="0" background="1">
    <dbPr connection="Provider=Microsoft.Mashup.OleDb.1;Data Source=$Workbook$;Location=&quot;Table_1102&quot;;Extended Properties=&quot;&quot;" commandType="0"/>
  </connection>
  <connection id="470" xr16:uid="{11A323D6-F473-43DA-9727-01B1B04BBD40}" keepAlive="1" name="連線519" type="5" refreshedVersion="0" background="1">
    <dbPr connection="Provider=Microsoft.Mashup.OleDb.1;Data Source=$Workbook$;Location=&quot;Table_1103&quot;;Extended Properties=&quot;&quot;" commandType="0"/>
  </connection>
  <connection id="471" xr16:uid="{2F1CDA0F-D8F0-48DB-917A-E949DF0625D9}" keepAlive="1" name="連線52" type="5" refreshedVersion="0" background="1">
    <dbPr connection="Provider=Microsoft.Mashup.OleDb.1;Data Source=$Workbook$;Location=&quot;Table_1336&quot;;Extended Properties=&quot;&quot;" commandType="0"/>
  </connection>
  <connection id="472" xr16:uid="{2BF0C890-5C63-4547-9943-2B46E8EE672F}" keepAlive="1" name="連線520" type="5" refreshedVersion="0" background="1">
    <dbPr connection="Provider=Microsoft.Mashup.OleDb.1;Data Source=$Workbook$;Location=&quot;Table_1104&quot;;Extended Properties=&quot;&quot;" commandType="0"/>
  </connection>
  <connection id="473" xr16:uid="{01366B42-644E-413D-8147-97D3AB6FDAE4}" keepAlive="1" name="連線521" type="5" refreshedVersion="0" background="1">
    <dbPr connection="Provider=Microsoft.Mashup.OleDb.1;Data Source=$Workbook$;Location=&quot;Fetch_EPS_1101&quot;;Extended Properties=&quot;&quot;" commandType="0"/>
  </connection>
  <connection id="474" xr16:uid="{DDA35C7F-0E57-4D13-88B0-D3E32A3E1B4B}" keepAlive="1" name="連線522" type="5" refreshedVersion="0" background="1">
    <dbPr connection="Provider=Microsoft.Mashup.OleDb.1;Data Source=$Workbook$;Location=&quot;Fetch_EPS_1101&quot;;Extended Properties=&quot;&quot;" commandType="0"/>
  </connection>
  <connection id="475" xr16:uid="{4A7BBB11-1E26-4C98-A2C6-24C7BAD5A982}" keepAlive="1" name="連線523" type="5" refreshedVersion="0" background="1">
    <dbPr connection="Provider=Microsoft.Mashup.OleDb.1;Data Source=$Workbook$;Location=&quot;Fetch_EPS_1101&quot;;Extended Properties=&quot;&quot;" commandType="0"/>
  </connection>
  <connection id="476" xr16:uid="{CBED7CE0-AD0B-4E78-B1C6-D32E7DC45EC7}" keepAlive="1" name="連線524" type="5" refreshedVersion="0" background="1">
    <dbPr connection="Provider=Microsoft.Mashup.OleDb.1;Data Source=$Workbook$;Location=&quot;Fetch_EPS_1102&quot;;Extended Properties=&quot;&quot;" commandType="0"/>
  </connection>
  <connection id="477" xr16:uid="{0F96B544-BB61-441D-A75F-D17A530D8B0A}" keepAlive="1" name="連線525" type="5" refreshedVersion="0" background="1">
    <dbPr connection="Provider=Microsoft.Mashup.OleDb.1;Data Source=$Workbook$;Location=&quot;Fetch_EPS_1103&quot;;Extended Properties=&quot;&quot;" commandType="0"/>
  </connection>
  <connection id="478" xr16:uid="{1E69F57E-26C4-4163-BA8B-07A25E36523B}" keepAlive="1" name="連線526" type="5" refreshedVersion="0" background="1">
    <dbPr connection="Provider=Microsoft.Mashup.OleDb.1;Data Source=$Workbook$;Location=&quot;Fetch_EPS_1104&quot;;Extended Properties=&quot;&quot;" commandType="0"/>
  </connection>
  <connection id="479" xr16:uid="{2412FBA9-C717-48B5-AA78-CF3D05036F07}" keepAlive="1" name="連線527" type="5" refreshedVersion="0" background="1">
    <dbPr connection="Provider=Microsoft.Mashup.OleDb.1;Data Source=$Workbook$;Location=&quot;Fetch_EPS_1108&quot;;Extended Properties=&quot;&quot;" commandType="0"/>
  </connection>
  <connection id="480" xr16:uid="{81AB308F-62D8-4C6B-90FE-AF09AE1F517D}" keepAlive="1" name="連線528" type="5" refreshedVersion="0" background="1">
    <dbPr connection="Provider=Microsoft.Mashup.OleDb.1;Data Source=$Workbook$;Location=&quot;Fetch_EPS_1109&quot;;Extended Properties=&quot;&quot;" commandType="0"/>
  </connection>
  <connection id="481" xr16:uid="{A874F352-A42A-46D5-8131-F47946F7504F}" keepAlive="1" name="連線529" type="5" refreshedVersion="0" background="1">
    <dbPr connection="Provider=Microsoft.Mashup.OleDb.1;Data Source=$Workbook$;Location=&quot;Fetch_EPS_1110&quot;;Extended Properties=&quot;&quot;" commandType="0"/>
  </connection>
  <connection id="482" xr16:uid="{A80BF6E3-97CB-48D9-A4AD-9D2284DEECBE}" keepAlive="1" name="連線53" type="5" refreshedVersion="0" background="1">
    <dbPr connection="Provider=Microsoft.Mashup.OleDb.1;Data Source=$Workbook$;Location=&quot;Table_1337&quot;;Extended Properties=&quot;&quot;" commandType="0"/>
  </connection>
  <connection id="483" xr16:uid="{490A9E96-F711-4F77-BFBF-7162DD424632}" keepAlive="1" name="連線530" type="5" refreshedVersion="0" background="1">
    <dbPr connection="Provider=Microsoft.Mashup.OleDb.1;Data Source=$Workbook$;Location=&quot;Fetch_EPS_1201&quot;;Extended Properties=&quot;&quot;" commandType="0"/>
  </connection>
  <connection id="484" xr16:uid="{93042806-9307-46B9-B2CD-5ED70529A763}" keepAlive="1" name="連線531" type="5" refreshedVersion="0" background="1">
    <dbPr connection="Provider=Microsoft.Mashup.OleDb.1;Data Source=$Workbook$;Location=&quot;Fetch_EPS_1203&quot;;Extended Properties=&quot;&quot;" commandType="0"/>
  </connection>
  <connection id="485" xr16:uid="{D46A1881-B239-46E8-B2C6-1A9B783683BB}" keepAlive="1" name="連線532" type="5" refreshedVersion="0" background="1">
    <dbPr connection="Provider=Microsoft.Mashup.OleDb.1;Data Source=$Workbook$;Location=&quot;Fetch_EPS_1210&quot;;Extended Properties=&quot;&quot;" commandType="0"/>
  </connection>
  <connection id="486" xr16:uid="{5F55DE9E-589F-41E4-B973-0D8F0513B7F2}" keepAlive="1" name="連線533" type="5" refreshedVersion="0" background="1">
    <dbPr connection="Provider=Microsoft.Mashup.OleDb.1;Data Source=$Workbook$;Location=&quot;Fetch_EPS_1213&quot;;Extended Properties=&quot;&quot;" commandType="0"/>
  </connection>
  <connection id="487" xr16:uid="{8B7FE5B7-579C-4D64-9A7B-F480EC53EE9A}" keepAlive="1" name="連線534" type="5" refreshedVersion="0" background="1">
    <dbPr connection="Provider=Microsoft.Mashup.OleDb.1;Data Source=$Workbook$;Location=&quot;Fetch_EPS_1215&quot;;Extended Properties=&quot;&quot;" commandType="0"/>
  </connection>
  <connection id="488" xr16:uid="{10B5B764-565A-464F-B849-81B799D8174D}" keepAlive="1" name="連線535" type="5" refreshedVersion="0" background="1">
    <dbPr connection="Provider=Microsoft.Mashup.OleDb.1;Data Source=$Workbook$;Location=&quot;Fetch_EPS_1216&quot;;Extended Properties=&quot;&quot;" commandType="0"/>
  </connection>
  <connection id="489" xr16:uid="{D05747B1-D05C-45FC-BCE0-4685E00B1FDA}" keepAlive="1" name="連線536" type="5" refreshedVersion="0" background="1">
    <dbPr connection="Provider=Microsoft.Mashup.OleDb.1;Data Source=$Workbook$;Location=&quot;Fetch_EPS_1217&quot;;Extended Properties=&quot;&quot;" commandType="0"/>
  </connection>
  <connection id="490" xr16:uid="{0DA2FD3F-1EAE-455D-9185-F0FC31380645}" keepAlive="1" name="連線537" type="5" refreshedVersion="0" background="1">
    <dbPr connection="Provider=Microsoft.Mashup.OleDb.1;Data Source=$Workbook$;Location=&quot;Fetch_EPS_1218&quot;;Extended Properties=&quot;&quot;" commandType="0"/>
  </connection>
  <connection id="491" xr16:uid="{3A09E867-A9A9-4167-A15F-5518EE94099B}" keepAlive="1" name="連線538" type="5" refreshedVersion="0" background="1">
    <dbPr connection="Provider=Microsoft.Mashup.OleDb.1;Data Source=$Workbook$;Location=&quot;Fetch_EPS_1219&quot;;Extended Properties=&quot;&quot;" commandType="0"/>
  </connection>
  <connection id="492" xr16:uid="{59ED8479-45F6-492D-92FC-BD63D256FBA1}" keepAlive="1" name="連線539" type="5" refreshedVersion="0" background="1">
    <dbPr connection="Provider=Microsoft.Mashup.OleDb.1;Data Source=$Workbook$;Location=&quot;Fetch_EPS_1220&quot;;Extended Properties=&quot;&quot;" commandType="0"/>
  </connection>
  <connection id="493" xr16:uid="{8DD7C127-15A3-48FA-BE22-83677534246E}" keepAlive="1" name="連線54" type="5" refreshedVersion="0" background="1">
    <dbPr connection="Provider=Microsoft.Mashup.OleDb.1;Data Source=$Workbook$;Location=&quot;Table_1338&quot;;Extended Properties=&quot;&quot;" commandType="0"/>
  </connection>
  <connection id="494" xr16:uid="{777D0680-0B34-4000-90F6-360F9639F0AB}" keepAlive="1" name="連線540" type="5" refreshedVersion="0" background="1">
    <dbPr connection="Provider=Microsoft.Mashup.OleDb.1;Data Source=$Workbook$;Location=&quot;Fetch_EPS_1225&quot;;Extended Properties=&quot;&quot;" commandType="0"/>
  </connection>
  <connection id="495" xr16:uid="{D0FE23F3-36B6-4589-9709-DE5B417ED9C6}" keepAlive="1" name="連線541" type="5" refreshedVersion="0" background="1">
    <dbPr connection="Provider=Microsoft.Mashup.OleDb.1;Data Source=$Workbook$;Location=&quot;Fetch_EPS_1227&quot;;Extended Properties=&quot;&quot;" commandType="0"/>
  </connection>
  <connection id="496" xr16:uid="{0DDAFC62-A623-4318-AF1A-714059CEBA7B}" keepAlive="1" name="連線542" type="5" refreshedVersion="0" background="1">
    <dbPr connection="Provider=Microsoft.Mashup.OleDb.1;Data Source=$Workbook$;Location=&quot;Fetch_EPS_1229&quot;;Extended Properties=&quot;&quot;" commandType="0"/>
  </connection>
  <connection id="497" xr16:uid="{C07195F3-5C15-40B1-B5BB-204F310E58B0}" keepAlive="1" name="連線543" type="5" refreshedVersion="0" background="1">
    <dbPr connection="Provider=Microsoft.Mashup.OleDb.1;Data Source=$Workbook$;Location=&quot;Fetch_EPS_1231&quot;;Extended Properties=&quot;&quot;" commandType="0"/>
  </connection>
  <connection id="498" xr16:uid="{679F207A-5A50-4849-858D-4714174B5E89}" keepAlive="1" name="連線544" type="5" refreshedVersion="0" background="1">
    <dbPr connection="Provider=Microsoft.Mashup.OleDb.1;Data Source=$Workbook$;Location=&quot;Fetch_EPS_1232&quot;;Extended Properties=&quot;&quot;" commandType="0"/>
  </connection>
  <connection id="499" xr16:uid="{424BA1E0-BC3F-4299-9131-8F7CE786CB08}" keepAlive="1" name="連線545" type="5" refreshedVersion="0" background="1">
    <dbPr connection="Provider=Microsoft.Mashup.OleDb.1;Data Source=$Workbook$;Location=&quot;Fetch_EPS_1233&quot;;Extended Properties=&quot;&quot;" commandType="0"/>
  </connection>
  <connection id="500" xr16:uid="{43BA14CF-2030-4F0E-8268-BA92390D69A5}" keepAlive="1" name="連線546" type="5" refreshedVersion="0" background="1">
    <dbPr connection="Provider=Microsoft.Mashup.OleDb.1;Data Source=$Workbook$;Location=&quot;Fetch_EPS_1234&quot;;Extended Properties=&quot;&quot;" commandType="0"/>
  </connection>
  <connection id="501" xr16:uid="{7535E70B-F969-4DCD-93AE-607833EB1673}" keepAlive="1" name="連線547" type="5" refreshedVersion="0" background="1">
    <dbPr connection="Provider=Microsoft.Mashup.OleDb.1;Data Source=$Workbook$;Location=&quot;Fetch_EPS_1235&quot;;Extended Properties=&quot;&quot;" commandType="0"/>
  </connection>
  <connection id="502" xr16:uid="{64F2CAC2-4E62-4D0E-867C-FC0C6BA02028}" keepAlive="1" name="連線548" type="5" refreshedVersion="0" background="1">
    <dbPr connection="Provider=Microsoft.Mashup.OleDb.1;Data Source=$Workbook$;Location=&quot;Fetch_EPS_1236&quot;;Extended Properties=&quot;&quot;" commandType="0"/>
  </connection>
  <connection id="503" xr16:uid="{70793E25-01D4-4133-94BB-B3F31E267269}" keepAlive="1" name="連線549" type="5" refreshedVersion="0" background="1">
    <dbPr connection="Provider=Microsoft.Mashup.OleDb.1;Data Source=$Workbook$;Location=&quot;Fetch_EPS_1101&quot;;Extended Properties=&quot;&quot;" commandType="0"/>
  </connection>
  <connection id="504" xr16:uid="{4B289F9F-A820-4498-868C-9DC2B05C3F0D}" keepAlive="1" name="連線55" type="5" refreshedVersion="0" background="1">
    <dbPr connection="Provider=Microsoft.Mashup.OleDb.1;Data Source=$Workbook$;Location=&quot;Table_1339&quot;;Extended Properties=&quot;&quot;" commandType="0"/>
  </connection>
  <connection id="505" xr16:uid="{2A700426-E895-45B9-9219-1494B21E1A19}" keepAlive="1" name="連線550" type="5" refreshedVersion="0" background="1">
    <dbPr connection="Provider=Microsoft.Mashup.OleDb.1;Data Source=$Workbook$;Location=&quot;Fetch_EPS_1102&quot;;Extended Properties=&quot;&quot;" commandType="0"/>
  </connection>
  <connection id="506" xr16:uid="{2577B311-F502-42A3-8450-1BDF50C5E127}" keepAlive="1" name="連線551" type="5" refreshedVersion="0" background="1">
    <dbPr connection="Provider=Microsoft.Mashup.OleDb.1;Data Source=$Workbook$;Location=&quot;Fetch_EPS_1103&quot;;Extended Properties=&quot;&quot;" commandType="0"/>
  </connection>
  <connection id="507" xr16:uid="{157310CE-C2DE-4C25-941F-316D939E5506}" keepAlive="1" name="連線552" type="5" refreshedVersion="0" background="1">
    <dbPr connection="Provider=Microsoft.Mashup.OleDb.1;Data Source=$Workbook$;Location=&quot;Fetch_EPS_1104&quot;;Extended Properties=&quot;&quot;" commandType="0"/>
  </connection>
  <connection id="508" xr16:uid="{2E451F01-FF23-45AC-9A4D-E165285D83B3}" keepAlive="1" name="連線553" type="5" refreshedVersion="0" background="1">
    <dbPr connection="Provider=Microsoft.Mashup.OleDb.1;Data Source=$Workbook$;Location=&quot;Fetch_EPS_1101&quot;;Extended Properties=&quot;&quot;" commandType="0"/>
  </connection>
  <connection id="509" xr16:uid="{B3D2529D-99EF-4008-A154-2E41547B1039}" keepAlive="1" name="連線554" type="5" refreshedVersion="0" background="1">
    <dbPr connection="Provider=Microsoft.Mashup.OleDb.1;Data Source=$Workbook$;Location=&quot;Fetch_EPS_1102&quot;;Extended Properties=&quot;&quot;" commandType="0"/>
  </connection>
  <connection id="510" xr16:uid="{E6898274-7C8A-4A51-99B5-1115D60F3308}" keepAlive="1" name="連線555" type="5" refreshedVersion="0" background="1">
    <dbPr connection="Provider=Microsoft.Mashup.OleDb.1;Data Source=$Workbook$;Location=&quot;Fetch_EPS_1103&quot;;Extended Properties=&quot;&quot;" commandType="0"/>
  </connection>
  <connection id="511" xr16:uid="{F227A83C-A595-4265-88C4-DD341D5AD079}" keepAlive="1" name="連線556" type="5" refreshedVersion="0" background="1">
    <dbPr connection="Provider=Microsoft.Mashup.OleDb.1;Data Source=$Workbook$;Location=&quot;Fetch_EPS_1104&quot;;Extended Properties=&quot;&quot;" commandType="0"/>
  </connection>
  <connection id="512" xr16:uid="{EE35F462-A5F6-4FDF-9AAF-C321854EFCCC}" keepAlive="1" name="連線557" type="5" refreshedVersion="0" background="1">
    <dbPr connection="Provider=Microsoft.Mashup.OleDb.1;Data Source=$Workbook$;Location=&quot;Fetch_EPS_1108&quot;;Extended Properties=&quot;&quot;" commandType="0"/>
  </connection>
  <connection id="513" xr16:uid="{3FBED5F0-CC2B-4049-91B7-B3CC1847F5BD}" keepAlive="1" name="連線558" type="5" refreshedVersion="0" background="1">
    <dbPr connection="Provider=Microsoft.Mashup.OleDb.1;Data Source=$Workbook$;Location=&quot;Fetch_EPS_1109&quot;;Extended Properties=&quot;&quot;" commandType="0"/>
  </connection>
  <connection id="514" xr16:uid="{00893821-374A-4C07-A986-87869B171346}" keepAlive="1" name="連線559" type="5" refreshedVersion="0" background="1">
    <dbPr connection="Provider=Microsoft.Mashup.OleDb.1;Data Source=$Workbook$;Location=&quot;Fetch_EPS_1110&quot;;Extended Properties=&quot;&quot;" commandType="0"/>
  </connection>
  <connection id="515" xr16:uid="{85E1F5C5-17DC-4112-A325-DDB57BAFB7C4}" keepAlive="1" name="連線56" type="5" refreshedVersion="0" background="1">
    <dbPr connection="Provider=Microsoft.Mashup.OleDb.1;Data Source=$Workbook$;Location=&quot;Table_1340&quot;;Extended Properties=&quot;&quot;" commandType="0"/>
  </connection>
  <connection id="516" xr16:uid="{BB242D5B-11EA-4D15-92A8-C04F0208DAAB}" keepAlive="1" name="連線560" type="5" refreshedVersion="0" background="1">
    <dbPr connection="Provider=Microsoft.Mashup.OleDb.1;Data Source=$Workbook$;Location=&quot;Fetch_EPS_1201&quot;;Extended Properties=&quot;&quot;" commandType="0"/>
  </connection>
  <connection id="517" xr16:uid="{7F60F42F-8460-497A-B2B6-67687B2EE5D7}" keepAlive="1" name="連線561" type="5" refreshedVersion="0" background="1">
    <dbPr connection="Provider=Microsoft.Mashup.OleDb.1;Data Source=$Workbook$;Location=&quot;Fetch_EPS_1203&quot;;Extended Properties=&quot;&quot;" commandType="0"/>
  </connection>
  <connection id="518" xr16:uid="{370F7E97-FE95-4A29-BA88-972D136FF9A2}" keepAlive="1" name="連線562" type="5" refreshedVersion="0" background="1">
    <dbPr connection="Provider=Microsoft.Mashup.OleDb.1;Data Source=$Workbook$;Location=&quot;Fetch_EPS_1210&quot;;Extended Properties=&quot;&quot;" commandType="0"/>
  </connection>
  <connection id="519" xr16:uid="{0DF6BCB8-F71B-42BF-A9EB-8607F82E6371}" keepAlive="1" name="連線563" type="5" refreshedVersion="0" background="1">
    <dbPr connection="Provider=Microsoft.Mashup.OleDb.1;Data Source=$Workbook$;Location=&quot;Fetch_EPS_1213&quot;;Extended Properties=&quot;&quot;" commandType="0"/>
  </connection>
  <connection id="520" xr16:uid="{4220DBF7-8F5A-4954-880A-EB9F3631FED3}" keepAlive="1" name="連線564" type="5" refreshedVersion="0" background="1">
    <dbPr connection="Provider=Microsoft.Mashup.OleDb.1;Data Source=$Workbook$;Location=&quot;Fetch_EPS_1215&quot;;Extended Properties=&quot;&quot;" commandType="0"/>
  </connection>
  <connection id="521" xr16:uid="{19538216-C302-4A9E-8368-15FBE54E9D29}" keepAlive="1" name="連線565" type="5" refreshedVersion="0" background="1">
    <dbPr connection="Provider=Microsoft.Mashup.OleDb.1;Data Source=$Workbook$;Location=&quot;Fetch_EPS_1216&quot;;Extended Properties=&quot;&quot;" commandType="0"/>
  </connection>
  <connection id="522" xr16:uid="{91D3F88E-14C2-42B2-8140-0CF90B3DD8D0}" keepAlive="1" name="連線566" type="5" refreshedVersion="0" background="1">
    <dbPr connection="Provider=Microsoft.Mashup.OleDb.1;Data Source=$Workbook$;Location=&quot;Fetch_EPS_1217&quot;;Extended Properties=&quot;&quot;" commandType="0"/>
  </connection>
  <connection id="523" xr16:uid="{1C5A692B-8749-4E0C-8FA0-30F41629F55C}" keepAlive="1" name="連線567" type="5" refreshedVersion="0" background="1">
    <dbPr connection="Provider=Microsoft.Mashup.OleDb.1;Data Source=$Workbook$;Location=&quot;Fetch_EPS_1218&quot;;Extended Properties=&quot;&quot;" commandType="0"/>
  </connection>
  <connection id="524" xr16:uid="{ED6524A1-0CBF-4A18-9BE2-5BFA8ED4A99D}" keepAlive="1" name="連線568" type="5" refreshedVersion="0" background="1">
    <dbPr connection="Provider=Microsoft.Mashup.OleDb.1;Data Source=$Workbook$;Location=&quot;Fetch_EPS_1219&quot;;Extended Properties=&quot;&quot;" commandType="0"/>
  </connection>
  <connection id="525" xr16:uid="{3C8FEAF5-F86E-4D88-9FE3-5C61A2EC4D2B}" keepAlive="1" name="連線569" type="5" refreshedVersion="0" background="1">
    <dbPr connection="Provider=Microsoft.Mashup.OleDb.1;Data Source=$Workbook$;Location=&quot;Fetch_EPS_1220&quot;;Extended Properties=&quot;&quot;" commandType="0"/>
  </connection>
  <connection id="526" xr16:uid="{2D45CD2E-FD92-43DC-89CC-F89391D8E700}" keepAlive="1" name="連線57" type="5" refreshedVersion="0" background="1">
    <dbPr connection="Provider=Microsoft.Mashup.OleDb.1;Data Source=$Workbook$;Location=&quot;Table_1341&quot;;Extended Properties=&quot;&quot;" commandType="0"/>
  </connection>
  <connection id="527" xr16:uid="{9744E3CE-B706-4EF2-B578-D5A621E874C5}" keepAlive="1" name="連線570" type="5" refreshedVersion="0" background="1">
    <dbPr connection="Provider=Microsoft.Mashup.OleDb.1;Data Source=$Workbook$;Location=&quot;Fetch_EPS_1225&quot;;Extended Properties=&quot;&quot;" commandType="0"/>
  </connection>
  <connection id="528" xr16:uid="{CCFA55C1-8248-42E2-817E-31B4F2036E45}" keepAlive="1" name="連線571" type="5" refreshedVersion="0" background="1">
    <dbPr connection="Provider=Microsoft.Mashup.OleDb.1;Data Source=$Workbook$;Location=&quot;Fetch_EPS_1227&quot;;Extended Properties=&quot;&quot;" commandType="0"/>
  </connection>
  <connection id="529" xr16:uid="{C2C26817-C2C6-4E35-B46E-09963049FB92}" keepAlive="1" name="連線572" type="5" refreshedVersion="0" background="1">
    <dbPr connection="Provider=Microsoft.Mashup.OleDb.1;Data Source=$Workbook$;Location=&quot;Fetch_EPS_1229&quot;;Extended Properties=&quot;&quot;" commandType="0"/>
  </connection>
  <connection id="530" xr16:uid="{94E9E9BC-02FC-4A47-8747-EC9BA92B405D}" keepAlive="1" name="連線573" type="5" refreshedVersion="0" background="1">
    <dbPr connection="Provider=Microsoft.Mashup.OleDb.1;Data Source=$Workbook$;Location=&quot;Fetch_EPS_1231&quot;;Extended Properties=&quot;&quot;" commandType="0"/>
  </connection>
  <connection id="531" xr16:uid="{F049DE61-F387-406C-B71D-AF04DDC7458C}" keepAlive="1" name="連線574" type="5" refreshedVersion="0" background="1">
    <dbPr connection="Provider=Microsoft.Mashup.OleDb.1;Data Source=$Workbook$;Location=&quot;Fetch_EPS_1232&quot;;Extended Properties=&quot;&quot;" commandType="0"/>
  </connection>
  <connection id="532" xr16:uid="{30E192C8-DF39-4402-A47B-0A013A2FD848}" keepAlive="1" name="連線575" type="5" refreshedVersion="0" background="1">
    <dbPr connection="Provider=Microsoft.Mashup.OleDb.1;Data Source=$Workbook$;Location=&quot;Fetch_EPS_1233&quot;;Extended Properties=&quot;&quot;" commandType="0"/>
  </connection>
  <connection id="533" xr16:uid="{4E78742D-B566-4F31-9DBA-FAA764AD0A02}" keepAlive="1" name="連線576" type="5" refreshedVersion="0" background="1">
    <dbPr connection="Provider=Microsoft.Mashup.OleDb.1;Data Source=$Workbook$;Location=&quot;Fetch_EPS_1234&quot;;Extended Properties=&quot;&quot;" commandType="0"/>
  </connection>
  <connection id="534" xr16:uid="{DBA33613-73AB-4F29-AFB3-366B9109AB55}" keepAlive="1" name="連線577" type="5" refreshedVersion="0" background="1">
    <dbPr connection="Provider=Microsoft.Mashup.OleDb.1;Data Source=$Workbook$;Location=&quot;Fetch_EPS_1235&quot;;Extended Properties=&quot;&quot;" commandType="0"/>
  </connection>
  <connection id="535" xr16:uid="{2042182F-8829-4D3F-A8F1-200F1726D93E}" keepAlive="1" name="連線578" type="5" refreshedVersion="0" background="1">
    <dbPr connection="Provider=Microsoft.Mashup.OleDb.1;Data Source=$Workbook$;Location=&quot;Fetch_EPS_1236&quot;;Extended Properties=&quot;&quot;" commandType="0"/>
  </connection>
  <connection id="536" xr16:uid="{CB3964EA-9AA4-4C93-9D97-58F0945D26A8}" keepAlive="1" name="連線579" type="5" refreshedVersion="0" background="1">
    <dbPr connection="Provider=Microsoft.Mashup.OleDb.1;Data Source=$Workbook$;Location=&quot;Fetch_EPS_1240&quot;;Extended Properties=&quot;&quot;" commandType="0"/>
  </connection>
  <connection id="537" xr16:uid="{FEEDAC30-FB43-4D75-97B9-D17E3F5867A7}" keepAlive="1" name="連線58" type="5" refreshedVersion="0" background="1">
    <dbPr connection="Provider=Microsoft.Mashup.OleDb.1;Data Source=$Workbook$;Location=&quot;Table_1342&quot;;Extended Properties=&quot;&quot;" commandType="0"/>
  </connection>
  <connection id="538" xr16:uid="{55BF225C-B76A-4C24-A05B-D2F69CBCAD4A}" keepAlive="1" name="連線580" type="5" refreshedVersion="0" background="1">
    <dbPr connection="Provider=Microsoft.Mashup.OleDb.1;Data Source=$Workbook$;Location=&quot;Fetch_EPS_1256&quot;;Extended Properties=&quot;&quot;" commandType="0"/>
  </connection>
  <connection id="539" xr16:uid="{8ADEEFF2-1451-42B3-B331-E5C47A422DAC}" keepAlive="1" name="連線581" type="5" refreshedVersion="0" background="1">
    <dbPr connection="Provider=Microsoft.Mashup.OleDb.1;Data Source=$Workbook$;Location=&quot;Fetch_EPS_1258&quot;;Extended Properties=&quot;&quot;" commandType="0"/>
  </connection>
  <connection id="540" xr16:uid="{A1002318-4FA5-4A7A-B7E1-2B9F4DC3621F}" keepAlive="1" name="連線582" type="5" refreshedVersion="0" background="1">
    <dbPr connection="Provider=Microsoft.Mashup.OleDb.1;Data Source=$Workbook$;Location=&quot;Fetch_EPS_1259&quot;;Extended Properties=&quot;&quot;" commandType="0"/>
  </connection>
  <connection id="541" xr16:uid="{37D94851-D3BE-496A-97AD-F37F36289884}" keepAlive="1" name="連線583" type="5" refreshedVersion="0" background="1">
    <dbPr connection="Provider=Microsoft.Mashup.OleDb.1;Data Source=$Workbook$;Location=&quot;Fetch_EPS_1264&quot;;Extended Properties=&quot;&quot;" commandType="0"/>
  </connection>
  <connection id="542" xr16:uid="{FA2D5D23-49FA-4AEF-A1EE-53025342D50A}" keepAlive="1" name="連線584" type="5" refreshedVersion="0" background="1">
    <dbPr connection="Provider=Microsoft.Mashup.OleDb.1;Data Source=$Workbook$;Location=&quot;Fetch_EPS_1268&quot;;Extended Properties=&quot;&quot;" commandType="0"/>
  </connection>
  <connection id="543" xr16:uid="{5169CFF1-4FF2-4B33-BE70-887E3D88D3FC}" keepAlive="1" name="連線585" type="5" refreshedVersion="0" background="1">
    <dbPr connection="Provider=Microsoft.Mashup.OleDb.1;Data Source=$Workbook$;Location=&quot;Fetch_EPS_1301&quot;;Extended Properties=&quot;&quot;" commandType="0"/>
  </connection>
  <connection id="544" xr16:uid="{FE0830B1-3527-4C2A-BC64-DA7CE3D6BE9B}" keepAlive="1" name="連線586" type="5" refreshedVersion="0" background="1">
    <dbPr connection="Provider=Microsoft.Mashup.OleDb.1;Data Source=$Workbook$;Location=&quot;Fetch_EPS_1303&quot;;Extended Properties=&quot;&quot;" commandType="0"/>
  </connection>
  <connection id="545" xr16:uid="{1718FFC2-79C5-4369-B436-D1620E9DA43C}" keepAlive="1" name="連線587" type="5" refreshedVersion="0" background="1">
    <dbPr connection="Provider=Microsoft.Mashup.OleDb.1;Data Source=$Workbook$;Location=&quot;Fetch_EPS_1304&quot;;Extended Properties=&quot;&quot;" commandType="0"/>
  </connection>
  <connection id="546" xr16:uid="{736F1A06-3C8D-428D-B7C6-FF861476AA82}" keepAlive="1" name="連線588" type="5" refreshedVersion="0" background="1">
    <dbPr connection="Provider=Microsoft.Mashup.OleDb.1;Data Source=$Workbook$;Location=&quot;Fetch_EPS_1305&quot;;Extended Properties=&quot;&quot;" commandType="0"/>
  </connection>
  <connection id="547" xr16:uid="{E4CC390A-0D05-4033-A839-6B1C398FA542}" keepAlive="1" name="連線589" type="5" refreshedVersion="0" background="1">
    <dbPr connection="Provider=Microsoft.Mashup.OleDb.1;Data Source=$Workbook$;Location=&quot;Fetch_EPS_1307&quot;;Extended Properties=&quot;&quot;" commandType="0"/>
  </connection>
  <connection id="548" xr16:uid="{855FA598-A46F-4F5A-A512-F98781993056}" keepAlive="1" name="連線59" type="5" refreshedVersion="0" background="1">
    <dbPr connection="Provider=Microsoft.Mashup.OleDb.1;Data Source=$Workbook$;Location=&quot;Table_1402&quot;;Extended Properties=&quot;&quot;" commandType="0"/>
  </connection>
  <connection id="549" xr16:uid="{5E03144E-BF58-498C-B2B1-B35B143A1E01}" keepAlive="1" name="連線590" type="5" refreshedVersion="0" background="1">
    <dbPr connection="Provider=Microsoft.Mashup.OleDb.1;Data Source=$Workbook$;Location=&quot;Fetch_EPS_1308&quot;;Extended Properties=&quot;&quot;" commandType="0"/>
  </connection>
  <connection id="550" xr16:uid="{81987E9F-D184-4E98-8735-F19ECAB5E127}" keepAlive="1" name="連線591" type="5" refreshedVersion="0" background="1">
    <dbPr connection="Provider=Microsoft.Mashup.OleDb.1;Data Source=$Workbook$;Location=&quot;Fetch_EPS_1309&quot;;Extended Properties=&quot;&quot;" commandType="0"/>
  </connection>
  <connection id="551" xr16:uid="{8DC0D863-3C2B-43CC-BB15-1C55C849E8A1}" keepAlive="1" name="連線592" type="5" refreshedVersion="0" background="1">
    <dbPr connection="Provider=Microsoft.Mashup.OleDb.1;Data Source=$Workbook$;Location=&quot;Fetch_EPS_1310&quot;;Extended Properties=&quot;&quot;" commandType="0"/>
  </connection>
  <connection id="552" xr16:uid="{72B4AD85-FEE4-418C-9450-18D5308F3613}" keepAlive="1" name="連線593" type="5" refreshedVersion="0" background="1">
    <dbPr connection="Provider=Microsoft.Mashup.OleDb.1;Data Source=$Workbook$;Location=&quot;Fetch_EPS_1312&quot;;Extended Properties=&quot;&quot;" commandType="0"/>
  </connection>
  <connection id="553" xr16:uid="{B273AF79-85DD-4F23-9729-9674DE96ABCD}" keepAlive="1" name="連線594" type="5" refreshedVersion="0" background="1">
    <dbPr connection="Provider=Microsoft.Mashup.OleDb.1;Data Source=$Workbook$;Location=&quot;Fetch_EPS_1313&quot;;Extended Properties=&quot;&quot;" commandType="0"/>
  </connection>
  <connection id="554" xr16:uid="{BBB7A857-9BA0-4680-9A6B-4EDB8A65C8D7}" keepAlive="1" name="連線595" type="5" refreshedVersion="0" background="1">
    <dbPr connection="Provider=Microsoft.Mashup.OleDb.1;Data Source=$Workbook$;Location=&quot;Fetch_EPS_1314&quot;;Extended Properties=&quot;&quot;" commandType="0"/>
  </connection>
  <connection id="555" xr16:uid="{A9ACDF3E-0BC5-41DD-A55E-DF2F213EA32B}" keepAlive="1" name="連線596" type="5" refreshedVersion="0" background="1">
    <dbPr connection="Provider=Microsoft.Mashup.OleDb.1;Data Source=$Workbook$;Location=&quot;Fetch_EPS_1315&quot;;Extended Properties=&quot;&quot;" commandType="0"/>
  </connection>
  <connection id="556" xr16:uid="{B99B5DF7-E06B-4B52-AEF5-556AE8C19532}" keepAlive="1" name="連線597" type="5" refreshedVersion="0" background="1">
    <dbPr connection="Provider=Microsoft.Mashup.OleDb.1;Data Source=$Workbook$;Location=&quot;Fetch_EPS_1316&quot;;Extended Properties=&quot;&quot;" commandType="0"/>
  </connection>
  <connection id="557" xr16:uid="{18C85F1A-0891-4AEB-A9F9-F5F19BF15C41}" keepAlive="1" name="連線598" type="5" refreshedVersion="0" background="1">
    <dbPr connection="Provider=Microsoft.Mashup.OleDb.1;Data Source=$Workbook$;Location=&quot;Fetch_EPS_1319&quot;;Extended Properties=&quot;&quot;" commandType="0"/>
  </connection>
  <connection id="558" xr16:uid="{7AF26ABF-F21D-44C1-B850-E89D83696F8E}" keepAlive="1" name="連線599" type="5" refreshedVersion="0" background="1">
    <dbPr connection="Provider=Microsoft.Mashup.OleDb.1;Data Source=$Workbook$;Location=&quot;Fetch_EPS_1321&quot;;Extended Properties=&quot;&quot;" commandType="0"/>
  </connection>
  <connection id="559" xr16:uid="{FB3D28B5-52B8-4331-9804-33CE639D19D4}" keepAlive="1" name="連線6" type="5" refreshedVersion="0" background="1">
    <dbPr connection="Provider=Microsoft.Mashup.OleDb.1;Data Source=$Workbook$;Location=&quot;Table_1109&quot;;Extended Properties=&quot;&quot;" commandType="0"/>
  </connection>
  <connection id="560" xr16:uid="{786440F1-2290-43DC-88B9-3D809636603B}" keepAlive="1" name="連線60" type="5" refreshedVersion="0" background="1">
    <dbPr connection="Provider=Microsoft.Mashup.OleDb.1;Data Source=$Workbook$;Location=&quot;Table_1409&quot;;Extended Properties=&quot;&quot;" commandType="0"/>
  </connection>
  <connection id="561" xr16:uid="{28D876C2-FF5D-4702-A78A-C4C2B83F8F6B}" keepAlive="1" name="連線600" type="5" refreshedVersion="0" background="1">
    <dbPr connection="Provider=Microsoft.Mashup.OleDb.1;Data Source=$Workbook$;Location=&quot;Fetch_EPS_1323&quot;;Extended Properties=&quot;&quot;" commandType="0"/>
  </connection>
  <connection id="562" xr16:uid="{F87C1F1D-284E-4A9A-B2DF-63E2C78F2879}" keepAlive="1" name="連線601" type="5" refreshedVersion="0" background="1">
    <dbPr connection="Provider=Microsoft.Mashup.OleDb.1;Data Source=$Workbook$;Location=&quot;Fetch_EPS_1324&quot;;Extended Properties=&quot;&quot;" commandType="0"/>
  </connection>
  <connection id="563" xr16:uid="{16F56D1B-ACAB-4195-BD9F-6925120F68A9}" keepAlive="1" name="連線602" type="5" refreshedVersion="0" background="1">
    <dbPr connection="Provider=Microsoft.Mashup.OleDb.1;Data Source=$Workbook$;Location=&quot;Fetch_EPS_1325&quot;;Extended Properties=&quot;&quot;" commandType="0"/>
  </connection>
  <connection id="564" xr16:uid="{0846BAA0-5A73-47E0-8D32-EE74831B470E}" keepAlive="1" name="連線603" type="5" refreshedVersion="0" background="1">
    <dbPr connection="Provider=Microsoft.Mashup.OleDb.1;Data Source=$Workbook$;Location=&quot;Fetch_EPS_1326&quot;;Extended Properties=&quot;&quot;" commandType="0"/>
  </connection>
  <connection id="565" xr16:uid="{A7877CA3-711C-40AC-AF7E-A74DAF21D36C}" keepAlive="1" name="連線604" type="5" refreshedVersion="0" background="1">
    <dbPr connection="Provider=Microsoft.Mashup.OleDb.1;Data Source=$Workbook$;Location=&quot;Fetch_EPS_1336&quot;;Extended Properties=&quot;&quot;" commandType="0"/>
  </connection>
  <connection id="566" xr16:uid="{756FEBBF-16DF-40CA-9C8C-7BF592AA6C8E}" keepAlive="1" name="連線605" type="5" refreshedVersion="0" background="1">
    <dbPr connection="Provider=Microsoft.Mashup.OleDb.1;Data Source=$Workbook$;Location=&quot;Fetch_EPS_1337&quot;;Extended Properties=&quot;&quot;" commandType="0"/>
  </connection>
  <connection id="567" xr16:uid="{6EB79C5A-5B22-4D27-9057-99AB2C4F0AA2}" keepAlive="1" name="連線606" type="5" refreshedVersion="0" background="1">
    <dbPr connection="Provider=Microsoft.Mashup.OleDb.1;Data Source=$Workbook$;Location=&quot;Fetch_EPS_1338&quot;;Extended Properties=&quot;&quot;" commandType="0"/>
  </connection>
  <connection id="568" xr16:uid="{7019F2B7-B29C-4C3F-B9A3-4B7130D773EB}" keepAlive="1" name="連線607" type="5" refreshedVersion="0" background="1">
    <dbPr connection="Provider=Microsoft.Mashup.OleDb.1;Data Source=$Workbook$;Location=&quot;Fetch_EPS_1339&quot;;Extended Properties=&quot;&quot;" commandType="0"/>
  </connection>
  <connection id="569" xr16:uid="{29568C21-E56B-43FF-9FE5-1A3DA62EF1A1}" keepAlive="1" name="連線608" type="5" refreshedVersion="0" background="1">
    <dbPr connection="Provider=Microsoft.Mashup.OleDb.1;Data Source=$Workbook$;Location=&quot;Fetch_EPS_1340&quot;;Extended Properties=&quot;&quot;" commandType="0"/>
  </connection>
  <connection id="570" xr16:uid="{DB523FF2-90BD-492C-8FDB-3EE1B87E0264}" keepAlive="1" name="連線609" type="5" refreshedVersion="0" background="1">
    <dbPr connection="Provider=Microsoft.Mashup.OleDb.1;Data Source=$Workbook$;Location=&quot;Fetch_EPS_1101&quot;;Extended Properties=&quot;&quot;" commandType="0"/>
  </connection>
  <connection id="571" xr16:uid="{C058DA9A-E918-44BF-8637-9B38C02CF05A}" keepAlive="1" name="連線61" type="5" refreshedVersion="0" background="1">
    <dbPr connection="Provider=Microsoft.Mashup.OleDb.1;Data Source=$Workbook$;Location=&quot;Table_1410&quot;;Extended Properties=&quot;&quot;" commandType="0"/>
  </connection>
  <connection id="572" xr16:uid="{8AB4D24F-049E-40BA-8826-5D9848D0B2AD}" keepAlive="1" name="連線610" type="5" refreshedVersion="0" background="1">
    <dbPr connection="Provider=Microsoft.Mashup.OleDb.1;Data Source=$Workbook$;Location=&quot;Fetch_EPS_1101&quot;;Extended Properties=&quot;&quot;" commandType="0"/>
  </connection>
  <connection id="573" xr16:uid="{2BDC2766-3B62-4CA3-9F98-F26884428DC5}" keepAlive="1" name="連線611" type="5" refreshedVersion="0" background="1">
    <dbPr connection="Provider=Microsoft.Mashup.OleDb.1;Data Source=$Workbook$;Location=&quot;Fetch_EPS_1101&quot;;Extended Properties=&quot;&quot;" commandType="0"/>
  </connection>
  <connection id="574" xr16:uid="{0F9EC1CD-4865-43F0-A533-041FE2958986}" keepAlive="1" name="連線612" type="5" refreshedVersion="0" background="1">
    <dbPr connection="Provider=Microsoft.Mashup.OleDb.1;Data Source=$Workbook$;Location=&quot;Fetch_EPS_1101&quot;;Extended Properties=&quot;&quot;" commandType="0"/>
  </connection>
  <connection id="575" xr16:uid="{13235EBE-488A-46C3-B78F-5D0149A4624C}" keepAlive="1" name="連線613" type="5" refreshedVersion="0" background="1">
    <dbPr connection="Provider=Microsoft.Mashup.OleDb.1;Data Source=$Workbook$;Location=&quot;Fetch_EPS_1101&quot;;Extended Properties=&quot;&quot;" commandType="0"/>
  </connection>
  <connection id="576" xr16:uid="{5177DF87-A746-4AEA-8A3B-7F1A5C0040E7}" keepAlive="1" name="連線614" type="5" refreshedVersion="0" saveData="1">
    <dbPr connection="Provider=Microsoft.Mashup.OleDb.1;Data Source=$Workbook$;Location=&quot;Fetch_EPS_1101&quot;;Extended Properties=&quot;&quot;" commandType="0"/>
  </connection>
  <connection id="577" xr16:uid="{7A7BA065-43D4-4DB9-AFD2-73B374E494E7}" keepAlive="1" name="連線615" type="5" refreshedVersion="0" saveData="1">
    <dbPr connection="Provider=Microsoft.Mashup.OleDb.1;Data Source=$Workbook$;Location=&quot;Fetch_EPS_1101&quot;;Extended Properties=&quot;&quot;" commandType="0"/>
  </connection>
  <connection id="578" xr16:uid="{AD08457A-3BBA-4CA5-AF4A-B46324F82A88}" keepAlive="1" name="連線616" type="5" refreshedVersion="0" background="1">
    <dbPr connection="Provider=Microsoft.Mashup.OleDb.1;Data Source=$Workbook$;Location=&quot;Fetch_EPS_1101&quot;;Extended Properties=&quot;&quot;" commandType="0"/>
  </connection>
  <connection id="579" xr16:uid="{7EF90F6D-0661-43B3-9766-8E872D2CFCB3}" keepAlive="1" name="連線617" type="5" refreshedVersion="0" background="1">
    <dbPr connection="Provider=Microsoft.Mashup.OleDb.1;Data Source=$Workbook$;Location=&quot;Fetch_EPS_1101&quot;;Extended Properties=&quot;&quot;" commandType="0"/>
  </connection>
  <connection id="580" xr16:uid="{E1C2CB77-8E74-46B6-9172-7879323AD71D}" keepAlive="1" name="連線618" type="5" refreshedVersion="0" background="1">
    <dbPr connection="Provider=Microsoft.Mashup.OleDb.1;Data Source=$Workbook$;Location=&quot;Fetch_EPS_1101&quot;;Extended Properties=&quot;&quot;" commandType="0"/>
  </connection>
  <connection id="581" xr16:uid="{44B0BBBC-D19B-4476-A8E6-1F499CE9CDDC}" keepAlive="1" name="連線619" type="5" refreshedVersion="0" background="1">
    <dbPr connection="Provider=Microsoft.Mashup.OleDb.1;Data Source=$Workbook$;Location=&quot;Fetch_EPS_1101&quot;;Extended Properties=&quot;&quot;" commandType="0"/>
  </connection>
  <connection id="582" xr16:uid="{03376179-0674-4F15-8B39-543210A7033A}" keepAlive="1" name="連線62" type="5" refreshedVersion="0" background="1">
    <dbPr connection="Provider=Microsoft.Mashup.OleDb.1;Data Source=$Workbook$;Location=&quot;Table_1413&quot;;Extended Properties=&quot;&quot;" commandType="0"/>
  </connection>
  <connection id="583" xr16:uid="{70561A60-FC9B-4BAB-9BD5-D5EE28C24620}" keepAlive="1" name="連線620" type="5" refreshedVersion="0" background="1">
    <dbPr connection="Provider=Microsoft.Mashup.OleDb.1;Data Source=$Workbook$;Location=&quot;Fetch_EPS_1102&quot;;Extended Properties=&quot;&quot;" commandType="0"/>
  </connection>
  <connection id="584" xr16:uid="{33767F37-396F-433B-9A09-411ED38AC8FC}" keepAlive="1" name="連線621" type="5" refreshedVersion="0" background="1">
    <dbPr connection="Provider=Microsoft.Mashup.OleDb.1;Data Source=$Workbook$;Location=&quot;Fetch_EPS_1103&quot;;Extended Properties=&quot;&quot;" commandType="0"/>
  </connection>
  <connection id="585" xr16:uid="{302BCEDE-B438-49DE-87D7-F2FB01FF196A}" keepAlive="1" name="連線622" type="5" refreshedVersion="0" background="1">
    <dbPr connection="Provider=Microsoft.Mashup.OleDb.1;Data Source=$Workbook$;Location=&quot;Fetch_EPS_1104&quot;;Extended Properties=&quot;&quot;" commandType="0"/>
  </connection>
  <connection id="586" xr16:uid="{72161B27-35D1-4F04-9F27-7139322D22D7}" keepAlive="1" name="連線623" type="5" refreshedVersion="0" background="1">
    <dbPr connection="Provider=Microsoft.Mashup.OleDb.1;Data Source=$Workbook$;Location=&quot;Fetch_EPS_1101&quot;;Extended Properties=&quot;&quot;" commandType="0"/>
  </connection>
  <connection id="587" xr16:uid="{5F8AAC1C-ED43-4F4C-8428-C88CC362E387}" keepAlive="1" name="連線624" type="5" refreshedVersion="0" background="1">
    <dbPr connection="Provider=Microsoft.Mashup.OleDb.1;Data Source=$Workbook$;Location=&quot;Fetch_EPS_1102&quot;;Extended Properties=&quot;&quot;" commandType="0"/>
  </connection>
  <connection id="588" xr16:uid="{028D1609-F546-4BE3-B074-9573F139BFD5}" keepAlive="1" name="連線625" type="5" refreshedVersion="0" background="1">
    <dbPr connection="Provider=Microsoft.Mashup.OleDb.1;Data Source=$Workbook$;Location=&quot;Fetch_EPS_1103&quot;;Extended Properties=&quot;&quot;" commandType="0"/>
  </connection>
  <connection id="589" xr16:uid="{0C551AC3-EDF3-47D8-871F-9AF70AE2FE5F}" keepAlive="1" name="連線626" type="5" refreshedVersion="0" background="1">
    <dbPr connection="Provider=Microsoft.Mashup.OleDb.1;Data Source=$Workbook$;Location=&quot;Fetch_EPS_1101&quot;;Extended Properties=&quot;&quot;" commandType="0"/>
  </connection>
  <connection id="590" xr16:uid="{F6D72F83-92A2-4D60-839E-79A8A643046E}" keepAlive="1" name="連線627" type="5" refreshedVersion="0" background="1">
    <dbPr connection="Provider=Microsoft.Mashup.OleDb.1;Data Source=$Workbook$;Location=&quot;Fetch_EPS_1101&quot;;Extended Properties=&quot;&quot;" commandType="0"/>
  </connection>
  <connection id="591" xr16:uid="{1C28B926-D6D0-481D-86C7-B9091044BC91}" keepAlive="1" name="連線628" type="5" refreshedVersion="0" background="1">
    <dbPr connection="Provider=Microsoft.Mashup.OleDb.1;Data Source=$Workbook$;Location=&quot;Fetch_EPS_1101&quot;;Extended Properties=&quot;&quot;" commandType="0"/>
  </connection>
  <connection id="592" xr16:uid="{67FBD04A-4D3C-4C98-9FDA-A93A4D72F265}" keepAlive="1" name="連線629" type="5" refreshedVersion="0" saveData="1">
    <dbPr connection="Provider=Microsoft.Mashup.OleDb.1;Data Source=$Workbook$;Location=&quot;Fetch_EPS_1101&quot;;Extended Properties=&quot;&quot;" commandType="0"/>
  </connection>
  <connection id="593" xr16:uid="{268D92C3-BFAA-4516-A854-61BE79823D9F}" keepAlive="1" name="連線63" type="5" refreshedVersion="0" background="1">
    <dbPr connection="Provider=Microsoft.Mashup.OleDb.1;Data Source=$Workbook$;Location=&quot;Table_1414&quot;;Extended Properties=&quot;&quot;" commandType="0"/>
  </connection>
  <connection id="594" xr16:uid="{3F3F209D-2D46-47DA-A183-3DD85E20A550}" keepAlive="1" name="連線630" type="5" refreshedVersion="0" background="1">
    <dbPr connection="Provider=Microsoft.Mashup.OleDb.1;Data Source=$Workbook$;Location=&quot;Fetch_EPS_1101&quot;;Extended Properties=&quot;&quot;" commandType="0"/>
  </connection>
  <connection id="595" xr16:uid="{8249B06A-26DD-423A-B6CB-C8E5D75BF3A9}" keepAlive="1" name="連線631" type="5" refreshedVersion="0" background="1">
    <dbPr connection="Provider=Microsoft.Mashup.OleDb.1;Data Source=$Workbook$;Location=&quot;Table_8210&quot;;Extended Properties=&quot;&quot;" commandType="0"/>
  </connection>
  <connection id="596" xr16:uid="{CE7DC746-0485-4D53-B4C1-168699C7849A}" name="連線632" type="4" refreshedVersion="6" saveData="1">
    <webPr sourceData="1" parsePre="1" consecutive="1" xl2000="1" url="https://histock.tw/stock/1203/%E6%AF%8F%E8%82%A1%E7%9B%88%E9%A4%98" htmlTables="1"/>
  </connection>
  <connection id="597" xr16:uid="{0D6D27EE-0204-4CCC-AAE5-C41A097B0DF2}" keepAlive="1" name="連線633" type="5" refreshedVersion="0" background="1">
    <dbPr connection="Provider=Microsoft.Mashup.OleDb.1;Data Source=$Workbook$;Location=&quot;Table_8210&quot;;Extended Properties=&quot;&quot;" commandType="0"/>
  </connection>
  <connection id="598" xr16:uid="{B5E8CA69-EF15-44AC-9AAA-ED6B855459D7}" keepAlive="1" name="連線634" type="5" refreshedVersion="0" background="1">
    <dbPr connection="Provider=Microsoft.Mashup.OleDb.1;Data Source=$Workbook$;Location=&quot;Table_開盤價&quot;;Extended Properties=&quot;&quot;" commandType="0"/>
  </connection>
  <connection id="599" xr16:uid="{69AEED6C-98BB-4D44-A4FC-EEFFC1831A12}" keepAlive="1" name="連線635" type="5" refreshedVersion="0" background="1">
    <dbPr connection="Provider=Microsoft.Mashup.OleDb.1;Data Source=$Workbook$;Location=&quot;Table_8210&quot;;Extended Properties=&quot;&quot;" commandType="0"/>
  </connection>
  <connection id="600" xr16:uid="{DA8A1B3A-D39B-4E23-8754-CD5E8778EB0C}" keepAlive="1" name="連線636" type="5" refreshedVersion="0" background="1">
    <dbPr connection="Provider=Microsoft.Mashup.OleDb.1;Data Source=$Workbook$;Location=&quot;Table_開盤價&quot;;Extended Properties=&quot;&quot;" commandType="0"/>
  </connection>
  <connection id="601" xr16:uid="{4C115F11-6B57-4E6C-A9F4-EC58C7836C8B}" keepAlive="1" name="連線637" type="5" refreshedVersion="0" background="1">
    <dbPr connection="Provider=Microsoft.Mashup.OleDb.1;Data Source=$Workbook$;Location=&quot;Table_8210&quot;;Extended Properties=&quot;&quot;" commandType="0"/>
  </connection>
  <connection id="602" xr16:uid="{E8150391-D7FC-4CDC-A6EE-294A7C990D0D}" keepAlive="1" name="連線638" type="5" refreshedVersion="0" background="1">
    <dbPr connection="Provider=Microsoft.Mashup.OleDb.1;Data Source=$Workbook$;Location=&quot;Table_8210&quot;;Extended Properties=&quot;&quot;" commandType="0"/>
  </connection>
  <connection id="603" xr16:uid="{38839746-C0F0-4860-AB0B-A3DF794FC351}" keepAlive="1" name="連線639" type="5" refreshedVersion="0" background="1">
    <dbPr connection="Provider=Microsoft.Mashup.OleDb.1;Data Source=$Workbook$;Location=&quot;Table_2464&quot;;Extended Properties=&quot;&quot;" commandType="0"/>
  </connection>
  <connection id="604" xr16:uid="{6EC5A55C-12F2-4C75-B184-E045EAD34634}" keepAlive="1" name="連線64" type="5" refreshedVersion="0" background="1">
    <dbPr connection="Provider=Microsoft.Mashup.OleDb.1;Data Source=$Workbook$;Location=&quot;Table_1416&quot;;Extended Properties=&quot;&quot;" commandType="0"/>
  </connection>
  <connection id="605" xr16:uid="{0ABDC7A7-1061-4C53-844E-A1C7A11EFF7B}" keepAlive="1" name="連線640" type="5" refreshedVersion="0" background="1">
    <dbPr connection="Provider=Microsoft.Mashup.OleDb.1;Data Source=$Workbook$;Location=&quot;Table_2354&quot;;Extended Properties=&quot;&quot;" commandType="0"/>
  </connection>
  <connection id="606" xr16:uid="{44BE07CB-C448-4881-BCCB-F6FB758FF140}" keepAlive="1" name="連線641" type="5" refreshedVersion="0" background="1">
    <dbPr connection="Provider=Microsoft.Mashup.OleDb.1;Data Source=$Workbook$;Location=&quot;Table_2397&quot;;Extended Properties=&quot;&quot;" commandType="0"/>
  </connection>
  <connection id="607" xr16:uid="{A14A216C-B1A9-40BD-91DF-B1E35CBA62BD}" keepAlive="1" name="連線642" type="5" refreshedVersion="0" background="1">
    <dbPr connection="Provider=Microsoft.Mashup.OleDb.1;Data Source=$Workbook$;Location=&quot;Table_3450&quot;;Extended Properties=&quot;&quot;" commandType="0"/>
  </connection>
  <connection id="608" xr16:uid="{79D7AACB-F3FF-40EA-98E8-876CD6260936}" keepAlive="1" name="連線643" type="5" refreshedVersion="0" background="1">
    <dbPr connection="Provider=Microsoft.Mashup.OleDb.1;Data Source=$Workbook$;Location=&quot;Table_8210&quot;;Extended Properties=&quot;&quot;" commandType="0"/>
  </connection>
  <connection id="609" xr16:uid="{8C5F8CC6-BACE-4FA4-BA3F-8A729DD51EEC}" keepAlive="1" name="連線644" type="5" refreshedVersion="0" background="1">
    <dbPr connection="Provider=Microsoft.Mashup.OleDb.1;Data Source=$Workbook$;Location=&quot;Table_2464&quot;;Extended Properties=&quot;&quot;" commandType="0"/>
  </connection>
  <connection id="610" xr16:uid="{F9CF80D4-F85D-4992-87C3-C1E5DC663B99}" keepAlive="1" name="連線645" type="5" refreshedVersion="6" saveData="1">
    <dbPr connection="Provider=Microsoft.Mashup.OleDb.1;Data Source=$Workbook$;Location=Table_8210;Extended Properties=&quot;&quot;" command="SELECT * FROM [Table_8210]"/>
  </connection>
  <connection id="611" xr16:uid="{FB631444-D124-441D-AB41-63A4F12A697B}" keepAlive="1" name="連線646" type="5" refreshedVersion="6" saveData="1">
    <dbPr connection="Provider=Microsoft.Mashup.OleDb.1;Data Source=$Workbook$;Location=Table_2464;Extended Properties=&quot;&quot;" command="SELECT * FROM [Table_2464]"/>
  </connection>
  <connection id="612" xr16:uid="{5FCBA0A2-2BD0-4085-AC82-F906BB9A6748}" keepAlive="1" name="連線647" type="5" refreshedVersion="6" saveData="1">
    <dbPr connection="Provider=Microsoft.Mashup.OleDb.1;Data Source=$Workbook$;Location=Table_2354;Extended Properties=&quot;&quot;" command="SELECT * FROM [Table_2354]"/>
  </connection>
  <connection id="613" xr16:uid="{C706FDBE-3B73-4B16-826F-4E6E9CFFC7E3}" keepAlive="1" name="連線648" type="5" refreshedVersion="6" saveData="1">
    <dbPr connection="Provider=Microsoft.Mashup.OleDb.1;Data Source=$Workbook$;Location=Table_2397;Extended Properties=&quot;&quot;" command="SELECT * FROM [Table_2397]"/>
  </connection>
  <connection id="614" xr16:uid="{FABEB0DC-8A12-475F-9589-382A3B0C2D24}" keepAlive="1" name="連線649" type="5" refreshedVersion="6" saveData="1">
    <dbPr connection="Provider=Microsoft.Mashup.OleDb.1;Data Source=$Workbook$;Location=Table_3450;Extended Properties=&quot;&quot;" command="SELECT * FROM [Table_3450]"/>
  </connection>
  <connection id="615" xr16:uid="{63572588-21C9-429E-9FC0-E704C9CE0F6E}" keepAlive="1" name="連線65" type="5" refreshedVersion="0" background="1">
    <dbPr connection="Provider=Microsoft.Mashup.OleDb.1;Data Source=$Workbook$;Location=&quot;Table_1417&quot;;Extended Properties=&quot;&quot;" commandType="0"/>
  </connection>
  <connection id="616" xr16:uid="{3CE5A10B-A5AD-4083-8800-4DD7B6738CFC}" keepAlive="1" name="連線650" type="5" refreshedVersion="6" saveData="1">
    <dbPr connection="Provider=Microsoft.Mashup.OleDb.1;Data Source=$Workbook$;Location=Table_2603;Extended Properties=&quot;&quot;" command="SELECT * FROM [Table_2603]"/>
  </connection>
  <connection id="617" xr16:uid="{2094F674-FAFA-435F-B65B-A70133428145}" keepAlive="1" name="連線651" type="5" refreshedVersion="6" saveData="1">
    <dbPr connection="Provider=Microsoft.Mashup.OleDb.1;Data Source=$Workbook$;Location=Table_6753;Extended Properties=&quot;&quot;" command="SELECT * FROM [Table_6753]"/>
  </connection>
  <connection id="618" xr16:uid="{718D1025-3112-40E5-9B3B-993FB52BBC9C}" keepAlive="1" name="連線652" type="5" refreshedVersion="6" saveData="1">
    <dbPr connection="Provider=Microsoft.Mashup.OleDb.1;Data Source=$Workbook$;Location=Table_2615;Extended Properties=&quot;&quot;" command="SELECT * FROM [Table_2615]"/>
  </connection>
  <connection id="619" xr16:uid="{338F74C7-AA49-4FBD-B5E1-C2E9DB74974C}" keepAlive="1" name="連線653" type="5" refreshedVersion="6" saveData="1">
    <dbPr connection="Provider=Microsoft.Mashup.OleDb.1;Data Source=$Workbook$;Location=Table_2609;Extended Properties=&quot;&quot;" command="SELECT * FROM [Table_2609]"/>
  </connection>
  <connection id="620" xr16:uid="{85A5EA26-D563-406C-AE0F-F6588C9F5E20}" keepAlive="1" name="連線654" type="5" refreshedVersion="6" saveData="1">
    <dbPr connection="Provider=Microsoft.Mashup.OleDb.1;Data Source=$Workbook$;Location=Table_2637;Extended Properties=&quot;&quot;" command="SELECT * FROM [Table_2637]"/>
  </connection>
  <connection id="621" xr16:uid="{303E6365-849B-4172-88B7-FED4B9416E9A}" keepAlive="1" name="連線655" type="5" refreshedVersion="6" saveData="1">
    <dbPr connection="Provider=Microsoft.Mashup.OleDb.1;Data Source=$Workbook$;Location=Table_2603;Extended Properties=&quot;&quot;" command="SELECT * FROM [Table_2603]"/>
  </connection>
  <connection id="622" xr16:uid="{3703AE2B-DDC2-493E-B89A-13C51D202457}" keepAlive="1" name="連線656" type="5" refreshedVersion="6" saveData="1">
    <dbPr connection="Provider=Microsoft.Mashup.OleDb.1;Data Source=$Workbook$;Location=Table_2634;Extended Properties=&quot;&quot;" command="SELECT * FROM [Table_2634]"/>
  </connection>
  <connection id="623" xr16:uid="{4EEA2E25-9027-4EBD-A2D3-EF40C767794B}" keepAlive="1" name="連線657" type="5" refreshedVersion="6" saveData="1">
    <dbPr connection="Provider=Microsoft.Mashup.OleDb.1;Data Source=$Workbook$;Location=Table_2615;Extended Properties=&quot;&quot;" command="SELECT * FROM [Table_2615]"/>
  </connection>
  <connection id="624" xr16:uid="{CA1335D3-DF8B-42AD-84A3-D4CCC37684A3}" keepAlive="1" name="連線658" type="5" refreshedVersion="6" saveData="1">
    <dbPr connection="Provider=Microsoft.Mashup.OleDb.1;Data Source=$Workbook$;Location=Table_2609;Extended Properties=&quot;&quot;" command="SELECT * FROM [Table_2609]"/>
  </connection>
  <connection id="625" xr16:uid="{70E2691F-EAE4-4902-A496-0B3DBC884B54}" keepAlive="1" name="連線659" type="5" refreshedVersion="6" saveData="1">
    <dbPr connection="Provider=Microsoft.Mashup.OleDb.1;Data Source=$Workbook$;Location=Table_2637;Extended Properties=&quot;&quot;" command="SELECT * FROM [Table_2637]"/>
  </connection>
  <connection id="626" xr16:uid="{F7E3F3FD-1A87-47B9-801F-B79326B9EAFD}" keepAlive="1" name="連線66" type="5" refreshedVersion="0" background="1">
    <dbPr connection="Provider=Microsoft.Mashup.OleDb.1;Data Source=$Workbook$;Location=&quot;Table_1418&quot;;Extended Properties=&quot;&quot;" commandType="0"/>
  </connection>
  <connection id="627" xr16:uid="{DC359C65-5BA8-4198-97F6-42CB264E068F}" keepAlive="1" name="連線660" type="5" refreshedVersion="6" saveData="1">
    <dbPr connection="Provider=Microsoft.Mashup.OleDb.1;Data Source=$Workbook$;Location=Table_2603;Extended Properties=&quot;&quot;" command="SELECT * FROM [Table_2603]"/>
  </connection>
  <connection id="628" xr16:uid="{167CD320-5ABA-4AA5-82E3-4E8E142138E2}" keepAlive="1" name="連線661" type="5" refreshedVersion="6" saveData="1">
    <dbPr connection="Provider=Microsoft.Mashup.OleDb.1;Data Source=$Workbook$;Location=Table_2634;Extended Properties=&quot;&quot;" command="SELECT * FROM [Table_2634]"/>
  </connection>
  <connection id="629" xr16:uid="{67F05074-D7AB-48A3-8D19-B9DBBB8F3382}" keepAlive="1" name="連線662" type="5" refreshedVersion="6" saveData="1">
    <dbPr connection="Provider=Microsoft.Mashup.OleDb.1;Data Source=$Workbook$;Location=Table_2606;Extended Properties=&quot;&quot;" command="SELECT * FROM [Table_2606]"/>
  </connection>
  <connection id="630" xr16:uid="{DB772D55-01FA-42CA-AACD-1932A6FFD238}" keepAlive="1" name="連線663" type="5" refreshedVersion="6" saveData="1">
    <dbPr connection="Provider=Microsoft.Mashup.OleDb.1;Data Source=$Workbook$;Location=Table_2609;Extended Properties=&quot;&quot;" command="SELECT * FROM [Table_2609]"/>
  </connection>
  <connection id="631" xr16:uid="{64DBF9CC-0C9F-44DA-A391-62F6AFDAEE13}" keepAlive="1" name="連線664" type="5" refreshedVersion="6" saveData="1">
    <dbPr connection="Provider=Microsoft.Mashup.OleDb.1;Data Source=$Workbook$;Location=Table_2637;Extended Properties=&quot;&quot;" command="SELECT * FROM [Table_2637]"/>
  </connection>
  <connection id="632" xr16:uid="{7FD1EA60-F883-4871-B343-DF55F73573EF}" keepAlive="1" name="連線665" type="5" refreshedVersion="6" saveData="1">
    <dbPr connection="Provider=Microsoft.Mashup.OleDb.1;Data Source=$Workbook$;Location=Table_2603;Extended Properties=&quot;&quot;" command="SELECT * FROM [Table_2603]"/>
  </connection>
  <connection id="633" xr16:uid="{D696E77A-2901-4CC2-AB5B-05BE309A4EA9}" keepAlive="1" name="連線666" type="5" refreshedVersion="6" saveData="1">
    <dbPr connection="Provider=Microsoft.Mashup.OleDb.1;Data Source=$Workbook$;Location=Table_2634;Extended Properties=&quot;&quot;" command="SELECT * FROM [Table_2634]"/>
  </connection>
  <connection id="634" xr16:uid="{03F379EF-0E47-4563-BEDA-AB49973CCB2A}" keepAlive="1" name="連線667" type="5" refreshedVersion="6" saveData="1">
    <dbPr connection="Provider=Microsoft.Mashup.OleDb.1;Data Source=$Workbook$;Location=Table_2606;Extended Properties=&quot;&quot;" command="SELECT * FROM [Table_2606]"/>
  </connection>
  <connection id="635" xr16:uid="{9CCA632D-1EAB-4BB5-8F07-8B1AE0B79579}" keepAlive="1" name="連線668" type="5" refreshedVersion="6" saveData="1">
    <dbPr connection="Provider=Microsoft.Mashup.OleDb.1;Data Source=$Workbook$;Location=Table_2609;Extended Properties=&quot;&quot;" command="SELECT * FROM [Table_2609]"/>
  </connection>
  <connection id="636" xr16:uid="{02B37B57-EEE9-4FE5-95C9-5BD0805132C4}" keepAlive="1" name="連線669" type="5" refreshedVersion="6" saveData="1">
    <dbPr connection="Provider=Microsoft.Mashup.OleDb.1;Data Source=$Workbook$;Location=Table_2637;Extended Properties=&quot;&quot;" command="SELECT * FROM [Table_2637]"/>
  </connection>
  <connection id="637" xr16:uid="{B48E7365-1EA9-4DE0-8649-1F050A216EBB}" keepAlive="1" name="連線67" type="5" refreshedVersion="0" background="1">
    <dbPr connection="Provider=Microsoft.Mashup.OleDb.1;Data Source=$Workbook$;Location=&quot;Table_1419&quot;;Extended Properties=&quot;&quot;" commandType="0"/>
  </connection>
  <connection id="638" xr16:uid="{84DE4056-FBE2-490B-839B-040D84AE675B}" keepAlive="1" name="連線68" type="5" refreshedVersion="0" background="1">
    <dbPr connection="Provider=Microsoft.Mashup.OleDb.1;Data Source=$Workbook$;Location=&quot;Table_1423&quot;;Extended Properties=&quot;&quot;" commandType="0"/>
  </connection>
  <connection id="639" xr16:uid="{7684F583-0A4B-4812-A015-8218830F0702}" keepAlive="1" name="連線69" type="5" refreshedVersion="0" background="1">
    <dbPr connection="Provider=Microsoft.Mashup.OleDb.1;Data Source=$Workbook$;Location=&quot;Table_1432&quot;;Extended Properties=&quot;&quot;" commandType="0"/>
  </connection>
  <connection id="640" xr16:uid="{E9F9EE44-C583-4539-B6FE-9FFF0594BD3D}" keepAlive="1" name="連線7" type="5" refreshedVersion="0" background="1">
    <dbPr connection="Provider=Microsoft.Mashup.OleDb.1;Data Source=$Workbook$;Location=&quot;Table_1110&quot;;Extended Properties=&quot;&quot;" commandType="0"/>
  </connection>
  <connection id="641" xr16:uid="{CD4A0FF8-880C-4D4C-8E4B-7877D5812A18}" keepAlive="1" name="連線70" type="5" refreshedVersion="0" background="1">
    <dbPr connection="Provider=Microsoft.Mashup.OleDb.1;Data Source=$Workbook$;Location=&quot;Table_1434&quot;;Extended Properties=&quot;&quot;" commandType="0"/>
  </connection>
  <connection id="642" xr16:uid="{D5553EE1-0A5B-4252-8141-CB46AB5C63F7}" keepAlive="1" name="連線71" type="5" refreshedVersion="0" background="1">
    <dbPr connection="Provider=Microsoft.Mashup.OleDb.1;Data Source=$Workbook$;Location=&quot;Table_1436&quot;;Extended Properties=&quot;&quot;" commandType="0"/>
  </connection>
  <connection id="643" xr16:uid="{53DA08D8-2CCD-429B-B522-8849BE77D0F0}" keepAlive="1" name="連線72" type="5" refreshedVersion="0" background="1">
    <dbPr connection="Provider=Microsoft.Mashup.OleDb.1;Data Source=$Workbook$;Location=&quot;Table_1437&quot;;Extended Properties=&quot;&quot;" commandType="0"/>
  </connection>
  <connection id="644" xr16:uid="{1F78FFF3-3D2B-4DAD-9E90-A8A4F41FCBAA}" keepAlive="1" name="連線73" type="5" refreshedVersion="0" background="1">
    <dbPr connection="Provider=Microsoft.Mashup.OleDb.1;Data Source=$Workbook$;Location=&quot;Table_1438&quot;;Extended Properties=&quot;&quot;" commandType="0"/>
  </connection>
  <connection id="645" xr16:uid="{D7D367CB-2EAB-4944-ADE4-85260A899751}" keepAlive="1" name="連線74" type="5" refreshedVersion="0" background="1">
    <dbPr connection="Provider=Microsoft.Mashup.OleDb.1;Data Source=$Workbook$;Location=&quot;Table_1439&quot;;Extended Properties=&quot;&quot;" commandType="0"/>
  </connection>
  <connection id="646" xr16:uid="{2B40DB13-7846-490B-9AA5-C266E835BD86}" keepAlive="1" name="連線75" type="5" refreshedVersion="0" background="1">
    <dbPr connection="Provider=Microsoft.Mashup.OleDb.1;Data Source=$Workbook$;Location=&quot;Table_1440&quot;;Extended Properties=&quot;&quot;" commandType="0"/>
  </connection>
  <connection id="647" xr16:uid="{15469CBA-C9B2-4A43-9E02-F49A92B05461}" keepAlive="1" name="連線76" type="5" refreshedVersion="0" background="1">
    <dbPr connection="Provider=Microsoft.Mashup.OleDb.1;Data Source=$Workbook$;Location=&quot;Table_1441&quot;;Extended Properties=&quot;&quot;" commandType="0"/>
  </connection>
  <connection id="648" xr16:uid="{358D64B5-2593-4C5B-8C19-BFC87003E185}" keepAlive="1" name="連線77" type="5" refreshedVersion="0" background="1">
    <dbPr connection="Provider=Microsoft.Mashup.OleDb.1;Data Source=$Workbook$;Location=&quot;Table_1442&quot;;Extended Properties=&quot;&quot;" commandType="0"/>
  </connection>
  <connection id="649" xr16:uid="{71F21D21-5821-43E0-BCC2-A4296CF31763}" keepAlive="1" name="連線78" type="5" refreshedVersion="0" background="1">
    <dbPr connection="Provider=Microsoft.Mashup.OleDb.1;Data Source=$Workbook$;Location=&quot;Table_1443&quot;;Extended Properties=&quot;&quot;" commandType="0"/>
  </connection>
  <connection id="650" xr16:uid="{95B468D7-3DBD-4270-B8C8-6BCB184BF935}" keepAlive="1" name="連線79" type="5" refreshedVersion="0" background="1">
    <dbPr connection="Provider=Microsoft.Mashup.OleDb.1;Data Source=$Workbook$;Location=&quot;Table_1444&quot;;Extended Properties=&quot;&quot;" commandType="0"/>
  </connection>
  <connection id="651" xr16:uid="{23961C34-4533-41B3-8991-71ED4BE5150E}" keepAlive="1" name="連線8" type="5" refreshedVersion="0" background="1">
    <dbPr connection="Provider=Microsoft.Mashup.OleDb.1;Data Source=$Workbook$;Location=&quot;Table_1201&quot;;Extended Properties=&quot;&quot;" commandType="0"/>
  </connection>
  <connection id="652" xr16:uid="{A9504ED6-17EC-47A4-B43C-F2872BCE9A02}" keepAlive="1" name="連線80" type="5" refreshedVersion="0" background="1">
    <dbPr connection="Provider=Microsoft.Mashup.OleDb.1;Data Source=$Workbook$;Location=&quot;Table_1445&quot;;Extended Properties=&quot;&quot;" commandType="0"/>
  </connection>
  <connection id="653" xr16:uid="{3B28D7D4-FF6D-4DD3-A42C-466ECC421DE4}" keepAlive="1" name="連線81" type="5" refreshedVersion="0" background="1">
    <dbPr connection="Provider=Microsoft.Mashup.OleDb.1;Data Source=$Workbook$;Location=&quot;Table_1446&quot;;Extended Properties=&quot;&quot;" commandType="0"/>
  </connection>
  <connection id="654" xr16:uid="{9C10BA0F-8CFB-49FC-A7E4-BB179A2BB72D}" keepAlive="1" name="連線82" type="5" refreshedVersion="0" background="1">
    <dbPr connection="Provider=Microsoft.Mashup.OleDb.1;Data Source=$Workbook$;Location=&quot;Table_1447&quot;;Extended Properties=&quot;&quot;" commandType="0"/>
  </connection>
  <connection id="655" xr16:uid="{A76A4F94-FF39-4301-A497-6C9E34D1F87D}" keepAlive="1" name="連線83" type="5" refreshedVersion="0" background="1">
    <dbPr connection="Provider=Microsoft.Mashup.OleDb.1;Data Source=$Workbook$;Location=&quot;Table_1449&quot;;Extended Properties=&quot;&quot;" commandType="0"/>
  </connection>
  <connection id="656" xr16:uid="{1952B19C-D250-4C89-BCE4-68227424B09B}" keepAlive="1" name="連線84" type="5" refreshedVersion="0" background="1">
    <dbPr connection="Provider=Microsoft.Mashup.OleDb.1;Data Source=$Workbook$;Location=&quot;Table_1451&quot;;Extended Properties=&quot;&quot;" commandType="0"/>
  </connection>
  <connection id="657" xr16:uid="{8DD50F3B-C9A1-4849-A84F-036982C9EB33}" keepAlive="1" name="連線85" type="5" refreshedVersion="0" background="1">
    <dbPr connection="Provider=Microsoft.Mashup.OleDb.1;Data Source=$Workbook$;Location=&quot;Table_1452&quot;;Extended Properties=&quot;&quot;" commandType="0"/>
  </connection>
  <connection id="658" xr16:uid="{D1F0FAAF-C132-4785-A980-1265FA7B5633}" keepAlive="1" name="連線86" type="5" refreshedVersion="0" background="1">
    <dbPr connection="Provider=Microsoft.Mashup.OleDb.1;Data Source=$Workbook$;Location=&quot;Table_1453&quot;;Extended Properties=&quot;&quot;" commandType="0"/>
  </connection>
  <connection id="659" xr16:uid="{21369BC0-3063-4D5F-ABCB-C63D998BCF33}" keepAlive="1" name="連線87" type="5" refreshedVersion="0" background="1">
    <dbPr connection="Provider=Microsoft.Mashup.OleDb.1;Data Source=$Workbook$;Location=&quot;Table_1454&quot;;Extended Properties=&quot;&quot;" commandType="0"/>
  </connection>
  <connection id="660" xr16:uid="{FE0491DC-CFC1-4AA4-B45E-293E465FB7F3}" keepAlive="1" name="連線88" type="5" refreshedVersion="0" background="1">
    <dbPr connection="Provider=Microsoft.Mashup.OleDb.1;Data Source=$Workbook$;Location=&quot;Table_1455&quot;;Extended Properties=&quot;&quot;" commandType="0"/>
  </connection>
  <connection id="661" xr16:uid="{E5608550-5F87-4421-97DB-841FE9094E7C}" keepAlive="1" name="連線89" type="5" refreshedVersion="0" background="1">
    <dbPr connection="Provider=Microsoft.Mashup.OleDb.1;Data Source=$Workbook$;Location=&quot;Table_1456&quot;;Extended Properties=&quot;&quot;" commandType="0"/>
  </connection>
  <connection id="662" xr16:uid="{676B354B-A071-4E87-B129-BF613EAC9373}" keepAlive="1" name="連線9" type="5" refreshedVersion="0" background="1">
    <dbPr connection="Provider=Microsoft.Mashup.OleDb.1;Data Source=$Workbook$;Location=&quot;Table_1203&quot;;Extended Properties=&quot;&quot;" commandType="0"/>
  </connection>
  <connection id="663" xr16:uid="{4F917F4A-DC4B-43FD-8DEB-AD573DC33260}" keepAlive="1" name="連線90" type="5" refreshedVersion="0" background="1">
    <dbPr connection="Provider=Microsoft.Mashup.OleDb.1;Data Source=$Workbook$;Location=&quot;Table_1457&quot;;Extended Properties=&quot;&quot;" commandType="0"/>
  </connection>
  <connection id="664" xr16:uid="{E6CBE28E-995C-47D1-8D29-9E675F3F22AC}" keepAlive="1" name="連線91" type="5" refreshedVersion="0" background="1">
    <dbPr connection="Provider=Microsoft.Mashup.OleDb.1;Data Source=$Workbook$;Location=&quot;Table_1459&quot;;Extended Properties=&quot;&quot;" commandType="0"/>
  </connection>
  <connection id="665" xr16:uid="{8FBF393A-138B-4A32-B16E-FD54DD31A277}" keepAlive="1" name="連線92" type="5" refreshedVersion="0" background="1">
    <dbPr connection="Provider=Microsoft.Mashup.OleDb.1;Data Source=$Workbook$;Location=&quot;Table_1460&quot;;Extended Properties=&quot;&quot;" commandType="0"/>
  </connection>
  <connection id="666" xr16:uid="{660ED9E5-E5E8-42A0-BE90-442648446B0E}" keepAlive="1" name="連線93" type="5" refreshedVersion="0" background="1">
    <dbPr connection="Provider=Microsoft.Mashup.OleDb.1;Data Source=$Workbook$;Location=&quot;Table_1463&quot;;Extended Properties=&quot;&quot;" commandType="0"/>
  </connection>
  <connection id="667" xr16:uid="{4037AB18-5FFF-42CD-B381-EC3E1B95E31B}" keepAlive="1" name="連線94" type="5" refreshedVersion="0" background="1">
    <dbPr connection="Provider=Microsoft.Mashup.OleDb.1;Data Source=$Workbook$;Location=&quot;Table_1464&quot;;Extended Properties=&quot;&quot;" commandType="0"/>
  </connection>
  <connection id="668" xr16:uid="{084721D2-1CFC-4673-A114-0B7ABFA24A70}" keepAlive="1" name="連線95" type="5" refreshedVersion="0" background="1">
    <dbPr connection="Provider=Microsoft.Mashup.OleDb.1;Data Source=$Workbook$;Location=&quot;Table_1465&quot;;Extended Properties=&quot;&quot;" commandType="0"/>
  </connection>
  <connection id="669" xr16:uid="{06A2FCAB-6D4A-4294-8BEA-A16E861CF5AA}" keepAlive="1" name="連線96" type="5" refreshedVersion="0" background="1">
    <dbPr connection="Provider=Microsoft.Mashup.OleDb.1;Data Source=$Workbook$;Location=&quot;Table_1466&quot;;Extended Properties=&quot;&quot;" commandType="0"/>
  </connection>
  <connection id="670" xr16:uid="{10E2C020-EFB9-4F0B-A3A1-CA3408103AE6}" keepAlive="1" name="連線97" type="5" refreshedVersion="0" background="1">
    <dbPr connection="Provider=Microsoft.Mashup.OleDb.1;Data Source=$Workbook$;Location=&quot;Table_1467&quot;;Extended Properties=&quot;&quot;" commandType="0"/>
  </connection>
  <connection id="671" xr16:uid="{5F4EFF8D-B4F8-4B44-B84D-5438384F6183}" keepAlive="1" name="連線98" type="5" refreshedVersion="0" background="1">
    <dbPr connection="Provider=Microsoft.Mashup.OleDb.1;Data Source=$Workbook$;Location=&quot;Table_1468&quot;;Extended Properties=&quot;&quot;" commandType="0"/>
  </connection>
  <connection id="672" xr16:uid="{60114BEE-50F5-4EEB-87E7-9908DDC9AA36}" keepAlive="1" name="連線99" type="5" refreshedVersion="0" background="1">
    <dbPr connection="Provider=Microsoft.Mashup.OleDb.1;Data Source=$Workbook$;Location=&quot;Table_1470&quot;;Extended Properties=&quot;&quot;" commandType="0"/>
  </connection>
</connections>
</file>

<file path=xl/sharedStrings.xml><?xml version="1.0" encoding="utf-8"?>
<sst xmlns="http://schemas.openxmlformats.org/spreadsheetml/2006/main" count="10996" uniqueCount="2644">
  <si>
    <t>YoY</t>
    <phoneticPr fontId="1" type="noConversion"/>
  </si>
  <si>
    <t>毛利率</t>
    <phoneticPr fontId="1" type="noConversion"/>
  </si>
  <si>
    <t>營利率</t>
    <phoneticPr fontId="1" type="noConversion"/>
  </si>
  <si>
    <t>稅後純益率</t>
    <phoneticPr fontId="1" type="noConversion"/>
  </si>
  <si>
    <t>ROE</t>
    <phoneticPr fontId="1" type="noConversion"/>
  </si>
  <si>
    <t>ROA</t>
    <phoneticPr fontId="1" type="noConversion"/>
  </si>
  <si>
    <t>EPS</t>
    <phoneticPr fontId="1" type="noConversion"/>
  </si>
  <si>
    <t>流動比率</t>
    <phoneticPr fontId="1" type="noConversion"/>
  </si>
  <si>
    <t>負債比率</t>
    <phoneticPr fontId="1" type="noConversion"/>
  </si>
  <si>
    <t>負債權益比</t>
    <phoneticPr fontId="1" type="noConversion"/>
  </si>
  <si>
    <t>發行量加權股價指數</t>
  </si>
  <si>
    <t>綠能環保類指數</t>
  </si>
  <si>
    <t>數位雲端類指數</t>
  </si>
  <si>
    <t>運動休閒類指數</t>
  </si>
  <si>
    <t>居家生活類指數</t>
  </si>
  <si>
    <t>電腦及週邊設備類指數</t>
  </si>
  <si>
    <t>光電類指數</t>
  </si>
  <si>
    <t>通信網路類指數</t>
  </si>
  <si>
    <t>電子零組件類指數</t>
  </si>
  <si>
    <t>電子通路類指數</t>
  </si>
  <si>
    <t>資訊服務類指數</t>
  </si>
  <si>
    <t>其他電子類指數</t>
  </si>
  <si>
    <t>化學類指數</t>
  </si>
  <si>
    <t>生技醫療類指數</t>
  </si>
  <si>
    <t>油電燃氣類指數</t>
  </si>
  <si>
    <t>未含金融電子股指數</t>
  </si>
  <si>
    <t>未含電子股指數</t>
  </si>
  <si>
    <t>電子類指數</t>
  </si>
  <si>
    <t>水泥類指數</t>
  </si>
  <si>
    <t>塑膠類指數</t>
  </si>
  <si>
    <t>電機機械類指數</t>
  </si>
  <si>
    <t>電器電纜類指數</t>
  </si>
  <si>
    <t>化學生技醫療類指數</t>
  </si>
  <si>
    <t>玻璃陶瓷類指數</t>
  </si>
  <si>
    <t>鋼鐵類指數</t>
  </si>
  <si>
    <t>橡膠類指數</t>
  </si>
  <si>
    <t>汽車類指數</t>
  </si>
  <si>
    <t>航運類指數</t>
  </si>
  <si>
    <t>觀光類指數</t>
  </si>
  <si>
    <t>貿易百貨類指數</t>
  </si>
  <si>
    <t>其他類指數</t>
  </si>
  <si>
    <t>食品類指數</t>
  </si>
  <si>
    <t>紡織纖維類指數</t>
  </si>
  <si>
    <t>造紙類指數</t>
  </si>
  <si>
    <t>建材營造類指數</t>
  </si>
  <si>
    <t>金融保險類指數</t>
  </si>
  <si>
    <t>水泥窯製類指數</t>
  </si>
  <si>
    <t>塑膠化工類指數</t>
  </si>
  <si>
    <t>機電類指數</t>
  </si>
  <si>
    <t>未含金融保險股指數</t>
  </si>
  <si>
    <t>櫃買指數暨產業分類指數(日查詢)</t>
  </si>
  <si>
    <t>類股名稱</t>
  </si>
  <si>
    <t>收市</t>
  </si>
  <si>
    <t>漲跌</t>
  </si>
  <si>
    <t>開市</t>
  </si>
  <si>
    <t>最高</t>
  </si>
  <si>
    <t>最低</t>
  </si>
  <si>
    <t>綠能環保</t>
  </si>
  <si>
    <t>數位雲端</t>
  </si>
  <si>
    <t>居家生活</t>
  </si>
  <si>
    <t>上市</t>
    <phoneticPr fontId="1" type="noConversion"/>
  </si>
  <si>
    <t>產業</t>
    <phoneticPr fontId="1" type="noConversion"/>
  </si>
  <si>
    <t>上櫃</t>
    <phoneticPr fontId="1" type="noConversion"/>
  </si>
  <si>
    <t>產業類股指數</t>
    <phoneticPr fontId="1" type="noConversion"/>
  </si>
  <si>
    <t>運動休閒</t>
  </si>
  <si>
    <t>半導體類</t>
  </si>
  <si>
    <t>電腦及週邊設備類</t>
  </si>
  <si>
    <t>光電類</t>
  </si>
  <si>
    <t>通信網路類</t>
  </si>
  <si>
    <t>電子零組件類</t>
  </si>
  <si>
    <t>電子通路類</t>
  </si>
  <si>
    <t>資訊服務類</t>
  </si>
  <si>
    <t>化學類</t>
  </si>
  <si>
    <t>生技醫療類</t>
  </si>
  <si>
    <t>油電燃氣類</t>
  </si>
  <si>
    <t>電子類</t>
  </si>
  <si>
    <t>水泥類</t>
  </si>
  <si>
    <t>塑膠類</t>
  </si>
  <si>
    <t>電機機械類</t>
  </si>
  <si>
    <t>電器電纜類</t>
  </si>
  <si>
    <t>化學生技醫療類</t>
  </si>
  <si>
    <t>鋼鐵類</t>
  </si>
  <si>
    <t>橡膠類</t>
  </si>
  <si>
    <t>汽車類</t>
  </si>
  <si>
    <t>航運類</t>
  </si>
  <si>
    <t>觀光類</t>
  </si>
  <si>
    <t>貿易百貨類</t>
  </si>
  <si>
    <t>其他類</t>
  </si>
  <si>
    <t>食品類</t>
  </si>
  <si>
    <t>紡織纖維類</t>
  </si>
  <si>
    <t>造紙類</t>
  </si>
  <si>
    <t>建材營造類</t>
  </si>
  <si>
    <t>金融保險類</t>
  </si>
  <si>
    <t>水泥窯製類</t>
  </si>
  <si>
    <t>塑膠化工類</t>
  </si>
  <si>
    <t>機電類</t>
  </si>
  <si>
    <t>玻璃陶瓷類</t>
    <phoneticPr fontId="1" type="noConversion"/>
  </si>
  <si>
    <t>TSE</t>
    <phoneticPr fontId="1" type="noConversion"/>
  </si>
  <si>
    <t>加權股價指數</t>
    <phoneticPr fontId="1" type="noConversion"/>
  </si>
  <si>
    <t>半導體類指數</t>
    <phoneticPr fontId="1" type="noConversion"/>
  </si>
  <si>
    <t>上市公司 指數</t>
    <phoneticPr fontId="1" type="noConversion"/>
  </si>
  <si>
    <t>最新指數</t>
    <phoneticPr fontId="1" type="noConversion"/>
  </si>
  <si>
    <t>漲跌點數</t>
    <phoneticPr fontId="1" type="noConversion"/>
  </si>
  <si>
    <t>漲跌百分比</t>
    <phoneticPr fontId="1" type="noConversion"/>
  </si>
  <si>
    <t>上櫃公司 指數</t>
    <phoneticPr fontId="1" type="noConversion"/>
  </si>
  <si>
    <t>綠能環保類</t>
    <phoneticPr fontId="1" type="noConversion"/>
  </si>
  <si>
    <t>數位雲端類</t>
    <phoneticPr fontId="1" type="noConversion"/>
  </si>
  <si>
    <t>運動休閒類</t>
    <phoneticPr fontId="1" type="noConversion"/>
  </si>
  <si>
    <t>居家生活類</t>
    <phoneticPr fontId="1" type="noConversion"/>
  </si>
  <si>
    <t>半導體類</t>
    <phoneticPr fontId="1" type="noConversion"/>
  </si>
  <si>
    <t>電腦及週邊設備類</t>
    <phoneticPr fontId="1" type="noConversion"/>
  </si>
  <si>
    <t>光電類</t>
    <phoneticPr fontId="1" type="noConversion"/>
  </si>
  <si>
    <t>通信網路類</t>
    <phoneticPr fontId="1" type="noConversion"/>
  </si>
  <si>
    <t>電子零組件類</t>
    <phoneticPr fontId="1" type="noConversion"/>
  </si>
  <si>
    <t>電子通路類</t>
    <phoneticPr fontId="1" type="noConversion"/>
  </si>
  <si>
    <t>資訊服務類</t>
    <phoneticPr fontId="1" type="noConversion"/>
  </si>
  <si>
    <t>化學類</t>
    <phoneticPr fontId="1" type="noConversion"/>
  </si>
  <si>
    <t>生技醫療類</t>
    <phoneticPr fontId="1" type="noConversion"/>
  </si>
  <si>
    <t>油電燃氣類</t>
    <phoneticPr fontId="1" type="noConversion"/>
  </si>
  <si>
    <t>電子類</t>
    <phoneticPr fontId="1" type="noConversion"/>
  </si>
  <si>
    <t>水泥類</t>
    <phoneticPr fontId="1" type="noConversion"/>
  </si>
  <si>
    <t>塑膠類</t>
    <phoneticPr fontId="1" type="noConversion"/>
  </si>
  <si>
    <t>電機機械類</t>
    <phoneticPr fontId="1" type="noConversion"/>
  </si>
  <si>
    <t>電器電纜類</t>
    <phoneticPr fontId="1" type="noConversion"/>
  </si>
  <si>
    <t>化學生技醫療類</t>
    <phoneticPr fontId="1" type="noConversion"/>
  </si>
  <si>
    <t>鋼鐵類</t>
    <phoneticPr fontId="1" type="noConversion"/>
  </si>
  <si>
    <t>橡膠類</t>
    <phoneticPr fontId="1" type="noConversion"/>
  </si>
  <si>
    <t>汽車類</t>
    <phoneticPr fontId="1" type="noConversion"/>
  </si>
  <si>
    <t>航運類</t>
    <phoneticPr fontId="1" type="noConversion"/>
  </si>
  <si>
    <t>觀光類</t>
    <phoneticPr fontId="1" type="noConversion"/>
  </si>
  <si>
    <t>貿易百貨類</t>
    <phoneticPr fontId="1" type="noConversion"/>
  </si>
  <si>
    <t>其他類</t>
    <phoneticPr fontId="1" type="noConversion"/>
  </si>
  <si>
    <t>食品類</t>
    <phoneticPr fontId="1" type="noConversion"/>
  </si>
  <si>
    <t>紡織纖維類</t>
    <phoneticPr fontId="1" type="noConversion"/>
  </si>
  <si>
    <t>造紙類</t>
    <phoneticPr fontId="1" type="noConversion"/>
  </si>
  <si>
    <t>建材營造類</t>
    <phoneticPr fontId="1" type="noConversion"/>
  </si>
  <si>
    <t>金融保險類</t>
    <phoneticPr fontId="1" type="noConversion"/>
  </si>
  <si>
    <t>水泥窯製類</t>
    <phoneticPr fontId="1" type="noConversion"/>
  </si>
  <si>
    <t>塑膠化工類</t>
    <phoneticPr fontId="1" type="noConversion"/>
  </si>
  <si>
    <t>機電類</t>
    <phoneticPr fontId="1" type="noConversion"/>
  </si>
  <si>
    <t>發行量加權股價</t>
    <phoneticPr fontId="1" type="noConversion"/>
  </si>
  <si>
    <t>櫃買指數</t>
  </si>
  <si>
    <t>紡織纖維</t>
  </si>
  <si>
    <t>電機機械</t>
  </si>
  <si>
    <t>鋼鐵工業</t>
  </si>
  <si>
    <t>電子工業</t>
  </si>
  <si>
    <t>建材營造</t>
  </si>
  <si>
    <t>航運業</t>
  </si>
  <si>
    <t>觀光餐旅</t>
  </si>
  <si>
    <t>其他</t>
  </si>
  <si>
    <t>化學工業</t>
  </si>
  <si>
    <t>生技醫療</t>
  </si>
  <si>
    <t>半導體業</t>
  </si>
  <si>
    <t>電腦及週邊設備業</t>
  </si>
  <si>
    <t>光電業</t>
  </si>
  <si>
    <t>通信網路業</t>
  </si>
  <si>
    <t>電子零組件業</t>
  </si>
  <si>
    <t>電子通路業</t>
  </si>
  <si>
    <t>資訊服務業</t>
  </si>
  <si>
    <t>其他電子業</t>
  </si>
  <si>
    <t>文化創意業</t>
  </si>
  <si>
    <t>紡織纖維</t>
    <phoneticPr fontId="1" type="noConversion"/>
  </si>
  <si>
    <t>電機機械</t>
    <phoneticPr fontId="1" type="noConversion"/>
  </si>
  <si>
    <t>鋼鐵工業</t>
    <phoneticPr fontId="1" type="noConversion"/>
  </si>
  <si>
    <t>電子工業</t>
    <phoneticPr fontId="1" type="noConversion"/>
  </si>
  <si>
    <t>建材營造</t>
    <phoneticPr fontId="1" type="noConversion"/>
  </si>
  <si>
    <t>航運業</t>
    <phoneticPr fontId="1" type="noConversion"/>
  </si>
  <si>
    <t>觀光餐旅</t>
    <phoneticPr fontId="1" type="noConversion"/>
  </si>
  <si>
    <t>其他</t>
    <phoneticPr fontId="1" type="noConversion"/>
  </si>
  <si>
    <t>化學工業</t>
    <phoneticPr fontId="1" type="noConversion"/>
  </si>
  <si>
    <t>生技醫療</t>
    <phoneticPr fontId="1" type="noConversion"/>
  </si>
  <si>
    <t>半導體業</t>
    <phoneticPr fontId="1" type="noConversion"/>
  </si>
  <si>
    <t>電腦及週邊設備業</t>
    <phoneticPr fontId="1" type="noConversion"/>
  </si>
  <si>
    <t>光電業</t>
    <phoneticPr fontId="1" type="noConversion"/>
  </si>
  <si>
    <t>通信網路業</t>
    <phoneticPr fontId="1" type="noConversion"/>
  </si>
  <si>
    <t>電子零組件業</t>
    <phoneticPr fontId="1" type="noConversion"/>
  </si>
  <si>
    <t>電子通路業</t>
    <phoneticPr fontId="1" type="noConversion"/>
  </si>
  <si>
    <t>資訊服務業</t>
    <phoneticPr fontId="1" type="noConversion"/>
  </si>
  <si>
    <t>其他電子業</t>
    <phoneticPr fontId="1" type="noConversion"/>
  </si>
  <si>
    <t>文化創意業</t>
    <phoneticPr fontId="1" type="noConversion"/>
  </si>
  <si>
    <t>綠能環保</t>
    <phoneticPr fontId="1" type="noConversion"/>
  </si>
  <si>
    <t>數位雲端</t>
    <phoneticPr fontId="1" type="noConversion"/>
  </si>
  <si>
    <t>居家生活</t>
    <phoneticPr fontId="1" type="noConversion"/>
  </si>
  <si>
    <t>櫃買指數</t>
    <phoneticPr fontId="1" type="noConversion"/>
  </si>
  <si>
    <t>OCT</t>
    <phoneticPr fontId="1" type="noConversion"/>
  </si>
  <si>
    <t>櫃買</t>
    <phoneticPr fontId="1" type="noConversion"/>
  </si>
  <si>
    <t>產業類股網站：https://www.wantgoo.com/index/overview</t>
    <phoneticPr fontId="1" type="noConversion"/>
  </si>
  <si>
    <t>(網頁有擋超連結，複製貼上前往即可)</t>
    <phoneticPr fontId="1" type="noConversion"/>
  </si>
  <si>
    <t>根據排名從該網站尋找有興趣之個股：</t>
    <phoneticPr fontId="1" type="noConversion"/>
  </si>
  <si>
    <t>輸入股票代碼</t>
    <phoneticPr fontId="1" type="noConversion"/>
  </si>
  <si>
    <t>股票</t>
  </si>
  <si>
    <t>營運利率</t>
    <phoneticPr fontId="1" type="noConversion"/>
  </si>
  <si>
    <t>稅後淨利率</t>
    <phoneticPr fontId="1" type="noConversion"/>
  </si>
  <si>
    <t>Stock1</t>
    <phoneticPr fontId="1" type="noConversion"/>
  </si>
  <si>
    <t>Stock2</t>
    <phoneticPr fontId="1" type="noConversion"/>
  </si>
  <si>
    <t>Stock3</t>
    <phoneticPr fontId="1" type="noConversion"/>
  </si>
  <si>
    <t>Stock4</t>
    <phoneticPr fontId="1" type="noConversion"/>
  </si>
  <si>
    <t>Stock5</t>
    <phoneticPr fontId="1" type="noConversion"/>
  </si>
  <si>
    <t>stock1</t>
  </si>
  <si>
    <t>stock2</t>
  </si>
  <si>
    <t>stock3</t>
  </si>
  <si>
    <t>stock4</t>
  </si>
  <si>
    <t>stock5</t>
  </si>
  <si>
    <t>指數名稱</t>
  </si>
  <si>
    <t>最新指數</t>
  </si>
  <si>
    <t>漲跌點數</t>
  </si>
  <si>
    <t>漲跌百分比</t>
  </si>
  <si>
    <t>發行量加權股價報酬指數</t>
  </si>
  <si>
    <t>臺灣50權重上限30%指數</t>
  </si>
  <si>
    <t>小型股300指數</t>
  </si>
  <si>
    <t>臺指反向一倍指數</t>
  </si>
  <si>
    <t>臺指日報酬兩倍指數</t>
  </si>
  <si>
    <t>臺灣公司治理100指數</t>
  </si>
  <si>
    <t>電子類日報酬兩倍指數</t>
  </si>
  <si>
    <t>電子類日報酬反向一倍指數</t>
  </si>
  <si>
    <t>臺灣高薪100指數</t>
  </si>
  <si>
    <t>寶島指數</t>
  </si>
  <si>
    <t>臺灣就業99指數</t>
  </si>
  <si>
    <t>半導體類指數</t>
  </si>
  <si>
    <t>半導體類報酬指數</t>
  </si>
  <si>
    <t>電腦及週邊設備類報酬指數</t>
  </si>
  <si>
    <t>光電類報酬指數</t>
  </si>
  <si>
    <t>通信網路類報酬指數</t>
  </si>
  <si>
    <t>電子零組件類報酬指數</t>
  </si>
  <si>
    <t>電子通路類報酬指數</t>
  </si>
  <si>
    <t>資訊服務類報酬指數</t>
  </si>
  <si>
    <t>其他電子類報酬指數</t>
  </si>
  <si>
    <t>化學類報酬指數</t>
  </si>
  <si>
    <t>生技醫療類報酬指數</t>
  </si>
  <si>
    <t>油電燃氣類報酬指數</t>
  </si>
  <si>
    <t>臺灣發達指數</t>
  </si>
  <si>
    <t>臺灣高股息指數</t>
  </si>
  <si>
    <t>未含金融電子股報酬指數</t>
  </si>
  <si>
    <t>臺灣中型100指數</t>
  </si>
  <si>
    <t>臺灣資訊科技指數</t>
  </si>
  <si>
    <t>臺灣50指數</t>
  </si>
  <si>
    <t>電子類報酬指數</t>
  </si>
  <si>
    <t>水泥類報酬指數</t>
  </si>
  <si>
    <t>塑膠類報酬指數</t>
  </si>
  <si>
    <t>電機機械類報酬指數</t>
  </si>
  <si>
    <t>電器電纜類報酬指數</t>
  </si>
  <si>
    <t>化學生技醫療類報酬指數</t>
  </si>
  <si>
    <t>玻璃陶瓷類報酬指數</t>
  </si>
  <si>
    <t>鋼鐵類報酬指數</t>
  </si>
  <si>
    <t>橡膠類報酬指數</t>
  </si>
  <si>
    <t>汽車類報酬指數</t>
  </si>
  <si>
    <t>航運類報酬指數</t>
  </si>
  <si>
    <t>觀光類報酬指數</t>
  </si>
  <si>
    <t>貿易百貨類報酬指數</t>
  </si>
  <si>
    <t>其他類報酬指數</t>
  </si>
  <si>
    <t>食品類報酬指數</t>
  </si>
  <si>
    <t>紡織纖維類報酬指數</t>
  </si>
  <si>
    <t>造紙類報酬指數</t>
  </si>
  <si>
    <t>建材營造類報酬指數</t>
  </si>
  <si>
    <t>金融保險類報酬指數</t>
  </si>
  <si>
    <t>營利分析</t>
    <phoneticPr fontId="1" type="noConversion"/>
  </si>
  <si>
    <t>成長性分析</t>
    <phoneticPr fontId="1" type="noConversion"/>
  </si>
  <si>
    <t>櫃買指數暨產業分類指數(日查詢)  資料日期:113/05/27</t>
  </si>
  <si>
    <t>共23筆</t>
  </si>
  <si>
    <t>標的挑選&amp;財務狀況分析</t>
    <phoneticPr fontId="1" type="noConversion"/>
  </si>
  <si>
    <t>評價分析</t>
    <phoneticPr fontId="1" type="noConversion"/>
  </si>
  <si>
    <t>證券代號</t>
  </si>
  <si>
    <t>證券名稱</t>
  </si>
  <si>
    <t>殖利率(%)</t>
  </si>
  <si>
    <t>股利年度</t>
  </si>
  <si>
    <t>本益比</t>
  </si>
  <si>
    <t>股價淨值比</t>
  </si>
  <si>
    <t>財報年/季</t>
  </si>
  <si>
    <t>台泥</t>
  </si>
  <si>
    <t>亞泥</t>
  </si>
  <si>
    <t>嘉泥</t>
  </si>
  <si>
    <t>-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</si>
  <si>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</si>
  <si>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</si>
  <si>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</si>
  <si>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</si>
  <si>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</si>
  <si>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</si>
  <si>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</si>
  <si>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</si>
  <si>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</si>
  <si>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</si>
  <si>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</si>
  <si>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</si>
  <si>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</si>
  <si>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</si>
  <si>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</si>
  <si>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</si>
  <si>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</si>
  <si>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</si>
  <si>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</si>
  <si>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</si>
  <si>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</si>
  <si>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</si>
  <si>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</si>
  <si>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鮮活果汁-KY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</si>
  <si>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</si>
  <si>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</si>
  <si>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</si>
  <si>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</si>
  <si>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</si>
  <si>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</si>
  <si>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</si>
  <si>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</si>
  <si>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</si>
  <si>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</si>
  <si>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</si>
  <si>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</si>
  <si>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</si>
  <si>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</si>
  <si>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</si>
  <si>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</si>
  <si>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</si>
  <si>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</si>
  <si>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</si>
  <si>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</si>
  <si>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</si>
  <si>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</si>
  <si>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</si>
  <si>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</si>
  <si>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</si>
  <si>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</si>
  <si>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</si>
  <si>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</si>
  <si>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</si>
  <si>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</si>
  <si>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</si>
  <si>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</si>
  <si>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</si>
  <si>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</si>
  <si>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</si>
  <si>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</si>
  <si>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</si>
  <si>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華友聯</t>
  </si>
  <si>
    <t>勤益控</t>
  </si>
  <si>
    <t>三地開發</t>
  </si>
  <si>
    <t>雋揚</t>
  </si>
  <si>
    <t>南紡</t>
  </si>
  <si>
    <t>大東</t>
  </si>
  <si>
    <t>名軒</t>
  </si>
  <si>
    <t>立益物流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</si>
  <si>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</si>
  <si>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</si>
  <si>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</si>
  <si>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</si>
  <si>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</si>
  <si>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</si>
  <si>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</si>
  <si>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</si>
  <si>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</si>
  <si>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</si>
  <si>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</si>
  <si>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</si>
  <si>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</si>
  <si>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</si>
  <si>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</si>
  <si>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</si>
  <si>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</si>
  <si>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</si>
  <si>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</si>
  <si>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</si>
  <si>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</si>
  <si>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</si>
  <si>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三洋實業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</si>
  <si>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</si>
  <si>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</si>
  <si>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</si>
  <si>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</si>
  <si>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</si>
  <si>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</si>
  <si>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</si>
  <si>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</si>
  <si>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</si>
  <si>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</si>
  <si>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</si>
  <si>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</si>
  <si>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</si>
  <si>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</si>
  <si>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</si>
  <si>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</si>
  <si>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</si>
  <si>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</si>
  <si>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</si>
  <si>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</si>
  <si>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</si>
  <si>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</si>
  <si>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樂事綠能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</si>
  <si>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</si>
  <si>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</si>
  <si>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</si>
  <si>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</si>
  <si>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</si>
  <si>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</si>
  <si>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</si>
  <si>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</si>
  <si>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</si>
  <si>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</si>
  <si>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</si>
  <si>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</si>
  <si>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</si>
  <si>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倉佑</t>
  </si>
  <si>
    <t>信錦</t>
  </si>
  <si>
    <t>程泰</t>
  </si>
  <si>
    <t>吉茂</t>
  </si>
  <si>
    <t>永冠-KY</t>
  </si>
  <si>
    <t>亞德客-KY</t>
  </si>
  <si>
    <t>直得</t>
  </si>
  <si>
    <t>岱宇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</si>
  <si>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</si>
  <si>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</si>
  <si>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</si>
  <si>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</si>
  <si>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</si>
  <si>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</si>
  <si>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</si>
  <si>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</si>
  <si>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</si>
  <si>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</si>
  <si>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</si>
  <si>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</si>
  <si>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</si>
  <si>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</si>
  <si>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</si>
  <si>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</si>
  <si>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</si>
  <si>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</si>
  <si>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</si>
  <si>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</si>
  <si>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</si>
  <si>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</si>
  <si>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</si>
  <si>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</si>
  <si>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</si>
  <si>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</si>
  <si>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</si>
  <si>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</si>
  <si>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</si>
  <si>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</si>
  <si>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</si>
  <si>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</si>
  <si>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</si>
  <si>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</si>
  <si>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</si>
  <si>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</si>
  <si>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</si>
  <si>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</si>
  <si>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</si>
  <si>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</si>
  <si>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南光</t>
  </si>
  <si>
    <t>寶齡富錦</t>
  </si>
  <si>
    <t>中化生</t>
  </si>
  <si>
    <t>勝一</t>
  </si>
  <si>
    <t>展宇</t>
  </si>
  <si>
    <t>和康生</t>
  </si>
  <si>
    <t>科妍</t>
  </si>
  <si>
    <t>神隆</t>
  </si>
  <si>
    <t>美時</t>
  </si>
  <si>
    <t>台玻</t>
  </si>
  <si>
    <t>寶徠</t>
  </si>
  <si>
    <t>冠軍</t>
  </si>
  <si>
    <t>潤隆</t>
  </si>
  <si>
    <t>中釉</t>
  </si>
  <si>
    <t>和成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</si>
  <si>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</si>
  <si>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</si>
  <si>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</si>
  <si>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</si>
  <si>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</si>
  <si>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</si>
  <si>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</si>
  <si>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</si>
  <si>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</si>
  <si>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</si>
  <si>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</si>
  <si>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</si>
  <si>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</si>
  <si>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</si>
  <si>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</si>
  <si>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</si>
  <si>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</si>
  <si>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</si>
  <si>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</si>
  <si>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</si>
  <si>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</si>
  <si>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</si>
  <si>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</si>
  <si>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</si>
  <si>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</si>
  <si>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</si>
  <si>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</si>
  <si>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</si>
  <si>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</si>
  <si>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</si>
  <si>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</si>
  <si>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海光</t>
  </si>
  <si>
    <t>上銀</t>
  </si>
  <si>
    <t>川湖</t>
  </si>
  <si>
    <t>橋椿</t>
  </si>
  <si>
    <t>運錩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</si>
  <si>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</si>
  <si>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</si>
  <si>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</si>
  <si>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</si>
  <si>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</si>
  <si>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</si>
  <si>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</si>
  <si>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</si>
  <si>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</si>
  <si>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</si>
  <si>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</si>
  <si>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</si>
  <si>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</si>
  <si>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</si>
  <si>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</si>
  <si>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</si>
  <si>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</si>
  <si>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裕日車</t>
  </si>
  <si>
    <t>劍麟</t>
  </si>
  <si>
    <t>為升</t>
  </si>
  <si>
    <t>宇隆</t>
  </si>
  <si>
    <t>百達-KY</t>
  </si>
  <si>
    <t>英利-KY</t>
  </si>
  <si>
    <t>艾姆勒</t>
  </si>
  <si>
    <t>宏旭-KY</t>
  </si>
  <si>
    <t>汎德永業</t>
  </si>
  <si>
    <t>IKKA-KY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</si>
  <si>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</si>
  <si>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</si>
  <si>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</si>
  <si>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</si>
  <si>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</si>
  <si>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</si>
  <si>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</si>
  <si>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</si>
  <si>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</si>
  <si>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</si>
  <si>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</si>
  <si>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</si>
  <si>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</si>
  <si>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</si>
  <si>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</si>
  <si>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</si>
  <si>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</si>
  <si>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</si>
  <si>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</si>
  <si>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</si>
  <si>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</si>
  <si>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台亞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</si>
  <si>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</si>
  <si>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</si>
  <si>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</si>
  <si>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</si>
  <si>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</si>
  <si>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</si>
  <si>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</si>
  <si>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</si>
  <si>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</si>
  <si>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</si>
  <si>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</si>
  <si>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</si>
  <si>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</si>
  <si>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</si>
  <si>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</si>
  <si>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</si>
  <si>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</si>
  <si>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</si>
  <si>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</si>
  <si>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</si>
  <si>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</si>
  <si>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</si>
  <si>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</si>
  <si>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</si>
  <si>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</si>
  <si>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</si>
  <si>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</si>
  <si>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</si>
  <si>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</si>
  <si>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</si>
  <si>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</si>
  <si>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</si>
  <si>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</si>
  <si>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</si>
  <si>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</si>
  <si>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</si>
  <si>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</si>
  <si>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</si>
  <si>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</si>
  <si>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</si>
  <si>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</si>
  <si>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</si>
  <si>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</si>
  <si>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</si>
  <si>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</si>
  <si>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輔信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</si>
  <si>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</si>
  <si>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</si>
  <si>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</si>
  <si>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</si>
  <si>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</si>
  <si>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</si>
  <si>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</si>
  <si>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</si>
  <si>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</si>
  <si>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</si>
  <si>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</si>
  <si>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</si>
  <si>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</si>
  <si>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</si>
  <si>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</si>
  <si>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</si>
  <si>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</si>
  <si>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</si>
  <si>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</si>
  <si>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</si>
  <si>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</si>
  <si>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</si>
  <si>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</si>
  <si>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</si>
  <si>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</si>
  <si>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</si>
  <si>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</si>
  <si>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</si>
  <si>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昶虹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</si>
  <si>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</si>
  <si>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</si>
  <si>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</si>
  <si>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</si>
  <si>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</si>
  <si>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</si>
  <si>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</si>
  <si>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</si>
  <si>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</si>
  <si>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</si>
  <si>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</si>
  <si>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</si>
  <si>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</si>
  <si>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</si>
  <si>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</si>
  <si>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</si>
  <si>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</si>
  <si>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</si>
  <si>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</si>
  <si>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</si>
  <si>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</si>
  <si>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</si>
  <si>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</si>
  <si>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</si>
  <si>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</si>
  <si>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</si>
  <si>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</si>
  <si>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</si>
  <si>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</si>
  <si>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</si>
  <si>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</si>
  <si>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</si>
  <si>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</si>
  <si>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</si>
  <si>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</si>
  <si>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</si>
  <si>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</si>
  <si>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</si>
  <si>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</si>
  <si>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</si>
  <si>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</si>
  <si>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</si>
  <si>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</si>
  <si>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</si>
  <si>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</si>
  <si>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</si>
  <si>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</si>
  <si>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</si>
  <si>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</si>
  <si>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</si>
  <si>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</si>
  <si>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</si>
  <si>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</si>
  <si>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</si>
  <si>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</si>
  <si>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</si>
  <si>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</si>
  <si>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</si>
  <si>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</si>
  <si>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</si>
  <si>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</si>
  <si>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</si>
  <si>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</si>
  <si>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</si>
  <si>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</si>
  <si>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</si>
  <si>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</si>
  <si>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</si>
  <si>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</si>
  <si>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</si>
  <si>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</si>
  <si>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</si>
  <si>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</si>
  <si>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</si>
  <si>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</si>
  <si>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</si>
  <si>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</si>
  <si>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</si>
  <si>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</si>
  <si>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</si>
  <si>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</si>
  <si>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</si>
  <si>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</si>
  <si>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</si>
  <si>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</si>
  <si>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</si>
  <si>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</si>
  <si>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</si>
  <si>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</si>
  <si>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宅配通</t>
  </si>
  <si>
    <t>萬企</t>
  </si>
  <si>
    <t>華園</t>
  </si>
  <si>
    <t>國賓</t>
  </si>
  <si>
    <t>六福</t>
  </si>
  <si>
    <t>第一店</t>
  </si>
  <si>
    <t>晶華</t>
  </si>
  <si>
    <t>遠雄來</t>
  </si>
  <si>
    <t>夏都</t>
  </si>
  <si>
    <t>美食-KY</t>
  </si>
  <si>
    <t>王品</t>
  </si>
  <si>
    <t>雄獅</t>
  </si>
  <si>
    <t>寒舍</t>
  </si>
  <si>
    <t>雲品</t>
  </si>
  <si>
    <t>八方雲集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</si>
  <si>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</si>
  <si>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</si>
  <si>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</si>
  <si>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</si>
  <si>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</si>
  <si>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</si>
  <si>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</si>
  <si>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</si>
  <si>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</si>
  <si>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</si>
  <si>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</si>
  <si>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</si>
  <si>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</si>
  <si>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</si>
  <si>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</si>
  <si>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</si>
  <si>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</si>
  <si>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</si>
  <si>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</si>
  <si>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</si>
  <si>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</si>
  <si>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</si>
  <si>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</si>
  <si>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</si>
  <si>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</si>
  <si>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</si>
  <si>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</si>
  <si>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</si>
  <si>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</si>
  <si>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</si>
  <si>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</si>
  <si>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</si>
  <si>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</si>
  <si>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</si>
  <si>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</si>
  <si>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</si>
  <si>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</si>
  <si>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</si>
  <si>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</si>
  <si>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</si>
  <si>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</si>
  <si>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鼎固-KY</t>
  </si>
  <si>
    <t>淘帝-KY</t>
  </si>
  <si>
    <t>凱羿-KY</t>
  </si>
  <si>
    <t>三商家購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</si>
  <si>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</si>
  <si>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</si>
  <si>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</si>
  <si>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</si>
  <si>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</si>
  <si>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</si>
  <si>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</si>
  <si>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</si>
  <si>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</si>
  <si>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</si>
  <si>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</si>
  <si>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</si>
  <si>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</si>
  <si>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</si>
  <si>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</si>
  <si>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</si>
  <si>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</si>
  <si>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</si>
  <si>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</si>
  <si>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</si>
  <si>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</si>
  <si>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</si>
  <si>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</si>
  <si>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</si>
  <si>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</si>
  <si>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</si>
  <si>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</si>
  <si>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</si>
  <si>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</si>
  <si>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</si>
  <si>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</si>
  <si>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</si>
  <si>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</si>
  <si>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</si>
  <si>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</si>
  <si>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</si>
  <si>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</si>
  <si>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</si>
  <si>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</si>
  <si>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</si>
  <si>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</si>
  <si>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精金</t>
  </si>
  <si>
    <t>鈺德</t>
  </si>
  <si>
    <t>力特</t>
  </si>
  <si>
    <t>夆典</t>
  </si>
  <si>
    <t>立萬利</t>
  </si>
  <si>
    <t>蔚華科</t>
  </si>
  <si>
    <t>富華新</t>
  </si>
  <si>
    <t>喬鼎</t>
  </si>
  <si>
    <t>立德</t>
  </si>
  <si>
    <t>華晶科</t>
  </si>
  <si>
    <t>銘異</t>
  </si>
  <si>
    <t>建漢</t>
  </si>
  <si>
    <t>日電貿</t>
  </si>
  <si>
    <t>鴻碩</t>
  </si>
  <si>
    <t>聯傑</t>
  </si>
  <si>
    <t>一零四</t>
  </si>
  <si>
    <t>耀登</t>
  </si>
  <si>
    <t>正達</t>
  </si>
  <si>
    <t>景岳</t>
  </si>
  <si>
    <t>大量</t>
  </si>
  <si>
    <t>景碩</t>
  </si>
  <si>
    <t>全科</t>
  </si>
  <si>
    <t>晟鈦</t>
  </si>
  <si>
    <t>緯創</t>
  </si>
  <si>
    <t>虹冠電</t>
  </si>
  <si>
    <t>昇陽</t>
  </si>
  <si>
    <t>勝德</t>
  </si>
  <si>
    <t>昇貿</t>
  </si>
  <si>
    <t>聯德</t>
  </si>
  <si>
    <t>閎暉</t>
  </si>
  <si>
    <t>弘憶股</t>
  </si>
  <si>
    <t>同泰</t>
  </si>
  <si>
    <t>泰碩</t>
  </si>
  <si>
    <t>麗清</t>
  </si>
  <si>
    <t>奇偶</t>
  </si>
  <si>
    <t>新日興</t>
  </si>
  <si>
    <t>明泰</t>
  </si>
  <si>
    <t>玉晶光</t>
  </si>
  <si>
    <t>京鼎</t>
  </si>
  <si>
    <t>融程電</t>
  </si>
  <si>
    <t>譁裕</t>
  </si>
  <si>
    <t>台端</t>
  </si>
  <si>
    <t>榮創</t>
  </si>
  <si>
    <t>創意</t>
  </si>
  <si>
    <t>展達</t>
  </si>
  <si>
    <t>聯鈞</t>
  </si>
  <si>
    <t>晶睿</t>
  </si>
  <si>
    <t>群創</t>
  </si>
  <si>
    <t>誠研</t>
  </si>
  <si>
    <t>維熹</t>
  </si>
  <si>
    <t>揚明光</t>
  </si>
  <si>
    <t>華擎</t>
  </si>
  <si>
    <t>柏騰</t>
  </si>
  <si>
    <t>安馳</t>
  </si>
  <si>
    <t>晶相光</t>
  </si>
  <si>
    <t>台勝科</t>
  </si>
  <si>
    <t>嘉澤</t>
  </si>
  <si>
    <t>晶彩科</t>
  </si>
  <si>
    <t>誠創</t>
  </si>
  <si>
    <t>州巧</t>
  </si>
  <si>
    <t>敦泰</t>
  </si>
  <si>
    <t>聯穎</t>
  </si>
  <si>
    <t>嘉威</t>
  </si>
  <si>
    <t>牧德</t>
  </si>
  <si>
    <t>聯合再生</t>
  </si>
  <si>
    <t>辛耘</t>
  </si>
  <si>
    <t>通嘉</t>
  </si>
  <si>
    <t>艾笛森</t>
  </si>
  <si>
    <t>瑞鼎</t>
  </si>
  <si>
    <t>力銘</t>
  </si>
  <si>
    <t>智易</t>
  </si>
  <si>
    <t>宏致</t>
  </si>
  <si>
    <t>谷崧</t>
  </si>
  <si>
    <t>碩天</t>
  </si>
  <si>
    <t>洋華</t>
  </si>
  <si>
    <t>達邁</t>
  </si>
  <si>
    <t>精聯</t>
  </si>
  <si>
    <t>健策</t>
  </si>
  <si>
    <t>世芯-KY</t>
  </si>
  <si>
    <t>貿聯-KY</t>
  </si>
  <si>
    <t>圓展</t>
  </si>
  <si>
    <t>TPK-KY</t>
  </si>
  <si>
    <t>新至陞</t>
  </si>
  <si>
    <t>亞太電</t>
  </si>
  <si>
    <t>達能</t>
  </si>
  <si>
    <t>海華</t>
  </si>
  <si>
    <t>大眾控</t>
  </si>
  <si>
    <t>大聯大</t>
  </si>
  <si>
    <t>欣陸</t>
  </si>
  <si>
    <t>合勤控</t>
  </si>
  <si>
    <t>永信</t>
  </si>
  <si>
    <t>神達</t>
  </si>
  <si>
    <t>上緯投控</t>
  </si>
  <si>
    <t>日月光投控</t>
  </si>
  <si>
    <t>永崴投控</t>
  </si>
  <si>
    <t>富采</t>
  </si>
  <si>
    <t>定穎投控</t>
  </si>
  <si>
    <t>佳醫</t>
  </si>
  <si>
    <t>雃博</t>
  </si>
  <si>
    <t>懷特</t>
  </si>
  <si>
    <t>旭富</t>
  </si>
  <si>
    <t>亞諾法</t>
  </si>
  <si>
    <t>麗豐-KY</t>
  </si>
  <si>
    <t>國光生</t>
  </si>
  <si>
    <t>全宇生技-KY</t>
  </si>
  <si>
    <t>訊映</t>
  </si>
  <si>
    <t>承業醫</t>
  </si>
  <si>
    <t>佐登-KY</t>
  </si>
  <si>
    <t>炎洲</t>
  </si>
  <si>
    <t>利勤</t>
  </si>
  <si>
    <t>廣越</t>
  </si>
  <si>
    <t>冠星-KY</t>
  </si>
  <si>
    <t>宜新實業</t>
  </si>
  <si>
    <t>東台</t>
  </si>
  <si>
    <t>瑞智</t>
  </si>
  <si>
    <t>拓凱</t>
  </si>
  <si>
    <t>全球傳動</t>
  </si>
  <si>
    <t>銘鈺</t>
  </si>
  <si>
    <t>智伸科</t>
  </si>
  <si>
    <t>力達-KY</t>
  </si>
  <si>
    <t>氣立</t>
  </si>
  <si>
    <t>永新-KY</t>
  </si>
  <si>
    <t>強信-KY</t>
  </si>
  <si>
    <t>穎漢</t>
  </si>
  <si>
    <t>元翎</t>
  </si>
  <si>
    <t>時碩工業</t>
  </si>
  <si>
    <t>鈞興-KY</t>
  </si>
  <si>
    <t>駐龍</t>
  </si>
  <si>
    <t>大銀微系統</t>
  </si>
  <si>
    <t>光隆精密-KY</t>
  </si>
  <si>
    <t>台灣精銳</t>
  </si>
  <si>
    <t>德淵</t>
  </si>
  <si>
    <t>國精化</t>
  </si>
  <si>
    <t>華廣</t>
  </si>
  <si>
    <t>康普</t>
  </si>
  <si>
    <t>台耀</t>
  </si>
  <si>
    <t>三福化</t>
  </si>
  <si>
    <t>材料-KY</t>
  </si>
  <si>
    <t>雙鍵</t>
  </si>
  <si>
    <t>南寶</t>
  </si>
  <si>
    <t>上品</t>
  </si>
  <si>
    <t>日成-KY</t>
  </si>
  <si>
    <t>遠傳</t>
  </si>
  <si>
    <t>正文</t>
  </si>
  <si>
    <t>聯德控股-KY</t>
  </si>
  <si>
    <t>致伸</t>
  </si>
  <si>
    <t>事欣科</t>
  </si>
  <si>
    <t>新唐</t>
  </si>
  <si>
    <t>泰鼎-KY</t>
  </si>
  <si>
    <t>燦星網</t>
  </si>
  <si>
    <t>太極</t>
  </si>
  <si>
    <t>茂林-KY</t>
  </si>
  <si>
    <t>和碩</t>
  </si>
  <si>
    <t>嘉彰</t>
  </si>
  <si>
    <t>康控-KY</t>
  </si>
  <si>
    <t>凌通</t>
  </si>
  <si>
    <t>光鋐</t>
  </si>
  <si>
    <t>臻鼎-KY</t>
  </si>
  <si>
    <t>誠美材</t>
  </si>
  <si>
    <t>天鈺</t>
  </si>
  <si>
    <t>十銓</t>
  </si>
  <si>
    <t>立積</t>
  </si>
  <si>
    <t>佳凌</t>
  </si>
  <si>
    <t>眾達-KY</t>
  </si>
  <si>
    <t>榮科</t>
  </si>
  <si>
    <t>傳奇</t>
  </si>
  <si>
    <t>鑫禾</t>
  </si>
  <si>
    <t>三星</t>
  </si>
  <si>
    <t>訊連</t>
  </si>
  <si>
    <t>科嘉-KY</t>
  </si>
  <si>
    <t>全訊</t>
  </si>
  <si>
    <t>東科-KY</t>
  </si>
  <si>
    <t>達興材料</t>
  </si>
  <si>
    <t>乙盛-KY</t>
  </si>
  <si>
    <t>弘凱</t>
  </si>
  <si>
    <t>虹堡</t>
  </si>
  <si>
    <t>祥碩</t>
  </si>
  <si>
    <t>禾聯碩</t>
  </si>
  <si>
    <t>jpp-KY</t>
  </si>
  <si>
    <t>界霖</t>
  </si>
  <si>
    <t>豐祥-KY</t>
  </si>
  <si>
    <t>桂盟</t>
  </si>
  <si>
    <t>中磊</t>
  </si>
  <si>
    <t>崇越</t>
  </si>
  <si>
    <t>瀚宇博</t>
  </si>
  <si>
    <t>松翰</t>
  </si>
  <si>
    <t>慧友</t>
  </si>
  <si>
    <t>建國</t>
  </si>
  <si>
    <t>隆大</t>
  </si>
  <si>
    <t>工信</t>
  </si>
  <si>
    <t>遠雄</t>
  </si>
  <si>
    <t>順天</t>
  </si>
  <si>
    <t>鄉林</t>
  </si>
  <si>
    <t>皇鼎</t>
  </si>
  <si>
    <t>長虹</t>
  </si>
  <si>
    <t>東明-KY</t>
  </si>
  <si>
    <t>永固-KY</t>
  </si>
  <si>
    <t>遠雄港</t>
  </si>
  <si>
    <t>四維航</t>
  </si>
  <si>
    <t>鳳凰</t>
  </si>
  <si>
    <t>中租-KY</t>
  </si>
  <si>
    <t>上海商銀</t>
  </si>
  <si>
    <t>合庫金</t>
  </si>
  <si>
    <t>台南-KY</t>
  </si>
  <si>
    <t>大洋-KY</t>
  </si>
  <si>
    <t>群益證</t>
  </si>
  <si>
    <t>群益期</t>
  </si>
  <si>
    <t>競國</t>
  </si>
  <si>
    <t>邁達特</t>
  </si>
  <si>
    <t>鎰勝</t>
  </si>
  <si>
    <t>彩晶</t>
  </si>
  <si>
    <t>迎廣</t>
  </si>
  <si>
    <t>達運</t>
  </si>
  <si>
    <t>上福</t>
  </si>
  <si>
    <t>金橋</t>
  </si>
  <si>
    <t>富爾特</t>
  </si>
  <si>
    <t>亞翔</t>
  </si>
  <si>
    <t>柏承</t>
  </si>
  <si>
    <t>友勁</t>
  </si>
  <si>
    <t>百一</t>
  </si>
  <si>
    <t>嘉聯益</t>
  </si>
  <si>
    <t>鈞寶</t>
  </si>
  <si>
    <t>華興</t>
  </si>
  <si>
    <t>浪凡</t>
  </si>
  <si>
    <t>凌華</t>
  </si>
  <si>
    <t>宏齊</t>
  </si>
  <si>
    <t>瑞儀</t>
  </si>
  <si>
    <t>達麗</t>
  </si>
  <si>
    <t>關貿</t>
  </si>
  <si>
    <t>大豐電</t>
  </si>
  <si>
    <t>豐藝</t>
  </si>
  <si>
    <t>精成科</t>
  </si>
  <si>
    <t>巨路</t>
  </si>
  <si>
    <t>帆宣</t>
  </si>
  <si>
    <t>佳必琪</t>
  </si>
  <si>
    <t>亞弘電</t>
  </si>
  <si>
    <t>盛群</t>
  </si>
  <si>
    <t>詮欣</t>
  </si>
  <si>
    <t>飛捷</t>
  </si>
  <si>
    <t>今國光</t>
  </si>
  <si>
    <t>聯茂</t>
  </si>
  <si>
    <t>精誠</t>
  </si>
  <si>
    <t>和椿</t>
  </si>
  <si>
    <t>居易</t>
  </si>
  <si>
    <t>聚鼎</t>
  </si>
  <si>
    <t>天瀚</t>
  </si>
  <si>
    <t>光鼎</t>
  </si>
  <si>
    <t>尼得科超眾</t>
  </si>
  <si>
    <t>華孚</t>
  </si>
  <si>
    <t>力成</t>
  </si>
  <si>
    <t>迅杰</t>
  </si>
  <si>
    <t>矽格</t>
  </si>
  <si>
    <t>台郡</t>
  </si>
  <si>
    <t>同欣電</t>
  </si>
  <si>
    <t>宏正</t>
  </si>
  <si>
    <t>台表科</t>
  </si>
  <si>
    <t>全國電</t>
  </si>
  <si>
    <t>康舒</t>
  </si>
  <si>
    <t>淳安</t>
  </si>
  <si>
    <t>啟碁</t>
  </si>
  <si>
    <t>聯嘉</t>
  </si>
  <si>
    <t>悅城</t>
  </si>
  <si>
    <t>旭隼</t>
  </si>
  <si>
    <t>群電</t>
  </si>
  <si>
    <t>樺漢</t>
  </si>
  <si>
    <t>矽力*-KY</t>
  </si>
  <si>
    <t>瑞祺電通</t>
  </si>
  <si>
    <t>統新</t>
  </si>
  <si>
    <t>光麗-KY</t>
  </si>
  <si>
    <t>迅得</t>
  </si>
  <si>
    <t>光聖</t>
  </si>
  <si>
    <t>元晶</t>
  </si>
  <si>
    <t>鈺邦</t>
  </si>
  <si>
    <t>訊芯-KY</t>
  </si>
  <si>
    <t>GIS-KY</t>
  </si>
  <si>
    <t>台數科</t>
  </si>
  <si>
    <t>安集</t>
  </si>
  <si>
    <t>晶碩</t>
  </si>
  <si>
    <t>南六</t>
  </si>
  <si>
    <t>台塑化</t>
  </si>
  <si>
    <t>穎崴</t>
  </si>
  <si>
    <t>捷敏-KY</t>
  </si>
  <si>
    <t>愛普*</t>
  </si>
  <si>
    <t>晶心科</t>
  </si>
  <si>
    <t>泰福-KY</t>
  </si>
  <si>
    <t>北極星藥業-KY</t>
  </si>
  <si>
    <t>易華電</t>
  </si>
  <si>
    <t>興能高</t>
  </si>
  <si>
    <t>虹揚-KY</t>
  </si>
  <si>
    <t>研揚</t>
  </si>
  <si>
    <t>鋼聯</t>
  </si>
  <si>
    <t>申豐</t>
  </si>
  <si>
    <t>鼎基</t>
  </si>
  <si>
    <t>動力-KY</t>
  </si>
  <si>
    <t>和潤企業</t>
  </si>
  <si>
    <t>ABC-KY</t>
  </si>
  <si>
    <t>帝寶</t>
  </si>
  <si>
    <t>必應</t>
  </si>
  <si>
    <t>基士德-KY</t>
  </si>
  <si>
    <t>科定</t>
  </si>
  <si>
    <t>羅麗芬-KY</t>
  </si>
  <si>
    <t>中揚光</t>
  </si>
  <si>
    <t>緯穎</t>
  </si>
  <si>
    <t>復盛應用</t>
  </si>
  <si>
    <t>三能-KY</t>
  </si>
  <si>
    <t>騰輝電子-KY</t>
  </si>
  <si>
    <t>鋐寶科技</t>
  </si>
  <si>
    <t>伊雲谷</t>
  </si>
  <si>
    <t>洋基工程</t>
  </si>
  <si>
    <t>芯鼎</t>
  </si>
  <si>
    <t>旭暉應材</t>
  </si>
  <si>
    <t>惠特</t>
  </si>
  <si>
    <t>嘉基</t>
  </si>
  <si>
    <t>力智</t>
  </si>
  <si>
    <t>安普新</t>
  </si>
  <si>
    <t>匯僑設計</t>
  </si>
  <si>
    <t>威鋒電子</t>
  </si>
  <si>
    <t>志強-KY</t>
  </si>
  <si>
    <t>力積電</t>
  </si>
  <si>
    <t>展碁國際</t>
  </si>
  <si>
    <t>AES-KY</t>
  </si>
  <si>
    <t>視陽</t>
  </si>
  <si>
    <t>采鈺</t>
  </si>
  <si>
    <t>永豐實</t>
  </si>
  <si>
    <t>詠業</t>
  </si>
  <si>
    <t>晉弘</t>
  </si>
  <si>
    <t>來頡</t>
  </si>
  <si>
    <t>森崴能源</t>
  </si>
  <si>
    <t>峰源-KY</t>
  </si>
  <si>
    <t>汎銓</t>
  </si>
  <si>
    <t>天二科技</t>
  </si>
  <si>
    <t>圓裕</t>
  </si>
  <si>
    <t>錼創科技-KY創</t>
  </si>
  <si>
    <t>台通</t>
  </si>
  <si>
    <t>矽創</t>
  </si>
  <si>
    <t>尖點</t>
  </si>
  <si>
    <t>昇陽半導體</t>
  </si>
  <si>
    <t>雷虎</t>
  </si>
  <si>
    <t>台虹</t>
  </si>
  <si>
    <t>南電</t>
  </si>
  <si>
    <t>長華*</t>
  </si>
  <si>
    <t>陞泰</t>
  </si>
  <si>
    <t>致新</t>
  </si>
  <si>
    <t>華冠</t>
  </si>
  <si>
    <t>瀚荃</t>
  </si>
  <si>
    <t>錸寶</t>
  </si>
  <si>
    <t>凌巨</t>
  </si>
  <si>
    <t>華東</t>
  </si>
  <si>
    <t>至上</t>
  </si>
  <si>
    <t>振樺電</t>
  </si>
  <si>
    <t>福懋科</t>
  </si>
  <si>
    <t>南茂</t>
  </si>
  <si>
    <t>達方</t>
  </si>
  <si>
    <t>無敵</t>
  </si>
  <si>
    <t>勤誠</t>
  </si>
  <si>
    <t>志超</t>
  </si>
  <si>
    <t>明基材</t>
  </si>
  <si>
    <t>寶一</t>
  </si>
  <si>
    <t>菱光</t>
  </si>
  <si>
    <t>富鼎</t>
  </si>
  <si>
    <t>宇瞻</t>
  </si>
  <si>
    <t>日友</t>
  </si>
  <si>
    <t>建新國際</t>
  </si>
  <si>
    <t>羅昇</t>
  </si>
  <si>
    <t>百和興業-KY</t>
  </si>
  <si>
    <t>福貞-KY</t>
  </si>
  <si>
    <t>可寧衛</t>
  </si>
  <si>
    <t>金麗-KY</t>
  </si>
  <si>
    <t>昶昕</t>
  </si>
  <si>
    <t>威宏-KY</t>
  </si>
  <si>
    <t>阿瘦</t>
  </si>
  <si>
    <t>富邦媒</t>
  </si>
  <si>
    <t>柏文</t>
  </si>
  <si>
    <t>潤泰材</t>
  </si>
  <si>
    <t>億豐</t>
  </si>
  <si>
    <t>美吉吉-KY</t>
  </si>
  <si>
    <t>波力-KY</t>
  </si>
  <si>
    <t>山林水</t>
  </si>
  <si>
    <t>東哥遊艇</t>
  </si>
  <si>
    <t>政伸</t>
  </si>
  <si>
    <t>商億-KY</t>
  </si>
  <si>
    <t>吉源-KY</t>
  </si>
  <si>
    <t>鼎炫-KY</t>
  </si>
  <si>
    <t>台汽電</t>
  </si>
  <si>
    <t>新天地</t>
  </si>
  <si>
    <t>高力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</si>
  <si>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</si>
  <si>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</si>
  <si>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</si>
  <si>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</si>
  <si>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</si>
  <si>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</si>
  <si>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</si>
  <si>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</si>
  <si>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</si>
  <si>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</si>
  <si>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</si>
  <si>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</si>
  <si>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</si>
  <si>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</si>
  <si>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</si>
  <si>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</si>
  <si>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</si>
  <si>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</si>
  <si>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</si>
  <si>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</si>
  <si>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</si>
  <si>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</si>
  <si>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</si>
  <si>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</si>
  <si>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</si>
  <si>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</si>
  <si>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</si>
  <si>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</si>
  <si>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</si>
  <si>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</si>
  <si>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</si>
  <si>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</si>
  <si>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</si>
  <si>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</si>
  <si>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</si>
  <si>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</si>
  <si>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佳龍</t>
  </si>
  <si>
    <t>世紀鋼</t>
  </si>
  <si>
    <t>股票代號</t>
  </si>
  <si>
    <t>名稱</t>
  </si>
  <si>
    <t>每股股利</t>
  </si>
  <si>
    <t>茂生農經</t>
  </si>
  <si>
    <t>其祥-KY</t>
  </si>
  <si>
    <t>安心</t>
  </si>
  <si>
    <t>德麥</t>
  </si>
  <si>
    <t>漢來美食</t>
  </si>
  <si>
    <t>台翰</t>
  </si>
  <si>
    <t>精華</t>
  </si>
  <si>
    <t>濱川</t>
  </si>
  <si>
    <t>力肯</t>
  </si>
  <si>
    <t>新麥</t>
  </si>
  <si>
    <t>精剛</t>
  </si>
  <si>
    <t>和勤</t>
  </si>
  <si>
    <t>駿吉-KY</t>
  </si>
  <si>
    <t>祺驊</t>
  </si>
  <si>
    <t>川寶</t>
  </si>
  <si>
    <t>宏佳騰</t>
  </si>
  <si>
    <t>台蠟</t>
  </si>
  <si>
    <t>生泰</t>
  </si>
  <si>
    <t>合世</t>
  </si>
  <si>
    <t>N/A</t>
  </si>
  <si>
    <t>訊聯</t>
  </si>
  <si>
    <t>光洋科</t>
  </si>
  <si>
    <t>杏昌</t>
  </si>
  <si>
    <t>金穎生技</t>
  </si>
  <si>
    <t>易威</t>
  </si>
  <si>
    <t>寶利徠</t>
  </si>
  <si>
    <t>富喬</t>
  </si>
  <si>
    <t>唐榮</t>
  </si>
  <si>
    <t>風青</t>
  </si>
  <si>
    <t>世鎧</t>
  </si>
  <si>
    <t>晉椿</t>
  </si>
  <si>
    <t>世豐</t>
  </si>
  <si>
    <t>世德</t>
  </si>
  <si>
    <t>嘉鋼</t>
  </si>
  <si>
    <t>精湛</t>
  </si>
  <si>
    <t>大甲</t>
  </si>
  <si>
    <t>泰茂</t>
  </si>
  <si>
    <t>謚源</t>
  </si>
  <si>
    <t>綠意</t>
  </si>
  <si>
    <t>大車隊</t>
  </si>
  <si>
    <t>正德</t>
  </si>
  <si>
    <t>捷迅</t>
  </si>
  <si>
    <t>晶悅</t>
  </si>
  <si>
    <t>燦星旅</t>
  </si>
  <si>
    <t>藝舍-KY</t>
  </si>
  <si>
    <t>雅茗-KY</t>
  </si>
  <si>
    <t>瓦城</t>
  </si>
  <si>
    <t>六角</t>
  </si>
  <si>
    <t>易飛網</t>
  </si>
  <si>
    <t>富野</t>
  </si>
  <si>
    <t>天蔥</t>
  </si>
  <si>
    <t>山富</t>
  </si>
  <si>
    <t>五福</t>
  </si>
  <si>
    <t>豆府</t>
  </si>
  <si>
    <t>亞洲藏壽司</t>
  </si>
  <si>
    <t>揚秦</t>
  </si>
  <si>
    <t>聯發國際</t>
  </si>
  <si>
    <t>滿心</t>
  </si>
  <si>
    <t>宏太-KY</t>
  </si>
  <si>
    <t>誠品生活</t>
  </si>
  <si>
    <t>集雅社</t>
  </si>
  <si>
    <t>振宇五金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</si>
  <si>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</si>
  <si>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</si>
  <si>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</si>
  <si>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</si>
  <si>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</si>
  <si>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</si>
  <si>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</si>
  <si>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</si>
  <si>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</si>
  <si>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</si>
  <si>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</si>
  <si>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億杰</t>
  </si>
  <si>
    <t>港建*</t>
  </si>
  <si>
    <t>及成</t>
  </si>
  <si>
    <t>穩懋</t>
  </si>
  <si>
    <t>好德</t>
  </si>
  <si>
    <t>富榮綱</t>
  </si>
  <si>
    <t>進階</t>
  </si>
  <si>
    <t>笙泉</t>
  </si>
  <si>
    <t>昇銳</t>
  </si>
  <si>
    <t>弘塑</t>
  </si>
  <si>
    <t>晶宏</t>
  </si>
  <si>
    <t>大綜</t>
  </si>
  <si>
    <t>璟德</t>
  </si>
  <si>
    <t>精確</t>
  </si>
  <si>
    <t>波若威</t>
  </si>
  <si>
    <t>亞信</t>
  </si>
  <si>
    <t>新洲</t>
  </si>
  <si>
    <t>基亞</t>
  </si>
  <si>
    <t>公準</t>
  </si>
  <si>
    <t>鑫龍騰</t>
  </si>
  <si>
    <t>雲嘉南</t>
  </si>
  <si>
    <t>樺晟</t>
  </si>
  <si>
    <t>佰研</t>
  </si>
  <si>
    <t>志豐</t>
  </si>
  <si>
    <t>耀勝</t>
  </si>
  <si>
    <t>順達</t>
  </si>
  <si>
    <t>茂訊</t>
  </si>
  <si>
    <t>優群</t>
  </si>
  <si>
    <t>大學光</t>
  </si>
  <si>
    <t>倚強科</t>
  </si>
  <si>
    <t>台嘉碩</t>
  </si>
  <si>
    <t>三顧</t>
  </si>
  <si>
    <t>至寶電</t>
  </si>
  <si>
    <t>原相</t>
  </si>
  <si>
    <t>金麗科</t>
  </si>
  <si>
    <t>錦明</t>
  </si>
  <si>
    <t>昱捷</t>
  </si>
  <si>
    <t>光環</t>
  </si>
  <si>
    <t>千如</t>
  </si>
  <si>
    <t>海灣</t>
  </si>
  <si>
    <t>鑫創</t>
  </si>
  <si>
    <t>威剛</t>
  </si>
  <si>
    <t>欣銓</t>
  </si>
  <si>
    <t>台星科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</si>
  <si>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</si>
  <si>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</si>
  <si>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</si>
  <si>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</si>
  <si>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</si>
  <si>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</si>
  <si>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</si>
  <si>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</si>
  <si>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</si>
  <si>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</si>
  <si>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</si>
  <si>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杭特</t>
  </si>
  <si>
    <t>岱稜</t>
  </si>
  <si>
    <t>鼎天</t>
  </si>
  <si>
    <t>佳穎</t>
  </si>
  <si>
    <t>斐成</t>
  </si>
  <si>
    <t>尼克森</t>
  </si>
  <si>
    <t>建舜電</t>
  </si>
  <si>
    <t>加百裕</t>
  </si>
  <si>
    <t>雙鴻</t>
  </si>
  <si>
    <t>旭品</t>
  </si>
  <si>
    <t>幸康</t>
  </si>
  <si>
    <t>泰谷</t>
  </si>
  <si>
    <t>寶德</t>
  </si>
  <si>
    <t>律勝</t>
  </si>
  <si>
    <t>臺慶科</t>
  </si>
  <si>
    <t>尚立</t>
  </si>
  <si>
    <t>先進光</t>
  </si>
  <si>
    <t>上詮</t>
  </si>
  <si>
    <t>典範</t>
  </si>
  <si>
    <t>熱映</t>
  </si>
  <si>
    <t>精材</t>
  </si>
  <si>
    <t>彬台</t>
  </si>
  <si>
    <t>崇越電</t>
  </si>
  <si>
    <t>旭軟</t>
  </si>
  <si>
    <t>漢科</t>
  </si>
  <si>
    <t>台興</t>
  </si>
  <si>
    <t>奇鈦科</t>
  </si>
  <si>
    <t>哲固</t>
  </si>
  <si>
    <t>類比科</t>
  </si>
  <si>
    <t>聯一光</t>
  </si>
  <si>
    <t>利機</t>
  </si>
  <si>
    <t>由田</t>
  </si>
  <si>
    <t>進泰電子</t>
  </si>
  <si>
    <t>德晉</t>
  </si>
  <si>
    <t>安勤</t>
  </si>
  <si>
    <t>力致</t>
  </si>
  <si>
    <t>崧騰</t>
  </si>
  <si>
    <t>森寶</t>
  </si>
  <si>
    <t>單井</t>
  </si>
  <si>
    <t>昇達科</t>
  </si>
  <si>
    <t>長盛</t>
  </si>
  <si>
    <t>陽程</t>
  </si>
  <si>
    <t>環天科</t>
  </si>
  <si>
    <t>位速</t>
  </si>
  <si>
    <t>矽瑪</t>
  </si>
  <si>
    <t>皇龍</t>
  </si>
  <si>
    <t>亞帝歐</t>
  </si>
  <si>
    <t>華盈</t>
  </si>
  <si>
    <t>鴻翊</t>
  </si>
  <si>
    <t>御頂</t>
  </si>
  <si>
    <t>迎輝</t>
  </si>
  <si>
    <t>凡甲</t>
  </si>
  <si>
    <t>聚積</t>
  </si>
  <si>
    <t>力旺</t>
  </si>
  <si>
    <t>先益</t>
  </si>
  <si>
    <t>堡達</t>
  </si>
  <si>
    <t>曜越</t>
  </si>
  <si>
    <t>西柏</t>
  </si>
  <si>
    <t>宇峻</t>
  </si>
  <si>
    <t>兆利</t>
  </si>
  <si>
    <t>世禾</t>
  </si>
  <si>
    <t>同致</t>
  </si>
  <si>
    <t>博士旺</t>
  </si>
  <si>
    <t>禾瑞亞</t>
  </si>
  <si>
    <t>神準</t>
  </si>
  <si>
    <t>其陽</t>
  </si>
  <si>
    <t>逸昌</t>
  </si>
  <si>
    <t>大塚</t>
  </si>
  <si>
    <t>泓格</t>
  </si>
  <si>
    <t>友威科</t>
  </si>
  <si>
    <t>博磊</t>
  </si>
  <si>
    <t>閎康</t>
  </si>
  <si>
    <t>磐儀</t>
  </si>
  <si>
    <t>映興</t>
  </si>
  <si>
    <t>三一東林</t>
  </si>
  <si>
    <t>鼎翰</t>
  </si>
  <si>
    <t>安可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</si>
  <si>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</si>
  <si>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</si>
  <si>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</si>
  <si>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</si>
  <si>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</si>
  <si>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</si>
  <si>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</si>
  <si>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</si>
  <si>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艾恩特</t>
  </si>
  <si>
    <t>鑫科</t>
  </si>
  <si>
    <t>安瑞-KY</t>
  </si>
  <si>
    <t>光耀</t>
  </si>
  <si>
    <t>康聯訊</t>
  </si>
  <si>
    <t>德微</t>
  </si>
  <si>
    <t>家登</t>
  </si>
  <si>
    <t>榮昌</t>
  </si>
  <si>
    <t>元創精密</t>
  </si>
  <si>
    <t>歐買尬</t>
  </si>
  <si>
    <t>湧德</t>
  </si>
  <si>
    <t>碩禾</t>
  </si>
  <si>
    <t>營邦</t>
  </si>
  <si>
    <t>漢磊</t>
  </si>
  <si>
    <t>鑫聯大投控</t>
  </si>
  <si>
    <t>連展投控</t>
  </si>
  <si>
    <t>新晶投控</t>
  </si>
  <si>
    <t>永日</t>
  </si>
  <si>
    <t>東洋</t>
  </si>
  <si>
    <t>邦特</t>
  </si>
  <si>
    <t>加捷生醫</t>
  </si>
  <si>
    <t>濟生</t>
  </si>
  <si>
    <t>聯上</t>
  </si>
  <si>
    <t>健喬</t>
  </si>
  <si>
    <t>明基醫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</si>
  <si>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</si>
  <si>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</si>
  <si>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</si>
  <si>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</si>
  <si>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</si>
  <si>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</si>
  <si>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</si>
  <si>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</si>
  <si>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浩泰</t>
  </si>
  <si>
    <t>曜亞</t>
  </si>
  <si>
    <t>馬光-KY</t>
  </si>
  <si>
    <t>中裕</t>
  </si>
  <si>
    <t>鈺緯</t>
  </si>
  <si>
    <t>樂威科-KY</t>
  </si>
  <si>
    <t>太景*-KY</t>
  </si>
  <si>
    <t>訊聯基因</t>
  </si>
  <si>
    <t>聿新科</t>
  </si>
  <si>
    <t>智擎</t>
  </si>
  <si>
    <t>鐿鈦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</si>
  <si>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</si>
  <si>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</si>
  <si>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</si>
  <si>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</si>
  <si>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</si>
  <si>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</si>
  <si>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</si>
  <si>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</si>
  <si>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杏國</t>
  </si>
  <si>
    <t>欣大健康</t>
  </si>
  <si>
    <t>中華食</t>
  </si>
  <si>
    <t>環泰</t>
  </si>
  <si>
    <t>信立</t>
  </si>
  <si>
    <t>勝昱</t>
  </si>
  <si>
    <t>世坤</t>
  </si>
  <si>
    <t>東隆興</t>
  </si>
  <si>
    <t>福大</t>
  </si>
  <si>
    <t>新昕纖</t>
  </si>
  <si>
    <t>飛寶企業</t>
  </si>
  <si>
    <t>三圓</t>
  </si>
  <si>
    <t>金洲</t>
  </si>
  <si>
    <t>元勝</t>
  </si>
  <si>
    <t>光明</t>
  </si>
  <si>
    <t>耀億</t>
  </si>
  <si>
    <t>銘旺實</t>
  </si>
  <si>
    <t>興采</t>
  </si>
  <si>
    <t>健信</t>
  </si>
  <si>
    <t>金雨</t>
  </si>
  <si>
    <t>崇友</t>
  </si>
  <si>
    <t>高鋒</t>
  </si>
  <si>
    <t>福裕</t>
  </si>
  <si>
    <t>永彰</t>
  </si>
  <si>
    <t>方土霖</t>
  </si>
  <si>
    <t>江興鍛</t>
  </si>
  <si>
    <t>淳紳</t>
  </si>
  <si>
    <t>宏易</t>
  </si>
  <si>
    <t>協易機</t>
  </si>
  <si>
    <t>慶騰</t>
  </si>
  <si>
    <t>至興</t>
  </si>
  <si>
    <t>大詠城</t>
  </si>
  <si>
    <t>晟田</t>
  </si>
  <si>
    <t>科嶠</t>
  </si>
  <si>
    <t>萬在</t>
  </si>
  <si>
    <t>桓達</t>
  </si>
  <si>
    <t>長佳</t>
  </si>
  <si>
    <t>橙的</t>
  </si>
  <si>
    <t>旭然</t>
  </si>
  <si>
    <t>寶緯</t>
  </si>
  <si>
    <t>健椿</t>
  </si>
  <si>
    <t>百德</t>
  </si>
  <si>
    <t>科際精密</t>
  </si>
  <si>
    <t>達航科技</t>
  </si>
  <si>
    <t>捷流閥業</t>
  </si>
  <si>
    <t>君帆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</si>
  <si>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</si>
  <si>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</si>
  <si>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</si>
  <si>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</si>
  <si>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</si>
  <si>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</si>
  <si>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</si>
  <si>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</si>
  <si>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美琪瑪</t>
  </si>
  <si>
    <t>永昕</t>
  </si>
  <si>
    <t>雙美</t>
  </si>
  <si>
    <t>熒茂</t>
  </si>
  <si>
    <t>豪展</t>
  </si>
  <si>
    <t>泰博</t>
  </si>
  <si>
    <t>泓瀚</t>
  </si>
  <si>
    <t>合一</t>
  </si>
  <si>
    <t>皇將</t>
  </si>
  <si>
    <t>合富-KY</t>
  </si>
  <si>
    <t>強生</t>
  </si>
  <si>
    <t>國碳科</t>
  </si>
  <si>
    <t>勤凱</t>
  </si>
  <si>
    <t>誠泰科技</t>
  </si>
  <si>
    <t>晶呈科技</t>
  </si>
  <si>
    <t>大略-KY</t>
  </si>
  <si>
    <t>昇華</t>
  </si>
  <si>
    <t>聯光通</t>
  </si>
  <si>
    <t>台聯電</t>
  </si>
  <si>
    <t>富宇</t>
  </si>
  <si>
    <t>前鼎</t>
  </si>
  <si>
    <t>新復興</t>
  </si>
  <si>
    <t>德英</t>
  </si>
  <si>
    <t>力士</t>
  </si>
  <si>
    <t>欣厚-KY</t>
  </si>
  <si>
    <t>新盛力</t>
  </si>
  <si>
    <t>友輝</t>
  </si>
  <si>
    <t>亞電</t>
  </si>
  <si>
    <t>兆遠</t>
  </si>
  <si>
    <t>陞達科技</t>
  </si>
  <si>
    <t>辣椒</t>
  </si>
  <si>
    <t>牧東</t>
  </si>
  <si>
    <t>精拓科</t>
  </si>
  <si>
    <t>緯軟</t>
  </si>
  <si>
    <t>譜瑞-KY</t>
  </si>
  <si>
    <t>IET-KY</t>
  </si>
  <si>
    <t>湯石照明</t>
  </si>
  <si>
    <t>廣穎</t>
  </si>
  <si>
    <t>亞泰</t>
  </si>
  <si>
    <t>華星光</t>
  </si>
  <si>
    <t>科誠</t>
  </si>
  <si>
    <t>環宇-KY</t>
  </si>
  <si>
    <t>晶達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</si>
  <si>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</si>
  <si>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</si>
  <si>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</si>
  <si>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</si>
  <si>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</si>
  <si>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</si>
  <si>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</si>
  <si>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</si>
  <si>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中茂</t>
  </si>
  <si>
    <t>坤悅</t>
  </si>
  <si>
    <t>新鼎</t>
  </si>
  <si>
    <t>寶碩</t>
  </si>
  <si>
    <t>蒙恬</t>
  </si>
  <si>
    <t>凌網</t>
  </si>
  <si>
    <t>亞昕</t>
  </si>
  <si>
    <t>萬達光電</t>
  </si>
  <si>
    <t>安力-KY</t>
  </si>
  <si>
    <t>立凱-KY</t>
  </si>
  <si>
    <t>鈺鎧</t>
  </si>
  <si>
    <t>雷笛克光學</t>
  </si>
  <si>
    <t>凌陽創新</t>
  </si>
  <si>
    <t>智晶</t>
  </si>
  <si>
    <t>天鉞電</t>
  </si>
  <si>
    <t>智崴</t>
  </si>
  <si>
    <t>笙科</t>
  </si>
  <si>
    <t>信驊</t>
  </si>
  <si>
    <t>達輝-KY</t>
  </si>
  <si>
    <t>尚凡</t>
  </si>
  <si>
    <t>大峽谷-KY</t>
  </si>
  <si>
    <t>數字</t>
  </si>
  <si>
    <t>宜鼎</t>
  </si>
  <si>
    <t>邑昇</t>
  </si>
  <si>
    <t>杰力</t>
  </si>
  <si>
    <t>寶得利</t>
  </si>
  <si>
    <t>太欣</t>
  </si>
  <si>
    <t>系統電</t>
  </si>
  <si>
    <t>天剛</t>
  </si>
  <si>
    <t>寶島科</t>
  </si>
  <si>
    <t>世紀</t>
  </si>
  <si>
    <t>光聯</t>
  </si>
  <si>
    <t>美而快</t>
  </si>
  <si>
    <t>士開</t>
  </si>
  <si>
    <t>華容</t>
  </si>
  <si>
    <t>建榮</t>
  </si>
  <si>
    <t>立衛</t>
  </si>
  <si>
    <t>天揚</t>
  </si>
  <si>
    <t>世界</t>
  </si>
  <si>
    <t>正能量智能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</si>
  <si>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</si>
  <si>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</si>
  <si>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</si>
  <si>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</si>
  <si>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</si>
  <si>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</si>
  <si>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</si>
  <si>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</si>
  <si>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</si>
  <si>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能率</t>
  </si>
  <si>
    <t>慕康生醫</t>
  </si>
  <si>
    <t>中菲</t>
  </si>
  <si>
    <t>國眾</t>
  </si>
  <si>
    <t>台半</t>
  </si>
  <si>
    <t>振發</t>
  </si>
  <si>
    <t>新門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</si>
  <si>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</si>
  <si>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</si>
  <si>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</si>
  <si>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</si>
  <si>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</si>
  <si>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</si>
  <si>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</si>
  <si>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</si>
  <si>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</si>
  <si>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</si>
  <si>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</si>
  <si>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聰泰</t>
  </si>
  <si>
    <t>德宏</t>
  </si>
  <si>
    <t>智冠</t>
  </si>
  <si>
    <t>新華</t>
  </si>
  <si>
    <t>中美晶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</si>
  <si>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</si>
  <si>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</si>
  <si>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</si>
  <si>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</si>
  <si>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</si>
  <si>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</si>
  <si>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</si>
  <si>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</si>
  <si>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</si>
  <si>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</si>
  <si>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雙喜</t>
  </si>
  <si>
    <t>力泰</t>
  </si>
  <si>
    <t>豐謙</t>
  </si>
  <si>
    <t>鉅陞</t>
  </si>
  <si>
    <t>龍巖</t>
  </si>
  <si>
    <t>聖暉*</t>
  </si>
  <si>
    <t>桓鼎-KY</t>
  </si>
  <si>
    <t>台聯櫃</t>
  </si>
  <si>
    <t>陸海</t>
  </si>
  <si>
    <t>中連</t>
  </si>
  <si>
    <t>中菲行</t>
  </si>
  <si>
    <t>劍湖山</t>
  </si>
  <si>
    <t>亞都</t>
  </si>
  <si>
    <t>老爺知</t>
  </si>
  <si>
    <t>致和證</t>
  </si>
  <si>
    <t>台名</t>
  </si>
  <si>
    <t>德記</t>
  </si>
  <si>
    <t>全家</t>
  </si>
  <si>
    <t>寶雅</t>
  </si>
  <si>
    <t>南仁湖</t>
  </si>
  <si>
    <t>宏遠證</t>
  </si>
  <si>
    <t>康和證</t>
  </si>
  <si>
    <t>大展證</t>
  </si>
  <si>
    <t>美好證</t>
  </si>
  <si>
    <t>元大期</t>
  </si>
  <si>
    <t>福邦證</t>
  </si>
  <si>
    <t>寬魚國際</t>
  </si>
  <si>
    <t>合邦</t>
  </si>
  <si>
    <t>創惟</t>
  </si>
  <si>
    <t>亞元</t>
  </si>
  <si>
    <t>大宇資</t>
  </si>
  <si>
    <t>亞矽</t>
  </si>
  <si>
    <t>久威</t>
  </si>
  <si>
    <t>建達</t>
  </si>
  <si>
    <t>新普</t>
  </si>
  <si>
    <t>擎邦</t>
  </si>
  <si>
    <t>上奇</t>
  </si>
  <si>
    <t>業強</t>
  </si>
  <si>
    <t>廣運</t>
  </si>
  <si>
    <t>信音</t>
  </si>
  <si>
    <t>九豪</t>
  </si>
  <si>
    <t>普誠</t>
  </si>
  <si>
    <t>上亞科技</t>
  </si>
  <si>
    <t>萬旭</t>
  </si>
  <si>
    <t>茂達</t>
  </si>
  <si>
    <t>訊達</t>
  </si>
  <si>
    <t>振曜</t>
  </si>
  <si>
    <t>得利影</t>
  </si>
  <si>
    <t>耕興</t>
  </si>
  <si>
    <t>頎邦</t>
  </si>
  <si>
    <t>驊宏資</t>
  </si>
  <si>
    <t>撼訊</t>
  </si>
  <si>
    <t>晉倫</t>
  </si>
  <si>
    <t>順發</t>
  </si>
  <si>
    <t>松上</t>
  </si>
  <si>
    <t>禾昌</t>
  </si>
  <si>
    <t>欣技</t>
  </si>
  <si>
    <t>捷波</t>
  </si>
  <si>
    <t>華電網</t>
  </si>
  <si>
    <t>久正</t>
  </si>
  <si>
    <t>昱泉</t>
  </si>
  <si>
    <t>統振</t>
  </si>
  <si>
    <t>大城地產</t>
  </si>
  <si>
    <t>信昌電</t>
  </si>
  <si>
    <t>安碁</t>
  </si>
  <si>
    <t>立敦</t>
  </si>
  <si>
    <t>亞通</t>
  </si>
  <si>
    <t>橘子</t>
  </si>
  <si>
    <t>合晶</t>
  </si>
  <si>
    <t>幃翔</t>
  </si>
  <si>
    <t>新潤</t>
  </si>
  <si>
    <t>萬潤</t>
  </si>
  <si>
    <t>廣明</t>
  </si>
  <si>
    <t>萬泰科</t>
  </si>
  <si>
    <t>育富</t>
  </si>
  <si>
    <t>詩肯</t>
  </si>
  <si>
    <t>瑞築</t>
  </si>
  <si>
    <t>天品</t>
  </si>
  <si>
    <t>海韻電</t>
  </si>
  <si>
    <t>艾華</t>
  </si>
  <si>
    <t>雷科</t>
  </si>
  <si>
    <t>日揚</t>
  </si>
  <si>
    <t>慶生</t>
  </si>
  <si>
    <t>理銘</t>
  </si>
  <si>
    <t>中探針</t>
  </si>
  <si>
    <t>豪勉</t>
  </si>
  <si>
    <t>富旺</t>
  </si>
  <si>
    <t>岳豐</t>
  </si>
  <si>
    <t>晉泰</t>
  </si>
  <si>
    <t>上揚</t>
  </si>
  <si>
    <t>旺矽</t>
  </si>
  <si>
    <t>茂綸</t>
  </si>
  <si>
    <t>全譜</t>
  </si>
  <si>
    <t>研通</t>
  </si>
  <si>
    <t>系微</t>
  </si>
  <si>
    <t>旺玖</t>
  </si>
  <si>
    <t>高僑</t>
  </si>
  <si>
    <t>中湛</t>
  </si>
  <si>
    <t>驊訊</t>
  </si>
  <si>
    <t>松崗</t>
  </si>
  <si>
    <t>易通展</t>
  </si>
  <si>
    <t>立康</t>
  </si>
  <si>
    <t>茂迪</t>
  </si>
  <si>
    <t>立端</t>
  </si>
  <si>
    <t>臺龍</t>
  </si>
  <si>
    <t>淇譽電</t>
  </si>
  <si>
    <t>沛波</t>
  </si>
  <si>
    <t>百徽</t>
  </si>
  <si>
    <t>久元</t>
  </si>
  <si>
    <t>普萊德</t>
  </si>
  <si>
    <t>富裔</t>
  </si>
  <si>
    <t>方土昶</t>
  </si>
  <si>
    <t>泰詠</t>
  </si>
  <si>
    <t>倍微</t>
  </si>
  <si>
    <t>台燿</t>
  </si>
  <si>
    <t>元山</t>
  </si>
  <si>
    <t>安鈦克</t>
  </si>
  <si>
    <t>胡連</t>
  </si>
  <si>
    <t>佳邦</t>
  </si>
  <si>
    <t>元隆</t>
  </si>
  <si>
    <t>良維</t>
  </si>
  <si>
    <t>沛亨</t>
  </si>
  <si>
    <t>迅德</t>
  </si>
  <si>
    <t>智基</t>
  </si>
  <si>
    <t>通訊-KY</t>
  </si>
  <si>
    <t>晶焱</t>
  </si>
  <si>
    <t>韋僑</t>
  </si>
  <si>
    <t>詠昇</t>
  </si>
  <si>
    <t>京晨科</t>
  </si>
  <si>
    <t>易發</t>
  </si>
  <si>
    <t>今展科</t>
  </si>
  <si>
    <t>大中</t>
  </si>
  <si>
    <t>廣錠</t>
  </si>
  <si>
    <t>藥華藥</t>
  </si>
  <si>
    <t>紘康</t>
  </si>
  <si>
    <t>益得</t>
  </si>
  <si>
    <t>神盾</t>
  </si>
  <si>
    <t>威潤</t>
  </si>
  <si>
    <t>大樹</t>
  </si>
  <si>
    <t>宇智</t>
  </si>
  <si>
    <t>保瑞</t>
  </si>
  <si>
    <t>弘煜科</t>
  </si>
  <si>
    <t>點序</t>
  </si>
  <si>
    <t>互動</t>
  </si>
  <si>
    <t>環球晶</t>
  </si>
  <si>
    <t>生華科</t>
  </si>
  <si>
    <t>九齊</t>
  </si>
  <si>
    <t>科懋</t>
  </si>
  <si>
    <t>益安</t>
  </si>
  <si>
    <t>雙邦</t>
  </si>
  <si>
    <t>惠光</t>
  </si>
  <si>
    <t>聚和</t>
  </si>
  <si>
    <t>精測</t>
  </si>
  <si>
    <t>啟發電</t>
  </si>
  <si>
    <t>芮特-KY</t>
  </si>
  <si>
    <t>勤崴國際</t>
  </si>
  <si>
    <t>保勝光學</t>
  </si>
  <si>
    <t>達爾膚</t>
  </si>
  <si>
    <t>明達醫</t>
  </si>
  <si>
    <t>創威</t>
  </si>
  <si>
    <t>瑞耘</t>
  </si>
  <si>
    <t>順藥</t>
  </si>
  <si>
    <t>倉和</t>
  </si>
  <si>
    <t>隆中</t>
  </si>
  <si>
    <t>正基</t>
  </si>
  <si>
    <t>高端疫苗</t>
  </si>
  <si>
    <t>長科*</t>
  </si>
  <si>
    <t>勝品</t>
  </si>
  <si>
    <t>欣普羅</t>
  </si>
  <si>
    <t>是方</t>
  </si>
  <si>
    <t>宏觀</t>
  </si>
  <si>
    <t>醫揚</t>
  </si>
  <si>
    <t>維田</t>
  </si>
  <si>
    <t>霈方</t>
  </si>
  <si>
    <t>逸達</t>
  </si>
  <si>
    <t>勁豐</t>
  </si>
  <si>
    <t>達邦蛋白</t>
  </si>
  <si>
    <t>東典光電</t>
  </si>
  <si>
    <t>台康生技</t>
  </si>
  <si>
    <t>普鴻</t>
  </si>
  <si>
    <t>台灣銘板</t>
  </si>
  <si>
    <t>展匯科</t>
  </si>
  <si>
    <t>寬宏藝術</t>
  </si>
  <si>
    <t>富強鑫</t>
  </si>
  <si>
    <t>瀧澤科</t>
  </si>
  <si>
    <t>奈米醫材</t>
  </si>
  <si>
    <t>朋億*</t>
  </si>
  <si>
    <t>慧智</t>
  </si>
  <si>
    <t>特昇-KY</t>
  </si>
  <si>
    <t>萬年清</t>
  </si>
  <si>
    <t>泰金-KY</t>
  </si>
  <si>
    <t>均華</t>
  </si>
  <si>
    <t>富致</t>
  </si>
  <si>
    <t>M31</t>
  </si>
  <si>
    <t>台生材</t>
  </si>
  <si>
    <t>全宇昕</t>
  </si>
  <si>
    <t>天正國際</t>
  </si>
  <si>
    <t>威健生技</t>
  </si>
  <si>
    <t>樂斯科</t>
  </si>
  <si>
    <t>群翊</t>
  </si>
  <si>
    <t>信紘科</t>
  </si>
  <si>
    <t>鈺太</t>
  </si>
  <si>
    <t>鑫創電子</t>
  </si>
  <si>
    <t>雍智科技</t>
  </si>
  <si>
    <t>安格</t>
  </si>
  <si>
    <t>安碁資訊</t>
  </si>
  <si>
    <t>廣閎科</t>
  </si>
  <si>
    <t>東捷資訊</t>
  </si>
  <si>
    <t>軒郁</t>
  </si>
  <si>
    <t>天擎</t>
  </si>
  <si>
    <t>長聖</t>
  </si>
  <si>
    <t>應廣</t>
  </si>
  <si>
    <t>信實</t>
  </si>
  <si>
    <t>亞泰金屬</t>
  </si>
  <si>
    <t>上洋</t>
  </si>
  <si>
    <t>昇佳電子</t>
  </si>
  <si>
    <t>博晟生醫</t>
  </si>
  <si>
    <t>美達科技</t>
  </si>
  <si>
    <t>91APP*-KY</t>
  </si>
  <si>
    <t>亨泰光</t>
  </si>
  <si>
    <t>智聯服務</t>
  </si>
  <si>
    <t>叡揚</t>
  </si>
  <si>
    <t>穩得</t>
  </si>
  <si>
    <t>達亞</t>
  </si>
  <si>
    <t>綠界科技</t>
  </si>
  <si>
    <t>台微醫</t>
  </si>
  <si>
    <t>華景電</t>
  </si>
  <si>
    <t>虎門科技</t>
  </si>
  <si>
    <t>崑鼎</t>
  </si>
  <si>
    <t>明係</t>
  </si>
  <si>
    <t>宏碁資訊</t>
  </si>
  <si>
    <t>濾能</t>
  </si>
  <si>
    <t>千附精密</t>
  </si>
  <si>
    <t>進典</t>
  </si>
  <si>
    <t>數泓科</t>
  </si>
  <si>
    <t>伯特光</t>
  </si>
  <si>
    <t>倍力</t>
  </si>
  <si>
    <t>邑錡</t>
  </si>
  <si>
    <t>意德士</t>
  </si>
  <si>
    <t>佑華</t>
  </si>
  <si>
    <t>鈦昇</t>
  </si>
  <si>
    <t>光菱</t>
  </si>
  <si>
    <t>榮群</t>
  </si>
  <si>
    <t>長園科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</si>
  <si>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</si>
  <si>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</si>
  <si>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</si>
  <si>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</si>
  <si>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</si>
  <si>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</si>
  <si>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</si>
  <si>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</si>
  <si>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</si>
  <si>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</si>
  <si>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</si>
  <si>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</si>
  <si>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</si>
  <si>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</si>
  <si>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</si>
  <si>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能率網通</t>
  </si>
  <si>
    <t>鉅橡</t>
  </si>
  <si>
    <t>伍豐</t>
  </si>
  <si>
    <t>洛碁</t>
  </si>
  <si>
    <t>印鉐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</si>
  <si>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</si>
  <si>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</si>
  <si>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</si>
  <si>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</si>
  <si>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</si>
  <si>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</si>
  <si>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</si>
  <si>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</si>
  <si>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</si>
  <si>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</si>
  <si>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</si>
  <si>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</si>
  <si>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</si>
  <si>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大億金茂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</si>
  <si>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</si>
  <si>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</si>
  <si>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</si>
  <si>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</si>
  <si>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</si>
  <si>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</si>
  <si>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</si>
  <si>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</si>
  <si>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</si>
  <si>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巨有科技</t>
  </si>
  <si>
    <t>新漢</t>
  </si>
  <si>
    <t>華宏</t>
  </si>
  <si>
    <t>朋程</t>
  </si>
  <si>
    <t>商丞</t>
  </si>
  <si>
    <t>生展</t>
  </si>
  <si>
    <t>三竹</t>
  </si>
  <si>
    <t>泰藝</t>
  </si>
  <si>
    <t>尚茂</t>
  </si>
  <si>
    <t>群聯</t>
  </si>
  <si>
    <t>益張</t>
  </si>
  <si>
    <t>恒耀</t>
  </si>
  <si>
    <t>冠好</t>
  </si>
  <si>
    <t>金居</t>
  </si>
  <si>
    <t>千附</t>
  </si>
  <si>
    <t>金益鼎</t>
  </si>
  <si>
    <t>白紗科</t>
  </si>
  <si>
    <t>盛弘</t>
  </si>
  <si>
    <t>商之器</t>
  </si>
  <si>
    <t>森田</t>
  </si>
  <si>
    <t>大國鋼</t>
  </si>
  <si>
    <t>實威</t>
  </si>
  <si>
    <t>捷必勝-KY</t>
  </si>
  <si>
    <t>明揚</t>
  </si>
  <si>
    <t>旭源</t>
  </si>
  <si>
    <t>保綠-KY</t>
  </si>
  <si>
    <t>惠普</t>
  </si>
  <si>
    <t>紅木-KY</t>
  </si>
  <si>
    <t>匯鑽科</t>
  </si>
  <si>
    <t>東生華</t>
  </si>
  <si>
    <t>弘帆</t>
  </si>
  <si>
    <t>鉅邁</t>
  </si>
  <si>
    <t>大江</t>
  </si>
  <si>
    <t>大地-KY</t>
  </si>
  <si>
    <t>綠電</t>
  </si>
  <si>
    <t>綠河-KY</t>
  </si>
  <si>
    <t>華研</t>
  </si>
  <si>
    <t>霹靂</t>
  </si>
  <si>
    <t>大拓-KY</t>
  </si>
  <si>
    <t>夠麻吉</t>
  </si>
  <si>
    <t>台境</t>
  </si>
  <si>
    <t>創業家</t>
  </si>
  <si>
    <t>三貝德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</si>
  <si>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</si>
  <si>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</si>
  <si>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</si>
  <si>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</si>
  <si>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</si>
  <si>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</si>
  <si>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</si>
  <si>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</si>
  <si>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北基</t>
  </si>
  <si>
    <t>鉅明</t>
  </si>
  <si>
    <t>富堡</t>
  </si>
  <si>
    <t>青鋼</t>
  </si>
  <si>
    <t>大汽電</t>
  </si>
  <si>
    <t>智通</t>
  </si>
  <si>
    <t>愛地雅</t>
  </si>
  <si>
    <t>邦泰</t>
  </si>
  <si>
    <t>國統</t>
  </si>
  <si>
    <t>合騏</t>
  </si>
  <si>
    <t>明安</t>
  </si>
  <si>
    <t>關中</t>
  </si>
  <si>
    <t>森鉅</t>
  </si>
  <si>
    <t>琉園</t>
  </si>
  <si>
    <t>萬國通</t>
  </si>
  <si>
    <t>皇田</t>
  </si>
  <si>
    <t>邁達康</t>
  </si>
  <si>
    <t>有益</t>
  </si>
  <si>
    <t>股票代碼</t>
    <phoneticPr fontId="1" type="noConversion"/>
  </si>
  <si>
    <t>股票名稱</t>
    <phoneticPr fontId="1" type="noConversion"/>
  </si>
  <si>
    <t>中福</t>
  </si>
  <si>
    <t>倚天酷碁-創</t>
  </si>
  <si>
    <t>隆銘綠能</t>
  </si>
  <si>
    <t>如興</t>
  </si>
  <si>
    <t>2007/12</t>
  </si>
  <si>
    <t>2008/12</t>
  </si>
  <si>
    <t>2009/12</t>
  </si>
  <si>
    <t>2010/12</t>
  </si>
  <si>
    <t>2011/12</t>
  </si>
  <si>
    <t>2012/12</t>
  </si>
  <si>
    <t>2013/12</t>
  </si>
  <si>
    <t>2014/12</t>
  </si>
  <si>
    <t>2015/12</t>
  </si>
  <si>
    <t>2016/12</t>
  </si>
  <si>
    <t>2017/12</t>
  </si>
  <si>
    <t>2018/12</t>
  </si>
  <si>
    <t>2019/12</t>
  </si>
  <si>
    <t>2020/12</t>
  </si>
  <si>
    <t>東研信超</t>
  </si>
  <si>
    <t>null</t>
  </si>
  <si>
    <t>騰雲</t>
  </si>
  <si>
    <t>2021/12</t>
  </si>
  <si>
    <t>2022/12</t>
  </si>
  <si>
    <t>112年12月29日 個股日本益比、殖利率及股價淨值比</t>
  </si>
  <si>
    <t>112/3</t>
  </si>
  <si>
    <t>巨鎧精密-創</t>
  </si>
  <si>
    <t>鴻華先進-創</t>
  </si>
  <si>
    <t>長榮航太</t>
  </si>
  <si>
    <t>六方科-KY</t>
  </si>
  <si>
    <t>華懋</t>
  </si>
  <si>
    <t>達發</t>
  </si>
  <si>
    <t>正瀚-創</t>
  </si>
  <si>
    <t>建德工業</t>
  </si>
  <si>
    <t>金萬林-創</t>
  </si>
  <si>
    <t>華安</t>
  </si>
  <si>
    <t>聯策</t>
  </si>
  <si>
    <t>澤米</t>
  </si>
  <si>
    <t>龍德造船</t>
  </si>
  <si>
    <t>台灣虎航-創</t>
  </si>
  <si>
    <t>富世達</t>
  </si>
  <si>
    <t>睿生光電</t>
  </si>
  <si>
    <t>永道-KY</t>
  </si>
  <si>
    <t>雲豹能源-創</t>
  </si>
  <si>
    <t>泓德能源-創</t>
  </si>
  <si>
    <t>鑽石投資</t>
  </si>
  <si>
    <t>走著瞧-創</t>
  </si>
  <si>
    <t>華凌</t>
  </si>
  <si>
    <t>AMAX-KY</t>
  </si>
  <si>
    <t>天虹</t>
  </si>
  <si>
    <t>上櫃股票個股本益比、殖利率、股價淨值比(依日期查詢) 資料日期:112/12/29 產業類別:全部產業</t>
  </si>
  <si>
    <t>雄順</t>
  </si>
  <si>
    <t>寶陞</t>
  </si>
  <si>
    <t>欣新網</t>
  </si>
  <si>
    <t>竣邦-KY</t>
  </si>
  <si>
    <t>南俊國際</t>
  </si>
  <si>
    <t>聯寶</t>
  </si>
  <si>
    <t>長佳智能</t>
  </si>
  <si>
    <t>綠茵</t>
  </si>
  <si>
    <t>鑫傳</t>
  </si>
  <si>
    <t>偉康科技</t>
  </si>
  <si>
    <t>鏵友益</t>
  </si>
  <si>
    <t>衛司特</t>
  </si>
  <si>
    <t>宏碩系統</t>
  </si>
  <si>
    <t>伯鑫</t>
  </si>
  <si>
    <t>宸曜</t>
  </si>
  <si>
    <t>共812筆</t>
  </si>
  <si>
    <t>2023/12</t>
  </si>
  <si>
    <t>收盤價</t>
    <phoneticPr fontId="1" type="noConversion"/>
  </si>
  <si>
    <t>平均本益比</t>
    <phoneticPr fontId="1" type="noConversion"/>
  </si>
  <si>
    <t>昂貴價</t>
    <phoneticPr fontId="1" type="noConversion"/>
  </si>
  <si>
    <t>便宜價</t>
    <phoneticPr fontId="1" type="noConversion"/>
  </si>
  <si>
    <t>合理價</t>
    <phoneticPr fontId="1" type="noConversion"/>
  </si>
  <si>
    <t>季別/年度</t>
  </si>
  <si>
    <t>Q1</t>
  </si>
  <si>
    <t>Q2</t>
  </si>
  <si>
    <t>Q3</t>
  </si>
  <si>
    <t>Q4</t>
  </si>
  <si>
    <t>總計</t>
  </si>
  <si>
    <t>Column1</t>
  </si>
  <si>
    <t>Column2</t>
  </si>
  <si>
    <t>Column3</t>
  </si>
  <si>
    <t>Column4</t>
  </si>
  <si>
    <t>Column5</t>
  </si>
  <si>
    <t>Column6</t>
  </si>
  <si>
    <t>日期</t>
  </si>
  <si>
    <t>開盤價</t>
  </si>
  <si>
    <t>最高價</t>
  </si>
  <si>
    <t>最低價</t>
  </si>
  <si>
    <t>收盤價</t>
  </si>
  <si>
    <t>成交量</t>
  </si>
  <si>
    <t>59.10</t>
  </si>
  <si>
    <t>59.50</t>
  </si>
  <si>
    <t>59.30</t>
  </si>
  <si>
    <t>60.40</t>
  </si>
  <si>
    <t>58.60</t>
  </si>
  <si>
    <t>59.00</t>
  </si>
  <si>
    <t>60.20</t>
  </si>
  <si>
    <t>58.20</t>
  </si>
  <si>
    <t>60.80</t>
  </si>
  <si>
    <t>最低本益比(5y)</t>
    <phoneticPr fontId="1" type="noConversion"/>
  </si>
  <si>
    <t>最高本益比(5y)</t>
    <phoneticPr fontId="1" type="noConversion"/>
  </si>
  <si>
    <t>個股股價行情表﹝2603 長榮﹞</t>
  </si>
  <si>
    <t>177.50</t>
  </si>
  <si>
    <t>172.00</t>
  </si>
  <si>
    <t>178.00</t>
  </si>
  <si>
    <t>176.00</t>
  </si>
  <si>
    <t>181.00</t>
  </si>
  <si>
    <t>181.50</t>
  </si>
  <si>
    <t>175.00</t>
  </si>
  <si>
    <t>179.00</t>
  </si>
  <si>
    <t>172.50</t>
  </si>
  <si>
    <t>180.00</t>
  </si>
  <si>
    <t>個股股價行情表﹝2609 陽明﹞</t>
  </si>
  <si>
    <t>49.55</t>
  </si>
  <si>
    <t>個股股價行情表﹝2637 慧洋-KY﹞</t>
  </si>
  <si>
    <t>57.80</t>
  </si>
  <si>
    <t>58.40</t>
  </si>
  <si>
    <t>60.30</t>
  </si>
  <si>
    <t>62.00</t>
  </si>
  <si>
    <t>61.50</t>
  </si>
  <si>
    <t>61.00</t>
  </si>
  <si>
    <t>61.90</t>
  </si>
  <si>
    <t>60.60</t>
  </si>
  <si>
    <t>61.30</t>
  </si>
  <si>
    <t>60.90</t>
  </si>
  <si>
    <t>61.10</t>
  </si>
  <si>
    <t>57.60</t>
  </si>
  <si>
    <t>60.70</t>
  </si>
  <si>
    <t>59.40</t>
  </si>
  <si>
    <t>個股股價行情表﹝2634 漢翔﹞</t>
  </si>
  <si>
    <t>52.90</t>
  </si>
  <si>
    <t>53.30</t>
  </si>
  <si>
    <t>53.80</t>
  </si>
  <si>
    <t>50.00</t>
  </si>
  <si>
    <t>53.20</t>
  </si>
  <si>
    <t>個股股價行情表﹝2606 裕民﹞</t>
  </si>
  <si>
    <t>54.30</t>
  </si>
  <si>
    <t>53.00</t>
  </si>
  <si>
    <t>54.20</t>
  </si>
  <si>
    <t>52.70</t>
  </si>
  <si>
    <t>54.00</t>
  </si>
  <si>
    <t>52.50</t>
  </si>
  <si>
    <t>53.10</t>
  </si>
  <si>
    <t>54.90</t>
  </si>
  <si>
    <t>54.50</t>
  </si>
  <si>
    <t>54.80</t>
  </si>
  <si>
    <t>55.60</t>
  </si>
  <si>
    <t>56.20</t>
  </si>
  <si>
    <t>56.00</t>
  </si>
  <si>
    <t>54.60</t>
  </si>
  <si>
    <t>53.70</t>
  </si>
  <si>
    <t>55.40</t>
  </si>
  <si>
    <t>56.40</t>
  </si>
  <si>
    <t>55.10</t>
  </si>
  <si>
    <t>55.50</t>
  </si>
  <si>
    <t>55.80</t>
  </si>
  <si>
    <t>55.90</t>
  </si>
  <si>
    <t>56.10</t>
  </si>
  <si>
    <t>55.70</t>
  </si>
  <si>
    <t>55.30</t>
  </si>
  <si>
    <t>民國113年第1季</t>
  </si>
  <si>
    <t>單位：新台幣仟元</t>
  </si>
  <si>
    <t>會計項目</t>
  </si>
  <si>
    <t>113年03月31日</t>
  </si>
  <si>
    <t xml:space="preserve"> </t>
  </si>
  <si>
    <t>金額</t>
  </si>
  <si>
    <t>112年12月31日</t>
  </si>
  <si>
    <t>%</t>
  </si>
  <si>
    <t>　流動資產</t>
  </si>
  <si>
    <t>　　　現金及約當現金</t>
  </si>
  <si>
    <t>　　　透過損益按公允價值衡量之金融資產－流動</t>
  </si>
  <si>
    <t>　　　按攤銷後成本衡量之金融資產－流動</t>
  </si>
  <si>
    <t>　　　避險之金融資產－流動</t>
  </si>
  <si>
    <t>　　　合約資產－流動</t>
  </si>
  <si>
    <t>　　　應收票據淨額</t>
  </si>
  <si>
    <t>　　　應收帳款淨額</t>
  </si>
  <si>
    <t>　　　應收帳款－關係人淨額</t>
  </si>
  <si>
    <t>　　　應收融資租賃款淨額</t>
  </si>
  <si>
    <t>　　　其他應收款淨額</t>
  </si>
  <si>
    <t>　　　其他應收款－關係人淨額</t>
  </si>
  <si>
    <t>　　　本期所得稅資產</t>
  </si>
  <si>
    <t>　　　存貨</t>
  </si>
  <si>
    <t>　　　預付款項</t>
  </si>
  <si>
    <t>　　　其他流動資產</t>
  </si>
  <si>
    <t>　　流動資產合計</t>
  </si>
  <si>
    <t>　非流動資產</t>
  </si>
  <si>
    <t>　　　透過其他綜合損益按公允價值衡量之金融資產－非流動</t>
  </si>
  <si>
    <t>　　　按攤銷後成本衡量之金融資產－非流動</t>
  </si>
  <si>
    <t>　　　避險之金融資產－非流動</t>
  </si>
  <si>
    <t>　　　採用權益法之投資</t>
  </si>
  <si>
    <t>　　　不動產、廠房及設備</t>
  </si>
  <si>
    <t>　　　使用權資產</t>
  </si>
  <si>
    <t>　　　投資性不動產淨額</t>
  </si>
  <si>
    <t>　　　無形資產</t>
  </si>
  <si>
    <t>　　　遞延所得稅資產</t>
  </si>
  <si>
    <t>　　　其他非流動資產</t>
  </si>
  <si>
    <t>　　非流動資產合計</t>
  </si>
  <si>
    <t>　資產總額</t>
  </si>
  <si>
    <t>　流動負債</t>
  </si>
  <si>
    <t>　　　透過損益按公允價值衡量之金融負債－流動</t>
  </si>
  <si>
    <t>　　　避險之金融負債－流動</t>
  </si>
  <si>
    <t>　　　合約負債－流動</t>
  </si>
  <si>
    <t>　　　應付票據</t>
  </si>
  <si>
    <t>　　　應付帳款</t>
  </si>
  <si>
    <t>　　　應付帳款－關係人</t>
  </si>
  <si>
    <t>　　　其他應付款</t>
  </si>
  <si>
    <t>　　　其他應付款項－關係人</t>
  </si>
  <si>
    <t>　　　本期所得稅負債</t>
  </si>
  <si>
    <t>　　　租賃負債－流動</t>
  </si>
  <si>
    <t>　　　其他流動負債</t>
  </si>
  <si>
    <t>　　流動負債合計</t>
  </si>
  <si>
    <t>　非流動負債</t>
  </si>
  <si>
    <t>　　　避險之金融負債－非流動</t>
  </si>
  <si>
    <t>　　　應付公司債</t>
  </si>
  <si>
    <t>　　　長期借款</t>
  </si>
  <si>
    <t>　　　遞延所得稅負債</t>
  </si>
  <si>
    <t>　　　租賃負債－非流動</t>
  </si>
  <si>
    <t>　　　其他非流動負債</t>
  </si>
  <si>
    <t>　　非流動負債合計</t>
  </si>
  <si>
    <t>　負債總額</t>
  </si>
  <si>
    <t>　歸屬於母公司業主之權益</t>
  </si>
  <si>
    <t>　　股本</t>
  </si>
  <si>
    <t>　　　　普通股股本</t>
  </si>
  <si>
    <t>　　　　債券換股權利證書</t>
  </si>
  <si>
    <t>　　　股本合計</t>
  </si>
  <si>
    <t>　　資本公積</t>
  </si>
  <si>
    <t>　　　資本公積合計</t>
  </si>
  <si>
    <t>　　保留盈餘</t>
  </si>
  <si>
    <t>　　　　法定盈餘公積</t>
  </si>
  <si>
    <t>　　　　特別盈餘公積</t>
  </si>
  <si>
    <t>　　　　未分配盈餘（或待彌補虧損）</t>
  </si>
  <si>
    <t>　　　保留盈餘合計</t>
  </si>
  <si>
    <t>　　其他權益</t>
  </si>
  <si>
    <t>　　　其他權益合計</t>
  </si>
  <si>
    <t>　　歸屬於母公司業主之權益合計</t>
  </si>
  <si>
    <t>　　非控制權益</t>
  </si>
  <si>
    <t>　權益總額</t>
  </si>
  <si>
    <t>　負債及權益總計</t>
  </si>
  <si>
    <t>　待註銷股本股數（單位：股）</t>
  </si>
  <si>
    <t>　預收股款（權益項下）之約當發行股數（單位：股）</t>
  </si>
  <si>
    <t>　母公司暨子公司所持有之母公司庫藏股股數（單位：股）</t>
  </si>
  <si>
    <t>113年01月01日至113年03月31日</t>
  </si>
  <si>
    <t>112年01月01日至112年03月31日</t>
  </si>
  <si>
    <t>營業收入合計</t>
  </si>
  <si>
    <t>營業成本合計</t>
  </si>
  <si>
    <t>營業毛利（毛損）</t>
  </si>
  <si>
    <t>未實現銷貨（損）益</t>
  </si>
  <si>
    <t>已實現銷貨（損）益</t>
  </si>
  <si>
    <t>營業毛利（毛損）淨額</t>
  </si>
  <si>
    <t>營業費用</t>
  </si>
  <si>
    <t>　　推銷費用</t>
  </si>
  <si>
    <t>　　管理費用</t>
  </si>
  <si>
    <t>　　預期信用減損損失（利益）</t>
  </si>
  <si>
    <t>　營業費用合計</t>
  </si>
  <si>
    <t>其他收益及費損淨額</t>
  </si>
  <si>
    <t>　其他收益及費損淨額</t>
  </si>
  <si>
    <t>營業利益（損失）</t>
  </si>
  <si>
    <t>營業外收入及支出</t>
  </si>
  <si>
    <t>　　利息收入</t>
  </si>
  <si>
    <t>　　其他收入</t>
  </si>
  <si>
    <t>　　其他利益及損失淨額</t>
  </si>
  <si>
    <t>　　財務成本淨額</t>
  </si>
  <si>
    <t>　　採用權益法認列之關聯企業及合資損益之份額淨額</t>
  </si>
  <si>
    <t>　營業外收入及支出合計</t>
  </si>
  <si>
    <t>稅前淨利（淨損）</t>
  </si>
  <si>
    <t>所得稅費用（利益）合計</t>
  </si>
  <si>
    <t>繼續營業單位本期淨利（淨損）</t>
  </si>
  <si>
    <t>本期淨利（淨損）</t>
  </si>
  <si>
    <t>其他綜合損益(淨額)</t>
  </si>
  <si>
    <t>　　　透過其他綜合損益按公允價值衡量之權益工具投資未實現評價損益</t>
  </si>
  <si>
    <t>　　　採用權益法認列之關聯企業及合資之其他綜合損益之份額-不重分類至損益之項目</t>
  </si>
  <si>
    <t>　　　與不重分類之項目相關之所得稅</t>
  </si>
  <si>
    <t>　不重分類至損益之項目：</t>
  </si>
  <si>
    <t>　　　國外營運機構財務報表換算之兌換差額</t>
  </si>
  <si>
    <t>　　　避險工具之損益</t>
  </si>
  <si>
    <t>　　　採用權益法認列之關聯企業及合資之其他綜合損益之份額-可能重分類至損益之項目</t>
  </si>
  <si>
    <t>　　　與可能重分類之項目相關之所得稅</t>
  </si>
  <si>
    <t>　後續可能重分類至損益之項目：</t>
  </si>
  <si>
    <t>　其他綜合損益（淨額）</t>
  </si>
  <si>
    <t>本期綜合損益總額</t>
  </si>
  <si>
    <t>淨利（損）歸屬於：</t>
  </si>
  <si>
    <t>　母公司業主（淨利∕損）</t>
  </si>
  <si>
    <t>　非控制權益（淨利∕損）</t>
  </si>
  <si>
    <t>　母公司業主（綜合損益）</t>
  </si>
  <si>
    <t>　非控制權益（綜合損益）</t>
  </si>
  <si>
    <t>基本每股盈餘</t>
  </si>
  <si>
    <t>　基本每股盈餘</t>
  </si>
  <si>
    <t>稀釋每股盈餘</t>
  </si>
  <si>
    <t>　稀釋每股盈餘</t>
  </si>
  <si>
    <t>　　　短期借款</t>
  </si>
  <si>
    <t>　　　應付短期票券</t>
  </si>
  <si>
    <t>　　　負債準備－流動</t>
  </si>
  <si>
    <t>　　研究發展費用</t>
  </si>
  <si>
    <t>　　　透過其他綜合損益按公允價值衡量之金融資產－流動</t>
  </si>
  <si>
    <t>　　　　國外營運機構財務報表換算之兌換差額</t>
  </si>
  <si>
    <t>　　　　透過其他綜合損益按公允價值衡量之金融資產未實現評價損益</t>
  </si>
  <si>
    <t>　　　　避險工具之損益</t>
  </si>
  <si>
    <t>　　　　不動產重估增值</t>
  </si>
  <si>
    <t>　　運輸收入淨額</t>
  </si>
  <si>
    <t>　勞務收入</t>
  </si>
  <si>
    <t>　其他營業收入淨額</t>
  </si>
  <si>
    <t>　　運輸成本</t>
  </si>
  <si>
    <t>　勞務成本</t>
  </si>
  <si>
    <t>　　繼續營業單位淨利（淨損）</t>
  </si>
  <si>
    <t>　　　透過損益按公允價值衡量之金融資產－非流動</t>
  </si>
  <si>
    <t>　　　負債準備－非流動</t>
  </si>
  <si>
    <t>　　　確定福利計畫之再衡量數</t>
  </si>
  <si>
    <t>　　　庫藏股票</t>
  </si>
  <si>
    <t>　　　透過其他綜合損益按公允價值衡量之債務工具投資未實現評價損益</t>
  </si>
  <si>
    <t>營業收入合計</t>
    <phoneticPr fontId="1" type="noConversion"/>
  </si>
  <si>
    <t>營業毛利（毛損）淨額</t>
    <phoneticPr fontId="1" type="noConversion"/>
  </si>
  <si>
    <t>營業利益（損失）</t>
    <phoneticPr fontId="1" type="noConversion"/>
  </si>
  <si>
    <t>本期淨利（淨損）</t>
    <phoneticPr fontId="1" type="noConversion"/>
  </si>
  <si>
    <t>113/05/31</t>
  </si>
  <si>
    <t>221.00</t>
  </si>
  <si>
    <t>226.00</t>
  </si>
  <si>
    <t>210.00</t>
  </si>
  <si>
    <t>210.50</t>
  </si>
  <si>
    <t>71,199</t>
  </si>
  <si>
    <t>113/05/30</t>
  </si>
  <si>
    <t>219.00</t>
  </si>
  <si>
    <t>215.00</t>
  </si>
  <si>
    <t>218.50</t>
  </si>
  <si>
    <t>29,442</t>
  </si>
  <si>
    <t>113/05/29</t>
  </si>
  <si>
    <t>222.50</t>
  </si>
  <si>
    <t>227.50</t>
  </si>
  <si>
    <t>217.00</t>
  </si>
  <si>
    <t>218.00</t>
  </si>
  <si>
    <t>52,561</t>
  </si>
  <si>
    <t>113/05/28</t>
  </si>
  <si>
    <t>225.50</t>
  </si>
  <si>
    <t>228.00</t>
  </si>
  <si>
    <t>55,600</t>
  </si>
  <si>
    <t>113/05/27</t>
  </si>
  <si>
    <t>224.00</t>
  </si>
  <si>
    <t>229.50</t>
  </si>
  <si>
    <t>216.50</t>
  </si>
  <si>
    <t>223.00</t>
  </si>
  <si>
    <t>91,432</t>
  </si>
  <si>
    <t>113/05/24</t>
  </si>
  <si>
    <t>212.00</t>
  </si>
  <si>
    <t>219.50</t>
  </si>
  <si>
    <t>69,138</t>
  </si>
  <si>
    <t>113/05/23</t>
  </si>
  <si>
    <t>209.50</t>
  </si>
  <si>
    <t>208.50</t>
  </si>
  <si>
    <t>209.00</t>
  </si>
  <si>
    <t>26,586</t>
  </si>
  <si>
    <t>113/05/22</t>
  </si>
  <si>
    <t>207.50</t>
  </si>
  <si>
    <t>211.00</t>
  </si>
  <si>
    <t>205.00</t>
  </si>
  <si>
    <t>37,304</t>
  </si>
  <si>
    <t>113/05/21</t>
  </si>
  <si>
    <t>213.50</t>
  </si>
  <si>
    <t>205.50</t>
  </si>
  <si>
    <t>208.00</t>
  </si>
  <si>
    <t>46,292</t>
  </si>
  <si>
    <t>113/05/20</t>
  </si>
  <si>
    <t>216.00</t>
  </si>
  <si>
    <t>222.00</t>
  </si>
  <si>
    <t>212.50</t>
  </si>
  <si>
    <t>65,605</t>
  </si>
  <si>
    <t>113/05/17</t>
  </si>
  <si>
    <t>220.50</t>
  </si>
  <si>
    <t>61,329</t>
  </si>
  <si>
    <t>113/05/16</t>
  </si>
  <si>
    <t>204.00</t>
  </si>
  <si>
    <t>76,952</t>
  </si>
  <si>
    <t>113/05/15</t>
  </si>
  <si>
    <t>206.00</t>
  </si>
  <si>
    <t>202.00</t>
  </si>
  <si>
    <t>203.50</t>
  </si>
  <si>
    <t>82,880</t>
  </si>
  <si>
    <t>113/05/14</t>
  </si>
  <si>
    <t>225.00</t>
  </si>
  <si>
    <t>166,794</t>
  </si>
  <si>
    <t>113/05/13</t>
  </si>
  <si>
    <t>201.00</t>
  </si>
  <si>
    <t>154,158</t>
  </si>
  <si>
    <t>113/05/10</t>
  </si>
  <si>
    <t>180.50</t>
  </si>
  <si>
    <t>195.00</t>
  </si>
  <si>
    <t>193.50</t>
  </si>
  <si>
    <t>121,521</t>
  </si>
  <si>
    <t>113/05/09</t>
  </si>
  <si>
    <t>56,086</t>
  </si>
  <si>
    <t>113/05/08</t>
  </si>
  <si>
    <t>57,526</t>
  </si>
  <si>
    <t>113/05/07</t>
  </si>
  <si>
    <t>185.00</t>
  </si>
  <si>
    <t>27,821</t>
  </si>
  <si>
    <t>113/05/06</t>
  </si>
  <si>
    <t>184.50</t>
  </si>
  <si>
    <t>178.50</t>
  </si>
  <si>
    <t>22,355</t>
  </si>
  <si>
    <t>53.50</t>
  </si>
  <si>
    <t>4,421</t>
  </si>
  <si>
    <t>8,130</t>
  </si>
  <si>
    <t>11,786</t>
  </si>
  <si>
    <t>56.30</t>
  </si>
  <si>
    <t>6,328</t>
  </si>
  <si>
    <t>8,900</t>
  </si>
  <si>
    <t>13,220</t>
  </si>
  <si>
    <t>56.60</t>
  </si>
  <si>
    <t>57.70</t>
  </si>
  <si>
    <t>43,869</t>
  </si>
  <si>
    <t>18,637</t>
  </si>
  <si>
    <t>17,715</t>
  </si>
  <si>
    <t>57.00</t>
  </si>
  <si>
    <t>41,441</t>
  </si>
  <si>
    <t>57.90</t>
  </si>
  <si>
    <t>57.40</t>
  </si>
  <si>
    <t>22,415</t>
  </si>
  <si>
    <t>7,729</t>
  </si>
  <si>
    <t>21,071</t>
  </si>
  <si>
    <t>22,050</t>
  </si>
  <si>
    <t>10,642</t>
  </si>
  <si>
    <t>54.70</t>
  </si>
  <si>
    <t>53.60</t>
  </si>
  <si>
    <t>6,503</t>
  </si>
  <si>
    <t>10,682</t>
  </si>
  <si>
    <t>20,560</t>
  </si>
  <si>
    <t>56.80</t>
  </si>
  <si>
    <t>8,507</t>
  </si>
  <si>
    <t>56.90</t>
  </si>
  <si>
    <t>57.10</t>
  </si>
  <si>
    <t>55.20</t>
  </si>
  <si>
    <t>12,143</t>
  </si>
  <si>
    <t>59.60</t>
  </si>
  <si>
    <t>61.40</t>
  </si>
  <si>
    <t>58.80</t>
  </si>
  <si>
    <t>12,716</t>
  </si>
  <si>
    <t>7,801</t>
  </si>
  <si>
    <t>17,937</t>
  </si>
  <si>
    <t>59.20</t>
  </si>
  <si>
    <t>18,446</t>
  </si>
  <si>
    <t>58.00</t>
  </si>
  <si>
    <t>58.70</t>
  </si>
  <si>
    <t>7,940</t>
  </si>
  <si>
    <t>56.70</t>
  </si>
  <si>
    <t>4,545</t>
  </si>
  <si>
    <t>58.10</t>
  </si>
  <si>
    <t>58.30</t>
  </si>
  <si>
    <t>8,169</t>
  </si>
  <si>
    <t>57.50</t>
  </si>
  <si>
    <t>7,022</t>
  </si>
  <si>
    <t>58.50</t>
  </si>
  <si>
    <t>57.30</t>
  </si>
  <si>
    <t>6,418</t>
  </si>
  <si>
    <t>57.20</t>
  </si>
  <si>
    <t>7,259</t>
  </si>
  <si>
    <t>18,710</t>
  </si>
  <si>
    <t>17,995</t>
  </si>
  <si>
    <t>18,805</t>
  </si>
  <si>
    <t>62.90</t>
  </si>
  <si>
    <t>37,800</t>
  </si>
  <si>
    <t>62.20</t>
  </si>
  <si>
    <t>65.50</t>
  </si>
  <si>
    <t>73,133</t>
  </si>
  <si>
    <t>62,326</t>
  </si>
  <si>
    <t>32,091</t>
  </si>
  <si>
    <t>63.30</t>
  </si>
  <si>
    <t>56.50</t>
  </si>
  <si>
    <t>76,113</t>
  </si>
  <si>
    <t>21,609</t>
  </si>
  <si>
    <t>5,607</t>
  </si>
  <si>
    <t>80.30</t>
  </si>
  <si>
    <t>81.40</t>
  </si>
  <si>
    <t>70.50</t>
  </si>
  <si>
    <t>71.50</t>
  </si>
  <si>
    <t>316,692</t>
  </si>
  <si>
    <t>76.70</t>
  </si>
  <si>
    <t>79.10</t>
  </si>
  <si>
    <t>75.10</t>
  </si>
  <si>
    <t>78.30</t>
  </si>
  <si>
    <t>32,411</t>
  </si>
  <si>
    <t>79.80</t>
  </si>
  <si>
    <t>76.00</t>
  </si>
  <si>
    <t>77.20</t>
  </si>
  <si>
    <t>43,835</t>
  </si>
  <si>
    <t>79.00</t>
  </si>
  <si>
    <t>80.90</t>
  </si>
  <si>
    <t>78.50</t>
  </si>
  <si>
    <t>79.50</t>
  </si>
  <si>
    <t>51,404</t>
  </si>
  <si>
    <t>75.90</t>
  </si>
  <si>
    <t>79.90</t>
  </si>
  <si>
    <t>74.30</t>
  </si>
  <si>
    <t>60,865</t>
  </si>
  <si>
    <t>72.00</t>
  </si>
  <si>
    <t>74.00</t>
  </si>
  <si>
    <t>73.50</t>
  </si>
  <si>
    <t>33,052</t>
  </si>
  <si>
    <t>72.40</t>
  </si>
  <si>
    <t>71.20</t>
  </si>
  <si>
    <t>71.30</t>
  </si>
  <si>
    <t>18,143</t>
  </si>
  <si>
    <t>72.70</t>
  </si>
  <si>
    <t>70.60</t>
  </si>
  <si>
    <t>25,151</t>
  </si>
  <si>
    <t>72.10</t>
  </si>
  <si>
    <t>70.40</t>
  </si>
  <si>
    <t>71.40</t>
  </si>
  <si>
    <t>24,383</t>
  </si>
  <si>
    <t>72.50</t>
  </si>
  <si>
    <t>33,011</t>
  </si>
  <si>
    <t>74.10</t>
  </si>
  <si>
    <t>71.00</t>
  </si>
  <si>
    <t>47,327</t>
  </si>
  <si>
    <t>76.40</t>
  </si>
  <si>
    <t>71.10</t>
  </si>
  <si>
    <t>309,302</t>
  </si>
  <si>
    <t>69.20</t>
  </si>
  <si>
    <t>236,872</t>
  </si>
  <si>
    <t>68.10</t>
  </si>
  <si>
    <t>73.20</t>
  </si>
  <si>
    <t>67.20</t>
  </si>
  <si>
    <t>486,049</t>
  </si>
  <si>
    <t>65.60</t>
  </si>
  <si>
    <t>66.60</t>
  </si>
  <si>
    <t>64.20</t>
  </si>
  <si>
    <t>277,510</t>
  </si>
  <si>
    <t>393,050</t>
  </si>
  <si>
    <t>193,362</t>
  </si>
  <si>
    <t>54.10</t>
  </si>
  <si>
    <t>52.00</t>
  </si>
  <si>
    <t>52.20</t>
  </si>
  <si>
    <t>83,742</t>
  </si>
  <si>
    <t>51.00</t>
  </si>
  <si>
    <t>50.60</t>
  </si>
  <si>
    <t>83,754</t>
  </si>
  <si>
    <t>51.30</t>
  </si>
  <si>
    <t>32,037</t>
  </si>
  <si>
    <t>77.10</t>
  </si>
  <si>
    <t>78.90</t>
  </si>
  <si>
    <t>77.70</t>
  </si>
  <si>
    <t>11,380</t>
  </si>
  <si>
    <t>76.90</t>
  </si>
  <si>
    <t>77.50</t>
  </si>
  <si>
    <t>74.70</t>
  </si>
  <si>
    <t>76.60</t>
  </si>
  <si>
    <t>6,711</t>
  </si>
  <si>
    <t>78.40</t>
  </si>
  <si>
    <t>75.50</t>
  </si>
  <si>
    <t>10,822</t>
  </si>
  <si>
    <t>73.80</t>
  </si>
  <si>
    <t>76.50</t>
  </si>
  <si>
    <t>73.60</t>
  </si>
  <si>
    <t>9,509</t>
  </si>
  <si>
    <t>72.30</t>
  </si>
  <si>
    <t>73.70</t>
  </si>
  <si>
    <t>5,105</t>
  </si>
  <si>
    <t>71.60</t>
  </si>
  <si>
    <t>3,539</t>
  </si>
  <si>
    <t>72.60</t>
  </si>
  <si>
    <t>73.40</t>
  </si>
  <si>
    <t>71.70</t>
  </si>
  <si>
    <t>5,253</t>
  </si>
  <si>
    <t>70.80</t>
  </si>
  <si>
    <t>73.30</t>
  </si>
  <si>
    <t>7,062</t>
  </si>
  <si>
    <t>70.00</t>
  </si>
  <si>
    <t>70.10</t>
  </si>
  <si>
    <t>4,684</t>
  </si>
  <si>
    <t>69.80</t>
  </si>
  <si>
    <t>8,108</t>
  </si>
  <si>
    <t>74.50</t>
  </si>
  <si>
    <t>70.70</t>
  </si>
  <si>
    <t>12,885</t>
  </si>
  <si>
    <t>75.40</t>
  </si>
  <si>
    <t>75.00</t>
  </si>
  <si>
    <t>12,225</t>
  </si>
  <si>
    <t>70.90</t>
  </si>
  <si>
    <t>12,071</t>
  </si>
  <si>
    <t>75.60</t>
  </si>
  <si>
    <t>73.90</t>
  </si>
  <si>
    <t>17,893</t>
  </si>
  <si>
    <t>78.60</t>
  </si>
  <si>
    <t>33,003</t>
  </si>
  <si>
    <t>73.00</t>
  </si>
  <si>
    <t>25,689</t>
  </si>
  <si>
    <t>14,052</t>
  </si>
  <si>
    <t>74.20</t>
  </si>
  <si>
    <t>33,944</t>
  </si>
  <si>
    <t>69.40</t>
  </si>
  <si>
    <t>71.90</t>
  </si>
  <si>
    <t>15,768</t>
  </si>
  <si>
    <t>69.60</t>
  </si>
  <si>
    <t>70.30</t>
  </si>
  <si>
    <t>68.30</t>
  </si>
  <si>
    <t>68.70</t>
  </si>
  <si>
    <t>4,672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</si>
</sst>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$&quot;#,##0.00;[Red]\-&quot;$&quot;#,##0.00"/>
    <numFmt numFmtId="177" formatCode="0.0%"/>
    <numFmt numFmtId="178" formatCode="0.00_);[Red]\(0.00\)"/>
    <numFmt numFmtId="179" formatCode="m&quot;月&quot;d&quot;日&quot;"/>
  </numFmts>
  <fonts count="18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Microsoft JhengHei Light"/>
      <family val="2"/>
      <charset val="136"/>
    </font>
    <font>
      <b/>
      <sz val="12"/>
      <color theme="1"/>
      <name val="Microsoft JhengHei Light"/>
      <family val="2"/>
      <charset val="136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Microsoft JhengHei Light"/>
      <family val="2"/>
      <charset val="136"/>
    </font>
    <font>
      <sz val="12"/>
      <color theme="0"/>
      <name val="Microsoft JhengHei Light"/>
      <family val="2"/>
      <charset val="136"/>
    </font>
    <font>
      <sz val="12"/>
      <color rgb="FFFF0000"/>
      <name val="Microsoft JhengHei Light"/>
      <family val="2"/>
      <charset val="136"/>
    </font>
    <font>
      <sz val="12"/>
      <color rgb="FF000000"/>
      <name val="Microsoft JhengHei Light"/>
      <family val="2"/>
      <charset val="136"/>
    </font>
    <font>
      <b/>
      <sz val="12"/>
      <color theme="1"/>
      <name val="微軟正黑體"/>
      <family val="2"/>
      <charset val="136"/>
    </font>
    <font>
      <b/>
      <sz val="11"/>
      <color theme="1"/>
      <name val="Microsoft JhengHei Light"/>
      <family val="2"/>
      <charset val="136"/>
    </font>
    <font>
      <sz val="10"/>
      <color rgb="FFC00000"/>
      <name val="Microsoft JhengHei Light"/>
      <family val="2"/>
      <charset val="136"/>
    </font>
    <font>
      <b/>
      <sz val="12"/>
      <color theme="0"/>
      <name val="新細明體"/>
      <family val="1"/>
      <charset val="136"/>
      <scheme val="minor"/>
    </font>
    <font>
      <b/>
      <sz val="14"/>
      <color theme="0"/>
      <name val="Microsoft JhengHei Light"/>
      <family val="2"/>
      <charset val="136"/>
    </font>
    <font>
      <sz val="12"/>
      <color rgb="FF000000"/>
      <name val="新細明體"/>
      <family val="2"/>
      <charset val="136"/>
      <scheme val="minor"/>
    </font>
    <font>
      <b/>
      <sz val="12"/>
      <color rgb="FF000000"/>
      <name val="微軟正黑體"/>
      <family val="2"/>
      <charset val="136"/>
    </font>
    <font>
      <sz val="12"/>
      <color rgb="FFC00000"/>
      <name val="Microsoft JhengHei Light"/>
      <family val="2"/>
      <charset val="136"/>
    </font>
    <font>
      <b/>
      <sz val="12"/>
      <color rgb="FF000000"/>
      <name val="Microsoft JhengHei Light"/>
      <charset val="136"/>
    </font>
  </fonts>
  <fills count="1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EBB1B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3" fillId="3" borderId="1" xfId="0" applyNumberFormat="1" applyFont="1" applyFill="1" applyBorder="1" applyAlignment="1">
      <alignment horizontal="center" vertical="center"/>
    </xf>
    <xf numFmtId="1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2" fillId="6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2" fillId="6" borderId="0" xfId="0" applyFont="1" applyFill="1">
      <alignment vertical="center"/>
    </xf>
    <xf numFmtId="0" fontId="5" fillId="10" borderId="0" xfId="0" applyFont="1" applyFill="1">
      <alignment vertical="center"/>
    </xf>
    <xf numFmtId="0" fontId="2" fillId="11" borderId="0" xfId="0" applyFont="1" applyFill="1">
      <alignment vertical="center"/>
    </xf>
    <xf numFmtId="0" fontId="5" fillId="12" borderId="0" xfId="0" applyFont="1" applyFill="1">
      <alignment vertical="center"/>
    </xf>
    <xf numFmtId="10" fontId="2" fillId="6" borderId="0" xfId="0" applyNumberFormat="1" applyFont="1" applyFill="1">
      <alignment vertical="center"/>
    </xf>
    <xf numFmtId="10" fontId="2" fillId="11" borderId="0" xfId="0" applyNumberFormat="1" applyFont="1" applyFill="1">
      <alignment vertical="center"/>
    </xf>
    <xf numFmtId="0" fontId="0" fillId="12" borderId="0" xfId="0" applyFill="1">
      <alignment vertical="center"/>
    </xf>
    <xf numFmtId="10" fontId="7" fillId="10" borderId="0" xfId="0" applyNumberFormat="1" applyFont="1" applyFill="1">
      <alignment vertical="center"/>
    </xf>
    <xf numFmtId="10" fontId="8" fillId="10" borderId="0" xfId="0" applyNumberFormat="1" applyFont="1" applyFill="1">
      <alignment vertical="center"/>
    </xf>
    <xf numFmtId="10" fontId="7" fillId="12" borderId="0" xfId="0" applyNumberFormat="1" applyFont="1" applyFill="1">
      <alignment vertical="center"/>
    </xf>
    <xf numFmtId="10" fontId="8" fillId="12" borderId="0" xfId="0" applyNumberFormat="1" applyFont="1" applyFill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77" fontId="4" fillId="5" borderId="0" xfId="0" applyNumberFormat="1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78" fontId="4" fillId="5" borderId="0" xfId="0" applyNumberFormat="1" applyFont="1" applyFill="1" applyAlignment="1">
      <alignment horizontal="center" vertical="center"/>
    </xf>
    <xf numFmtId="1" fontId="4" fillId="5" borderId="0" xfId="0" applyNumberFormat="1" applyFont="1" applyFill="1" applyAlignment="1">
      <alignment horizontal="center" vertical="center"/>
    </xf>
    <xf numFmtId="49" fontId="12" fillId="13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1" fontId="12" fillId="2" borderId="0" xfId="0" applyNumberFormat="1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3" fillId="2" borderId="0" xfId="0" applyFont="1" applyFill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7" xfId="0" applyBorder="1">
      <alignment vertical="center"/>
    </xf>
    <xf numFmtId="10" fontId="14" fillId="12" borderId="0" xfId="0" applyNumberFormat="1" applyFont="1" applyFill="1">
      <alignment vertical="center"/>
    </xf>
    <xf numFmtId="0" fontId="5" fillId="2" borderId="1" xfId="0" applyFont="1" applyFill="1" applyBorder="1">
      <alignment vertical="center"/>
    </xf>
    <xf numFmtId="0" fontId="2" fillId="14" borderId="0" xfId="0" applyFont="1" applyFill="1" applyAlignment="1">
      <alignment horizontal="center" vertical="center"/>
    </xf>
    <xf numFmtId="4" fontId="0" fillId="0" borderId="0" xfId="0" applyNumberFormat="1">
      <alignment vertical="center"/>
    </xf>
    <xf numFmtId="0" fontId="6" fillId="13" borderId="0" xfId="0" applyFont="1" applyFill="1" applyAlignment="1">
      <alignment horizontal="center" vertical="center"/>
    </xf>
    <xf numFmtId="0" fontId="5" fillId="15" borderId="0" xfId="0" applyFont="1" applyFill="1" applyAlignment="1">
      <alignment horizontal="center" vertical="center"/>
    </xf>
    <xf numFmtId="0" fontId="8" fillId="16" borderId="0" xfId="0" applyFont="1" applyFill="1" applyAlignment="1">
      <alignment horizontal="center" vertical="center"/>
    </xf>
    <xf numFmtId="4" fontId="8" fillId="16" borderId="0" xfId="0" applyNumberFormat="1" applyFont="1" applyFill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16" fillId="15" borderId="0" xfId="0" applyFont="1" applyFill="1" applyAlignment="1">
      <alignment horizontal="center" vertical="center"/>
    </xf>
    <xf numFmtId="11" fontId="0" fillId="0" borderId="0" xfId="0" applyNumberFormat="1">
      <alignment vertical="center"/>
    </xf>
    <xf numFmtId="2" fontId="5" fillId="15" borderId="0" xfId="0" applyNumberFormat="1" applyFont="1" applyFill="1" applyAlignment="1">
      <alignment horizontal="center" vertical="center"/>
    </xf>
    <xf numFmtId="2" fontId="16" fillId="15" borderId="0" xfId="0" applyNumberFormat="1" applyFont="1" applyFill="1" applyAlignment="1">
      <alignment horizontal="center" vertical="center"/>
    </xf>
    <xf numFmtId="3" fontId="0" fillId="0" borderId="0" xfId="0" applyNumberFormat="1">
      <alignment vertical="center"/>
    </xf>
  </cellXfs>
  <cellStyles count="1">
    <cellStyle name="一般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Microsoft JhengHei Light"/>
        <family val="2"/>
        <charset val="136"/>
        <scheme val="none"/>
      </font>
      <fill>
        <patternFill>
          <fgColor rgb="FF000000"/>
          <bgColor rgb="FFD9E1F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Microsoft JhengHei Light"/>
        <family val="2"/>
        <charset val="136"/>
        <scheme val="none"/>
      </font>
      <fill>
        <patternFill>
          <fgColor rgb="FF000000"/>
          <bgColor rgb="FFD9E1F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Microsoft JhengHei Light"/>
        <family val="2"/>
        <charset val="136"/>
        <scheme val="none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Light"/>
        <family val="2"/>
        <charset val="136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Microsoft JhengHei Light"/>
        <family val="2"/>
        <charset val="136"/>
        <scheme val="none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0000"/>
      <color rgb="FFEBB1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1200">
                <a:latin typeface="微軟正黑體" panose="020B0604030504040204" pitchFamily="34" charset="-120"/>
                <a:ea typeface="微軟正黑體" panose="020B0604030504040204" pitchFamily="34" charset="-120"/>
              </a:rPr>
              <a:t>上市產業類股漲跌排行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上市產業類股</c:v>
          </c:tx>
          <c:spPr>
            <a:solidFill>
              <a:srgbClr val="2F5597"/>
            </a:solidFill>
            <a:ln>
              <a:noFill/>
            </a:ln>
            <a:effectLst/>
          </c:spPr>
          <c:invertIfNegative val="1"/>
          <c:cat>
            <c:strRef>
              <c:f>上市櫃產業類股當日指數!$A$2:$A$42</c:f>
              <c:strCache>
                <c:ptCount val="41"/>
                <c:pt idx="0">
                  <c:v>電子類</c:v>
                </c:pt>
                <c:pt idx="1">
                  <c:v>航運類</c:v>
                </c:pt>
                <c:pt idx="2">
                  <c:v>電腦及週邊設備類</c:v>
                </c:pt>
                <c:pt idx="3">
                  <c:v>電機機械類</c:v>
                </c:pt>
                <c:pt idx="4">
                  <c:v>電器電纜類</c:v>
                </c:pt>
                <c:pt idx="5">
                  <c:v>電子零組件類</c:v>
                </c:pt>
                <c:pt idx="6">
                  <c:v>綠能環保類</c:v>
                </c:pt>
                <c:pt idx="7">
                  <c:v>電子通路類</c:v>
                </c:pt>
                <c:pt idx="8">
                  <c:v>機電類</c:v>
                </c:pt>
                <c:pt idx="9">
                  <c:v>光電類</c:v>
                </c:pt>
                <c:pt idx="10">
                  <c:v>發行量加權股價</c:v>
                </c:pt>
                <c:pt idx="11">
                  <c:v>塑膠類</c:v>
                </c:pt>
                <c:pt idx="12">
                  <c:v>半導體類</c:v>
                </c:pt>
                <c:pt idx="13">
                  <c:v>汽車類</c:v>
                </c:pt>
                <c:pt idx="14">
                  <c:v>其他類</c:v>
                </c:pt>
                <c:pt idx="15">
                  <c:v>造紙類</c:v>
                </c:pt>
                <c:pt idx="16">
                  <c:v>觀光類</c:v>
                </c:pt>
                <c:pt idx="17">
                  <c:v>塑膠化工類</c:v>
                </c:pt>
                <c:pt idx="18">
                  <c:v>數位雲端類</c:v>
                </c:pt>
                <c:pt idx="19">
                  <c:v>資訊服務類</c:v>
                </c:pt>
                <c:pt idx="20">
                  <c:v>化學類</c:v>
                </c:pt>
                <c:pt idx="21">
                  <c:v>金融保險類</c:v>
                </c:pt>
                <c:pt idx="22">
                  <c:v>建材營造類</c:v>
                </c:pt>
                <c:pt idx="23">
                  <c:v>化學生技醫療類</c:v>
                </c:pt>
                <c:pt idx="24">
                  <c:v>食品類</c:v>
                </c:pt>
                <c:pt idx="25">
                  <c:v>生技醫療類</c:v>
                </c:pt>
                <c:pt idx="26">
                  <c:v>運動休閒類</c:v>
                </c:pt>
                <c:pt idx="27">
                  <c:v>貿易百貨類</c:v>
                </c:pt>
                <c:pt idx="28">
                  <c:v>鋼鐵類</c:v>
                </c:pt>
                <c:pt idx="29">
                  <c:v>紡織纖維類</c:v>
                </c:pt>
                <c:pt idx="30">
                  <c:v>油電燃氣類</c:v>
                </c:pt>
                <c:pt idx="31">
                  <c:v>通信網路類</c:v>
                </c:pt>
                <c:pt idx="32">
                  <c:v>水泥類</c:v>
                </c:pt>
                <c:pt idx="33">
                  <c:v>橡膠類</c:v>
                </c:pt>
                <c:pt idx="34">
                  <c:v>水泥窯製類</c:v>
                </c:pt>
                <c:pt idx="35">
                  <c:v>玻璃陶瓷類</c:v>
                </c:pt>
                <c:pt idx="36">
                  <c:v>居家生活類</c:v>
                </c:pt>
                <c:pt idx="37">
                  <c:v>居家生活類</c:v>
                </c:pt>
                <c:pt idx="38">
                  <c:v>水泥窯製類</c:v>
                </c:pt>
                <c:pt idx="39">
                  <c:v>玻璃陶瓷類</c:v>
                </c:pt>
                <c:pt idx="40">
                  <c:v>居家生活類</c:v>
                </c:pt>
              </c:strCache>
            </c:strRef>
          </c:cat>
          <c:val>
            <c:numRef>
              <c:f>上市櫃產業類股當日指數!$D$2:$D$42</c:f>
              <c:numCache>
                <c:formatCode>0.00%</c:formatCode>
                <c:ptCount val="41"/>
                <c:pt idx="0">
                  <c:v>4.02E-2</c:v>
                </c:pt>
                <c:pt idx="1">
                  <c:v>2.8000000000000001E-2</c:v>
                </c:pt>
                <c:pt idx="2">
                  <c:v>2.29E-2</c:v>
                </c:pt>
                <c:pt idx="3">
                  <c:v>2.2499999999999999E-2</c:v>
                </c:pt>
                <c:pt idx="4">
                  <c:v>1.83E-2</c:v>
                </c:pt>
                <c:pt idx="5">
                  <c:v>1.5900000000000001E-2</c:v>
                </c:pt>
                <c:pt idx="6">
                  <c:v>1.44E-2</c:v>
                </c:pt>
                <c:pt idx="7">
                  <c:v>1.35E-2</c:v>
                </c:pt>
                <c:pt idx="8">
                  <c:v>1.35E-2</c:v>
                </c:pt>
                <c:pt idx="9">
                  <c:v>1.24E-2</c:v>
                </c:pt>
                <c:pt idx="10">
                  <c:v>1.11E-2</c:v>
                </c:pt>
                <c:pt idx="11">
                  <c:v>1.0800000000000001E-2</c:v>
                </c:pt>
                <c:pt idx="12">
                  <c:v>9.5999999999999992E-3</c:v>
                </c:pt>
                <c:pt idx="13">
                  <c:v>8.6999999999999994E-3</c:v>
                </c:pt>
                <c:pt idx="14">
                  <c:v>6.3E-3</c:v>
                </c:pt>
                <c:pt idx="15">
                  <c:v>6.1000000000000004E-3</c:v>
                </c:pt>
                <c:pt idx="16">
                  <c:v>6.0000000000000001E-3</c:v>
                </c:pt>
                <c:pt idx="17">
                  <c:v>5.7000000000000002E-3</c:v>
                </c:pt>
                <c:pt idx="18">
                  <c:v>5.1000000000000004E-3</c:v>
                </c:pt>
                <c:pt idx="19">
                  <c:v>5.1000000000000004E-3</c:v>
                </c:pt>
                <c:pt idx="20">
                  <c:v>4.5999999999999999E-3</c:v>
                </c:pt>
                <c:pt idx="21">
                  <c:v>4.5999999999999999E-3</c:v>
                </c:pt>
                <c:pt idx="22">
                  <c:v>3.5999999999999999E-3</c:v>
                </c:pt>
                <c:pt idx="23">
                  <c:v>3.5000000000000001E-3</c:v>
                </c:pt>
                <c:pt idx="24">
                  <c:v>2.7000000000000001E-3</c:v>
                </c:pt>
                <c:pt idx="25">
                  <c:v>2.5999999999999999E-3</c:v>
                </c:pt>
                <c:pt idx="26">
                  <c:v>1.5E-3</c:v>
                </c:pt>
                <c:pt idx="27">
                  <c:v>1.1999999999999999E-3</c:v>
                </c:pt>
                <c:pt idx="28">
                  <c:v>-2.2000000000000001E-3</c:v>
                </c:pt>
                <c:pt idx="29">
                  <c:v>-3.5000000000000001E-3</c:v>
                </c:pt>
                <c:pt idx="30">
                  <c:v>-6.3E-3</c:v>
                </c:pt>
                <c:pt idx="31">
                  <c:v>-6.4000000000000003E-3</c:v>
                </c:pt>
                <c:pt idx="32">
                  <c:v>-6.7999999999999996E-3</c:v>
                </c:pt>
                <c:pt idx="33">
                  <c:v>-6.7999999999999996E-3</c:v>
                </c:pt>
                <c:pt idx="34">
                  <c:v>-7.1999999999999998E-3</c:v>
                </c:pt>
                <c:pt idx="35">
                  <c:v>-1.03E-2</c:v>
                </c:pt>
                <c:pt idx="36">
                  <c:v>-1.44E-2</c:v>
                </c:pt>
                <c:pt idx="37">
                  <c:v>-1.44E-2</c:v>
                </c:pt>
                <c:pt idx="38">
                  <c:v>-7.1999999999999998E-3</c:v>
                </c:pt>
                <c:pt idx="39">
                  <c:v>-1.03E-2</c:v>
                </c:pt>
                <c:pt idx="40">
                  <c:v>-1.44E-2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05F9-4783-BAC7-18D165D62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30"/>
        <c:axId val="1256624096"/>
        <c:axId val="1915634496"/>
      </c:barChart>
      <c:catAx>
        <c:axId val="125662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915634496"/>
        <c:crosses val="autoZero"/>
        <c:auto val="1"/>
        <c:lblAlgn val="ctr"/>
        <c:lblOffset val="100"/>
        <c:noMultiLvlLbl val="0"/>
      </c:catAx>
      <c:valAx>
        <c:axId val="191563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25662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1200">
                <a:latin typeface="微軟正黑體" panose="020B0604030504040204" pitchFamily="34" charset="-120"/>
                <a:ea typeface="微軟正黑體" panose="020B0604030504040204" pitchFamily="34" charset="-120"/>
              </a:rPr>
              <a:t>上櫃產業類股漲跌排行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上市產業類股</c:v>
          </c:tx>
          <c:spPr>
            <a:solidFill>
              <a:srgbClr val="2F5597"/>
            </a:solidFill>
            <a:ln>
              <a:noFill/>
            </a:ln>
            <a:effectLst/>
          </c:spPr>
          <c:invertIfNegative val="1"/>
          <c:cat>
            <c:strRef>
              <c:f>上市櫃產業類股當日指數!$F$2:$F$24</c:f>
              <c:strCache>
                <c:ptCount val="23"/>
                <c:pt idx="0">
                  <c:v>航運業</c:v>
                </c:pt>
                <c:pt idx="1">
                  <c:v>電子通路業</c:v>
                </c:pt>
                <c:pt idx="2">
                  <c:v>電腦及週邊設備業</c:v>
                </c:pt>
                <c:pt idx="3">
                  <c:v>紡織纖維</c:v>
                </c:pt>
                <c:pt idx="4">
                  <c:v>電機機械</c:v>
                </c:pt>
                <c:pt idx="5">
                  <c:v>其他電子業</c:v>
                </c:pt>
                <c:pt idx="6">
                  <c:v>居家生活</c:v>
                </c:pt>
                <c:pt idx="7">
                  <c:v>光電業</c:v>
                </c:pt>
                <c:pt idx="8">
                  <c:v>通信網路業</c:v>
                </c:pt>
                <c:pt idx="9">
                  <c:v>電子工業</c:v>
                </c:pt>
                <c:pt idx="10">
                  <c:v>半導體業</c:v>
                </c:pt>
                <c:pt idx="11">
                  <c:v>櫃買指數</c:v>
                </c:pt>
                <c:pt idx="12">
                  <c:v>其他</c:v>
                </c:pt>
                <c:pt idx="13">
                  <c:v>電子零組件業</c:v>
                </c:pt>
                <c:pt idx="14">
                  <c:v>資訊服務業</c:v>
                </c:pt>
                <c:pt idx="15">
                  <c:v>化學工業</c:v>
                </c:pt>
                <c:pt idx="16">
                  <c:v>觀光餐旅</c:v>
                </c:pt>
                <c:pt idx="17">
                  <c:v>建材營造</c:v>
                </c:pt>
                <c:pt idx="18">
                  <c:v>鋼鐵工業</c:v>
                </c:pt>
                <c:pt idx="19">
                  <c:v>綠能環保</c:v>
                </c:pt>
                <c:pt idx="20">
                  <c:v>生技醫療</c:v>
                </c:pt>
                <c:pt idx="21">
                  <c:v>數位雲端</c:v>
                </c:pt>
                <c:pt idx="22">
                  <c:v>文化創意業</c:v>
                </c:pt>
              </c:strCache>
            </c:strRef>
          </c:cat>
          <c:val>
            <c:numRef>
              <c:f>上市櫃產業類股當日指數!$I$2:$I$24</c:f>
              <c:numCache>
                <c:formatCode>0.00%</c:formatCode>
                <c:ptCount val="23"/>
                <c:pt idx="0">
                  <c:v>2.4138583869746308E-2</c:v>
                </c:pt>
                <c:pt idx="1">
                  <c:v>2.2643766555584036E-2</c:v>
                </c:pt>
                <c:pt idx="2">
                  <c:v>2.2546621828187098E-2</c:v>
                </c:pt>
                <c:pt idx="3">
                  <c:v>2.0753150705607126E-2</c:v>
                </c:pt>
                <c:pt idx="4">
                  <c:v>1.8977501371867569E-2</c:v>
                </c:pt>
                <c:pt idx="5">
                  <c:v>1.6354957351905466E-2</c:v>
                </c:pt>
                <c:pt idx="6">
                  <c:v>1.6330858960763521E-2</c:v>
                </c:pt>
                <c:pt idx="7">
                  <c:v>1.4638006066200714E-2</c:v>
                </c:pt>
                <c:pt idx="8">
                  <c:v>1.1931732366711979E-2</c:v>
                </c:pt>
                <c:pt idx="9">
                  <c:v>1.1560278595533855E-2</c:v>
                </c:pt>
                <c:pt idx="10">
                  <c:v>8.9400773195876301E-3</c:v>
                </c:pt>
                <c:pt idx="11">
                  <c:v>8.6824482167886623E-3</c:v>
                </c:pt>
                <c:pt idx="12">
                  <c:v>7.9911642411642416E-3</c:v>
                </c:pt>
                <c:pt idx="13">
                  <c:v>7.3534818736671805E-3</c:v>
                </c:pt>
                <c:pt idx="14">
                  <c:v>7.0501835985312114E-3</c:v>
                </c:pt>
                <c:pt idx="15">
                  <c:v>6.7941952506596313E-3</c:v>
                </c:pt>
                <c:pt idx="16">
                  <c:v>6.3479468359452498E-3</c:v>
                </c:pt>
                <c:pt idx="17">
                  <c:v>2.5884921253703417E-3</c:v>
                </c:pt>
                <c:pt idx="18">
                  <c:v>2.3932553712265434E-3</c:v>
                </c:pt>
                <c:pt idx="19">
                  <c:v>1.7107013875689032E-3</c:v>
                </c:pt>
                <c:pt idx="20">
                  <c:v>9.3477357706688816E-4</c:v>
                </c:pt>
                <c:pt idx="21">
                  <c:v>-3.5033939128530762E-3</c:v>
                </c:pt>
                <c:pt idx="22">
                  <c:v>-2.0901114068815931E-2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4935-4EF4-91D9-6159A433B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56624096"/>
        <c:axId val="1915634496"/>
      </c:barChart>
      <c:catAx>
        <c:axId val="125662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915634496"/>
        <c:crosses val="autoZero"/>
        <c:auto val="1"/>
        <c:lblAlgn val="ctr"/>
        <c:lblOffset val="100"/>
        <c:noMultiLvlLbl val="0"/>
      </c:catAx>
      <c:valAx>
        <c:axId val="191563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25662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1200" b="1">
                <a:latin typeface="微軟正黑體" panose="020B0604030504040204" pitchFamily="34" charset="-120"/>
                <a:ea typeface="微軟正黑體" panose="020B0604030504040204" pitchFamily="34" charset="-120"/>
              </a:rPr>
              <a:t>毛利率比較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財務比率!$A$1</c:f>
              <c:strCache>
                <c:ptCount val="1"/>
                <c:pt idx="0">
                  <c:v>2603</c:v>
                </c:pt>
              </c:strCache>
            </c:strRef>
          </c:tx>
          <c:spPr>
            <a:solidFill>
              <a:schemeClr val="accent5">
                <a:shade val="53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最新一季</c:v>
              </c:pt>
            </c:strLit>
          </c:cat>
          <c:val>
            <c:numRef>
              <c:f>財務比率!$B$2</c:f>
              <c:numCache>
                <c:formatCode>0.0%</c:formatCode>
                <c:ptCount val="1"/>
                <c:pt idx="0">
                  <c:v>0.21384072383134767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AE-483A-903E-F87E5D3474EE}"/>
            </c:ext>
          </c:extLst>
        </c:ser>
        <c:ser>
          <c:idx val="1"/>
          <c:order val="1"/>
          <c:tx>
            <c:strRef>
              <c:f>財務比率!$A$12</c:f>
              <c:strCache>
                <c:ptCount val="1"/>
                <c:pt idx="0">
                  <c:v>2634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最新一季</c:v>
              </c:pt>
            </c:strLit>
          </c:cat>
          <c:val>
            <c:numRef>
              <c:f>財務比率!$B$13</c:f>
              <c:numCache>
                <c:formatCode>0.0%</c:formatCode>
                <c:ptCount val="1"/>
                <c:pt idx="0">
                  <c:v>0.10283506775275315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AE-483A-903E-F87E5D3474EE}"/>
            </c:ext>
          </c:extLst>
        </c:ser>
        <c:ser>
          <c:idx val="2"/>
          <c:order val="2"/>
          <c:tx>
            <c:strRef>
              <c:f>財務比率!$E$1</c:f>
              <c:strCache>
                <c:ptCount val="1"/>
                <c:pt idx="0">
                  <c:v>2606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最新一季</c:v>
              </c:pt>
            </c:strLit>
          </c:cat>
          <c:val>
            <c:numRef>
              <c:f>財務比率!$F$2</c:f>
              <c:numCache>
                <c:formatCode>0.0%</c:formatCode>
                <c:ptCount val="1"/>
                <c:pt idx="0">
                  <c:v>0.27366545599423286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AE-483A-903E-F87E5D3474EE}"/>
            </c:ext>
          </c:extLst>
        </c:ser>
        <c:ser>
          <c:idx val="3"/>
          <c:order val="3"/>
          <c:tx>
            <c:strRef>
              <c:f>財務比率!$E$12</c:f>
              <c:strCache>
                <c:ptCount val="1"/>
                <c:pt idx="0">
                  <c:v>2609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最新一季</c:v>
              </c:pt>
            </c:strLit>
          </c:cat>
          <c:val>
            <c:numRef>
              <c:f>財務比率!$F$13</c:f>
              <c:numCache>
                <c:formatCode>0.0%</c:formatCode>
                <c:ptCount val="1"/>
                <c:pt idx="0">
                  <c:v>0.23059756794692704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AE-483A-903E-F87E5D3474EE}"/>
            </c:ext>
          </c:extLst>
        </c:ser>
        <c:ser>
          <c:idx val="4"/>
          <c:order val="4"/>
          <c:tx>
            <c:strRef>
              <c:f>財務比率!$I$1</c:f>
              <c:strCache>
                <c:ptCount val="1"/>
                <c:pt idx="0">
                  <c:v>2637</c:v>
                </c:pt>
              </c:strCache>
            </c:strRef>
          </c:tx>
          <c:spPr>
            <a:solidFill>
              <a:schemeClr val="accent5">
                <a:tint val="54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最新一季</c:v>
              </c:pt>
            </c:strLit>
          </c:cat>
          <c:val>
            <c:numRef>
              <c:f>財務比率!$J$2</c:f>
              <c:numCache>
                <c:formatCode>0.0%</c:formatCode>
                <c:ptCount val="1"/>
                <c:pt idx="0">
                  <c:v>0.3169118593198631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AE-483A-903E-F87E5D347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9244911"/>
        <c:axId val="1047579023"/>
      </c:barChart>
      <c:catAx>
        <c:axId val="8992449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47579023"/>
        <c:crosses val="autoZero"/>
        <c:auto val="1"/>
        <c:lblAlgn val="ctr"/>
        <c:lblOffset val="100"/>
        <c:noMultiLvlLbl val="0"/>
      </c:catAx>
      <c:valAx>
        <c:axId val="1047579023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899244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1200" b="1">
                <a:latin typeface="微軟正黑體" panose="020B0604030504040204" pitchFamily="34" charset="-120"/>
                <a:ea typeface="微軟正黑體" panose="020B0604030504040204" pitchFamily="34" charset="-120"/>
              </a:rPr>
              <a:t>營利率比較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財務比率!$A$1</c:f>
              <c:strCache>
                <c:ptCount val="1"/>
                <c:pt idx="0">
                  <c:v>2603</c:v>
                </c:pt>
              </c:strCache>
            </c:strRef>
          </c:tx>
          <c:spPr>
            <a:solidFill>
              <a:schemeClr val="accent5">
                <a:shade val="53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財務比率!$B$3</c:f>
              <c:numCache>
                <c:formatCode>0.0%</c:formatCode>
                <c:ptCount val="1"/>
                <c:pt idx="0">
                  <c:v>0.17660734240124279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40-43C5-B0CE-301078CC0C52}"/>
            </c:ext>
          </c:extLst>
        </c:ser>
        <c:ser>
          <c:idx val="1"/>
          <c:order val="1"/>
          <c:tx>
            <c:strRef>
              <c:f>財務比率!$A$12</c:f>
              <c:strCache>
                <c:ptCount val="1"/>
                <c:pt idx="0">
                  <c:v>2634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財務比率!$B$14</c:f>
              <c:numCache>
                <c:formatCode>0.0%</c:formatCode>
                <c:ptCount val="1"/>
                <c:pt idx="0">
                  <c:v>7.2679761923335681E-2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40-43C5-B0CE-301078CC0C52}"/>
            </c:ext>
          </c:extLst>
        </c:ser>
        <c:ser>
          <c:idx val="2"/>
          <c:order val="2"/>
          <c:tx>
            <c:strRef>
              <c:f>財務比率!$E$1</c:f>
              <c:strCache>
                <c:ptCount val="1"/>
                <c:pt idx="0">
                  <c:v>2606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財務比率!$F$3</c:f>
              <c:numCache>
                <c:formatCode>0.0%</c:formatCode>
                <c:ptCount val="1"/>
                <c:pt idx="0">
                  <c:v>0.23059773028825725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40-43C5-B0CE-301078CC0C52}"/>
            </c:ext>
          </c:extLst>
        </c:ser>
        <c:ser>
          <c:idx val="3"/>
          <c:order val="3"/>
          <c:tx>
            <c:strRef>
              <c:f>財務比率!$E$12</c:f>
              <c:strCache>
                <c:ptCount val="1"/>
                <c:pt idx="0">
                  <c:v>2609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財務比率!$F$14</c:f>
              <c:numCache>
                <c:formatCode>0.0%</c:formatCode>
                <c:ptCount val="1"/>
                <c:pt idx="0">
                  <c:v>0.18009780000556602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40-43C5-B0CE-301078CC0C52}"/>
            </c:ext>
          </c:extLst>
        </c:ser>
        <c:ser>
          <c:idx val="4"/>
          <c:order val="4"/>
          <c:tx>
            <c:strRef>
              <c:f>財務比率!$I$1</c:f>
              <c:strCache>
                <c:ptCount val="1"/>
                <c:pt idx="0">
                  <c:v>2637</c:v>
                </c:pt>
              </c:strCache>
            </c:strRef>
          </c:tx>
          <c:spPr>
            <a:solidFill>
              <a:schemeClr val="accent5">
                <a:tint val="54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財務比率!$J$3</c:f>
              <c:numCache>
                <c:formatCode>0.0%</c:formatCode>
                <c:ptCount val="1"/>
                <c:pt idx="0">
                  <c:v>0.30820200954581128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A40-43C5-B0CE-301078CC0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69704847"/>
        <c:axId val="1160676639"/>
      </c:barChart>
      <c:catAx>
        <c:axId val="1169704847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0676639"/>
        <c:crosses val="autoZero"/>
        <c:auto val="1"/>
        <c:lblAlgn val="ctr"/>
        <c:lblOffset val="100"/>
        <c:noMultiLvlLbl val="0"/>
      </c:catAx>
      <c:valAx>
        <c:axId val="1160676639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69704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 sz="1200" b="1">
                <a:latin typeface="微軟正黑體" panose="020B0604030504040204" pitchFamily="34" charset="-120"/>
                <a:ea typeface="微軟正黑體" panose="020B0604030504040204" pitchFamily="34" charset="-120"/>
              </a:rPr>
              <a:t>稅後利益率比較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財務比率!$A$1</c:f>
              <c:strCache>
                <c:ptCount val="1"/>
                <c:pt idx="0">
                  <c:v>2603</c:v>
                </c:pt>
              </c:strCache>
            </c:strRef>
          </c:tx>
          <c:spPr>
            <a:solidFill>
              <a:schemeClr val="accent5">
                <a:shade val="53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財務比率!$B$4</c:f>
              <c:numCache>
                <c:formatCode>0.0%</c:formatCode>
                <c:ptCount val="1"/>
                <c:pt idx="0">
                  <c:v>0.20559063286370341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E-4362-BB77-A1DE2B83A2D9}"/>
            </c:ext>
          </c:extLst>
        </c:ser>
        <c:ser>
          <c:idx val="1"/>
          <c:order val="1"/>
          <c:tx>
            <c:strRef>
              <c:f>財務比率!$A$12</c:f>
              <c:strCache>
                <c:ptCount val="1"/>
                <c:pt idx="0">
                  <c:v>2634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財務比率!$B$15</c:f>
              <c:numCache>
                <c:formatCode>0.0%</c:formatCode>
                <c:ptCount val="1"/>
                <c:pt idx="0">
                  <c:v>7.6039008716775477E-2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DE-4362-BB77-A1DE2B83A2D9}"/>
            </c:ext>
          </c:extLst>
        </c:ser>
        <c:ser>
          <c:idx val="2"/>
          <c:order val="2"/>
          <c:tx>
            <c:strRef>
              <c:f>財務比率!$E$1</c:f>
              <c:strCache>
                <c:ptCount val="1"/>
                <c:pt idx="0">
                  <c:v>2606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財務比率!$F$4</c:f>
              <c:numCache>
                <c:formatCode>0.0%</c:formatCode>
                <c:ptCount val="1"/>
                <c:pt idx="0">
                  <c:v>0.25567232889651276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DE-4362-BB77-A1DE2B83A2D9}"/>
            </c:ext>
          </c:extLst>
        </c:ser>
        <c:ser>
          <c:idx val="3"/>
          <c:order val="3"/>
          <c:tx>
            <c:strRef>
              <c:f>財務比率!$E$12</c:f>
              <c:strCache>
                <c:ptCount val="1"/>
                <c:pt idx="0">
                  <c:v>2609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財務比率!$F$15</c:f>
              <c:numCache>
                <c:formatCode>0.0%</c:formatCode>
                <c:ptCount val="1"/>
                <c:pt idx="0">
                  <c:v>0.21584371140037464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DE-4362-BB77-A1DE2B83A2D9}"/>
            </c:ext>
          </c:extLst>
        </c:ser>
        <c:ser>
          <c:idx val="4"/>
          <c:order val="4"/>
          <c:tx>
            <c:strRef>
              <c:f>財務比率!$I$1</c:f>
              <c:strCache>
                <c:ptCount val="1"/>
                <c:pt idx="0">
                  <c:v>2637</c:v>
                </c:pt>
              </c:strCache>
            </c:strRef>
          </c:tx>
          <c:spPr>
            <a:solidFill>
              <a:schemeClr val="accent5">
                <a:tint val="54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財務比率!$J$4</c:f>
              <c:numCache>
                <c:formatCode>0.0%</c:formatCode>
                <c:ptCount val="1"/>
                <c:pt idx="0">
                  <c:v>0.31646724880038246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DE-4362-BB77-A1DE2B83A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7905919"/>
        <c:axId val="1172234383"/>
      </c:barChart>
      <c:catAx>
        <c:axId val="1157905919"/>
        <c:scaling>
          <c:orientation val="minMax"/>
        </c:scaling>
        <c:delete val="1"/>
        <c:axPos val="b"/>
        <c:majorTickMark val="none"/>
        <c:minorTickMark val="none"/>
        <c:tickLblPos val="nextTo"/>
        <c:crossAx val="1172234383"/>
        <c:crosses val="autoZero"/>
        <c:auto val="1"/>
        <c:lblAlgn val="ctr"/>
        <c:lblOffset val="100"/>
        <c:noMultiLvlLbl val="0"/>
      </c:catAx>
      <c:valAx>
        <c:axId val="1172234383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57905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en-US" altLang="zh-TW" sz="1200" b="1">
                <a:latin typeface="微軟正黑體" panose="020B0604030504040204" pitchFamily="34" charset="-120"/>
                <a:ea typeface="微軟正黑體" panose="020B0604030504040204" pitchFamily="34" charset="-120"/>
              </a:rPr>
              <a:t>EPS</a:t>
            </a:r>
            <a:r>
              <a:rPr lang="zh-TW" altLang="en-US" sz="1200" b="1">
                <a:latin typeface="微軟正黑體" panose="020B0604030504040204" pitchFamily="34" charset="-120"/>
                <a:ea typeface="微軟正黑體" panose="020B0604030504040204" pitchFamily="34" charset="-120"/>
              </a:rPr>
              <a:t> 比較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財務比率!$A$1</c:f>
              <c:strCache>
                <c:ptCount val="1"/>
                <c:pt idx="0">
                  <c:v>2603</c:v>
                </c:pt>
              </c:strCache>
            </c:strRef>
          </c:tx>
          <c:spPr>
            <a:solidFill>
              <a:schemeClr val="accent5">
                <a:shade val="53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財務比率!$B$7</c:f>
              <c:numCache>
                <c:formatCode>0.00_);[Red]\(0.00\)</c:formatCode>
                <c:ptCount val="1"/>
                <c:pt idx="0">
                  <c:v>8.09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09-44E1-9F02-F129288511C8}"/>
            </c:ext>
          </c:extLst>
        </c:ser>
        <c:ser>
          <c:idx val="1"/>
          <c:order val="1"/>
          <c:tx>
            <c:strRef>
              <c:f>財務比率!$A$12</c:f>
              <c:strCache>
                <c:ptCount val="1"/>
                <c:pt idx="0">
                  <c:v>2634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財務比率!$B$18</c:f>
              <c:numCache>
                <c:formatCode>0.00_);[Red]\(0.00\)</c:formatCode>
                <c:ptCount val="1"/>
                <c:pt idx="0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09-44E1-9F02-F129288511C8}"/>
            </c:ext>
          </c:extLst>
        </c:ser>
        <c:ser>
          <c:idx val="2"/>
          <c:order val="2"/>
          <c:tx>
            <c:strRef>
              <c:f>財務比率!$E$1</c:f>
              <c:strCache>
                <c:ptCount val="1"/>
                <c:pt idx="0">
                  <c:v>2606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財務比率!$F$7</c:f>
              <c:numCache>
                <c:formatCode>0.00_);[Red]\(0.00\)</c:formatCode>
                <c:ptCount val="1"/>
                <c:pt idx="0">
                  <c:v>1.17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09-44E1-9F02-F129288511C8}"/>
            </c:ext>
          </c:extLst>
        </c:ser>
        <c:ser>
          <c:idx val="3"/>
          <c:order val="3"/>
          <c:tx>
            <c:strRef>
              <c:f>財務比率!$E$12</c:f>
              <c:strCache>
                <c:ptCount val="1"/>
                <c:pt idx="0">
                  <c:v>2609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財務比率!$F$18</c:f>
              <c:numCache>
                <c:formatCode>0.00_);[Red]\(0.00\)</c:formatCode>
                <c:ptCount val="1"/>
                <c:pt idx="0">
                  <c:v>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709-44E1-9F02-F129288511C8}"/>
            </c:ext>
          </c:extLst>
        </c:ser>
        <c:ser>
          <c:idx val="4"/>
          <c:order val="4"/>
          <c:tx>
            <c:strRef>
              <c:f>財務比率!$I$1</c:f>
              <c:strCache>
                <c:ptCount val="1"/>
                <c:pt idx="0">
                  <c:v>2637</c:v>
                </c:pt>
              </c:strCache>
            </c:strRef>
          </c:tx>
          <c:spPr>
            <a:solidFill>
              <a:schemeClr val="accent5">
                <a:tint val="54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財務比率!$J$7</c:f>
              <c:numCache>
                <c:formatCode>0.00_);[Red]\(0.00\)</c:formatCode>
                <c:ptCount val="1"/>
                <c:pt idx="0">
                  <c:v>1.99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09-44E1-9F02-F12928851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1865119"/>
        <c:axId val="1161063743"/>
      </c:barChart>
      <c:catAx>
        <c:axId val="1171865119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1063743"/>
        <c:crosses val="autoZero"/>
        <c:auto val="1"/>
        <c:lblAlgn val="ctr"/>
        <c:lblOffset val="100"/>
        <c:noMultiLvlLbl val="0"/>
      </c:catAx>
      <c:valAx>
        <c:axId val="1161063743"/>
        <c:scaling>
          <c:orientation val="minMax"/>
        </c:scaling>
        <c:delete val="0"/>
        <c:axPos val="l"/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71865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 sz="1200" b="1">
                <a:latin typeface="微軟正黑體" panose="020B0604030504040204" pitchFamily="34" charset="-120"/>
                <a:ea typeface="微軟正黑體" panose="020B0604030504040204" pitchFamily="34" charset="-120"/>
              </a:rPr>
              <a:t>毛利率</a:t>
            </a:r>
            <a:r>
              <a:rPr lang="en-US" altLang="zh-TW" sz="1200" b="1">
                <a:latin typeface="微軟正黑體" panose="020B0604030504040204" pitchFamily="34" charset="-120"/>
                <a:ea typeface="微軟正黑體" panose="020B0604030504040204" pitchFamily="34" charset="-120"/>
              </a:rPr>
              <a:t>YoY </a:t>
            </a:r>
            <a:r>
              <a:rPr lang="zh-TW" altLang="en-US" sz="1200" b="1">
                <a:latin typeface="微軟正黑體" panose="020B0604030504040204" pitchFamily="34" charset="-120"/>
                <a:ea typeface="微軟正黑體" panose="020B0604030504040204" pitchFamily="34" charset="-120"/>
              </a:rPr>
              <a:t>比較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財務比率!$A$1</c:f>
              <c:strCache>
                <c:ptCount val="1"/>
                <c:pt idx="0">
                  <c:v>2603</c:v>
                </c:pt>
              </c:strCache>
            </c:strRef>
          </c:tx>
          <c:spPr>
            <a:solidFill>
              <a:schemeClr val="accent5">
                <a:shade val="53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財務比率!$C$2</c:f>
              <c:numCache>
                <c:formatCode>0.0%</c:formatCode>
                <c:ptCount val="1"/>
                <c:pt idx="0">
                  <c:v>0.28013590357969659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E0-4FE5-8A4B-014C53EE805F}"/>
            </c:ext>
          </c:extLst>
        </c:ser>
        <c:ser>
          <c:idx val="1"/>
          <c:order val="1"/>
          <c:tx>
            <c:strRef>
              <c:f>財務比率!$A$12</c:f>
              <c:strCache>
                <c:ptCount val="1"/>
                <c:pt idx="0">
                  <c:v>2634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財務比率!$C$13</c:f>
              <c:numCache>
                <c:formatCode>0.0%</c:formatCode>
                <c:ptCount val="1"/>
                <c:pt idx="0">
                  <c:v>0.1675785066294487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E0-4FE5-8A4B-014C53EE805F}"/>
            </c:ext>
          </c:extLst>
        </c:ser>
        <c:ser>
          <c:idx val="2"/>
          <c:order val="2"/>
          <c:tx>
            <c:strRef>
              <c:f>財務比率!$E$1</c:f>
              <c:strCache>
                <c:ptCount val="1"/>
                <c:pt idx="0">
                  <c:v>2606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財務比率!$G$2</c:f>
              <c:numCache>
                <c:formatCode>0.0%</c:formatCode>
                <c:ptCount val="1"/>
                <c:pt idx="0">
                  <c:v>1.2475672789406236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E0-4FE5-8A4B-014C53EE805F}"/>
            </c:ext>
          </c:extLst>
        </c:ser>
        <c:ser>
          <c:idx val="3"/>
          <c:order val="3"/>
          <c:tx>
            <c:strRef>
              <c:f>財務比率!$E$12</c:f>
              <c:strCache>
                <c:ptCount val="1"/>
                <c:pt idx="0">
                  <c:v>2609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財務比率!$G$13</c:f>
              <c:numCache>
                <c:formatCode>0.0%</c:formatCode>
                <c:ptCount val="1"/>
                <c:pt idx="0">
                  <c:v>1.9563656309462796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E0-4FE5-8A4B-014C53EE805F}"/>
            </c:ext>
          </c:extLst>
        </c:ser>
        <c:ser>
          <c:idx val="4"/>
          <c:order val="4"/>
          <c:tx>
            <c:strRef>
              <c:f>財務比率!$I$1</c:f>
              <c:strCache>
                <c:ptCount val="1"/>
                <c:pt idx="0">
                  <c:v>2637</c:v>
                </c:pt>
              </c:strCache>
            </c:strRef>
          </c:tx>
          <c:spPr>
            <a:solidFill>
              <a:schemeClr val="accent5">
                <a:tint val="54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財務比率!$K$2</c:f>
              <c:numCache>
                <c:formatCode>0.0%</c:formatCode>
                <c:ptCount val="1"/>
                <c:pt idx="0">
                  <c:v>2.7940996434382956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E0-4FE5-8A4B-014C53EE8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9805167"/>
        <c:axId val="1172234799"/>
      </c:barChart>
      <c:catAx>
        <c:axId val="1039805167"/>
        <c:scaling>
          <c:orientation val="minMax"/>
        </c:scaling>
        <c:delete val="1"/>
        <c:axPos val="b"/>
        <c:majorTickMark val="none"/>
        <c:minorTickMark val="none"/>
        <c:tickLblPos val="nextTo"/>
        <c:crossAx val="1172234799"/>
        <c:crosses val="autoZero"/>
        <c:auto val="1"/>
        <c:lblAlgn val="ctr"/>
        <c:lblOffset val="100"/>
        <c:noMultiLvlLbl val="0"/>
      </c:catAx>
      <c:valAx>
        <c:axId val="1172234799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0398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 sz="1200" b="1" i="0">
                <a:latin typeface="微軟正黑體" panose="020B0604030504040204" pitchFamily="34" charset="-120"/>
                <a:ea typeface="微軟正黑體" panose="020B0604030504040204" pitchFamily="34" charset="-120"/>
              </a:rPr>
              <a:t>營利率</a:t>
            </a:r>
            <a:r>
              <a:rPr lang="en-US" altLang="zh-TW" sz="1200" b="1" i="0">
                <a:latin typeface="微軟正黑體" panose="020B0604030504040204" pitchFamily="34" charset="-120"/>
                <a:ea typeface="微軟正黑體" panose="020B0604030504040204" pitchFamily="34" charset="-120"/>
              </a:rPr>
              <a:t>YoY </a:t>
            </a:r>
            <a:r>
              <a:rPr lang="zh-TW" altLang="en-US" sz="1200" b="1" i="0">
                <a:latin typeface="微軟正黑體" panose="020B0604030504040204" pitchFamily="34" charset="-120"/>
                <a:ea typeface="微軟正黑體" panose="020B0604030504040204" pitchFamily="34" charset="-120"/>
              </a:rPr>
              <a:t>比較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財務比率!$A$1</c:f>
              <c:strCache>
                <c:ptCount val="1"/>
                <c:pt idx="0">
                  <c:v>2603</c:v>
                </c:pt>
              </c:strCache>
            </c:strRef>
          </c:tx>
          <c:spPr>
            <a:solidFill>
              <a:schemeClr val="accent5">
                <a:shade val="53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財務比率!$C$3</c:f>
              <c:numCache>
                <c:formatCode>0.0%</c:formatCode>
                <c:ptCount val="1"/>
                <c:pt idx="0">
                  <c:v>0.40557404804199526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88-456A-BBF6-183E512E5FDB}"/>
            </c:ext>
          </c:extLst>
        </c:ser>
        <c:ser>
          <c:idx val="1"/>
          <c:order val="1"/>
          <c:tx>
            <c:strRef>
              <c:f>財務比率!$A$12</c:f>
              <c:strCache>
                <c:ptCount val="1"/>
                <c:pt idx="0">
                  <c:v>2634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財務比率!$C$14</c:f>
              <c:numCache>
                <c:formatCode>0.0%</c:formatCode>
                <c:ptCount val="1"/>
                <c:pt idx="0">
                  <c:v>0.18989942148389305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88-456A-BBF6-183E512E5FDB}"/>
            </c:ext>
          </c:extLst>
        </c:ser>
        <c:ser>
          <c:idx val="2"/>
          <c:order val="2"/>
          <c:tx>
            <c:strRef>
              <c:f>財務比率!$E$1</c:f>
              <c:strCache>
                <c:ptCount val="1"/>
                <c:pt idx="0">
                  <c:v>2606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財務比率!$G$3</c:f>
              <c:numCache>
                <c:formatCode>0.0%</c:formatCode>
                <c:ptCount val="1"/>
                <c:pt idx="0">
                  <c:v>1.8952309118930073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88-456A-BBF6-183E512E5FDB}"/>
            </c:ext>
          </c:extLst>
        </c:ser>
        <c:ser>
          <c:idx val="3"/>
          <c:order val="3"/>
          <c:tx>
            <c:strRef>
              <c:f>財務比率!$E$12</c:f>
              <c:strCache>
                <c:ptCount val="1"/>
                <c:pt idx="0">
                  <c:v>2609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財務比率!$G$14</c:f>
              <c:numCache>
                <c:formatCode>0.0%</c:formatCode>
                <c:ptCount val="1"/>
                <c:pt idx="0">
                  <c:v>4.3670335158054012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88-456A-BBF6-183E512E5FDB}"/>
            </c:ext>
          </c:extLst>
        </c:ser>
        <c:ser>
          <c:idx val="4"/>
          <c:order val="4"/>
          <c:tx>
            <c:strRef>
              <c:f>財務比率!$I$1</c:f>
              <c:strCache>
                <c:ptCount val="1"/>
                <c:pt idx="0">
                  <c:v>2637</c:v>
                </c:pt>
              </c:strCache>
            </c:strRef>
          </c:tx>
          <c:spPr>
            <a:solidFill>
              <a:schemeClr val="accent5">
                <a:tint val="54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財務比率!$K$3</c:f>
              <c:numCache>
                <c:formatCode>0.0%</c:formatCode>
                <c:ptCount val="1"/>
                <c:pt idx="0">
                  <c:v>3.1578381640776558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88-456A-BBF6-183E512E5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7822287"/>
        <c:axId val="1164905023"/>
      </c:barChart>
      <c:catAx>
        <c:axId val="1237822287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4905023"/>
        <c:crosses val="autoZero"/>
        <c:auto val="1"/>
        <c:lblAlgn val="ctr"/>
        <c:lblOffset val="100"/>
        <c:noMultiLvlLbl val="0"/>
      </c:catAx>
      <c:valAx>
        <c:axId val="1164905023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237822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1200" b="1">
                <a:latin typeface="微軟正黑體" panose="020B0604030504040204" pitchFamily="34" charset="-120"/>
                <a:ea typeface="微軟正黑體" panose="020B0604030504040204" pitchFamily="34" charset="-120"/>
              </a:rPr>
              <a:t>稅後利益率</a:t>
            </a:r>
            <a:r>
              <a:rPr lang="en-US" altLang="zh-TW" sz="1200" b="1">
                <a:latin typeface="微軟正黑體" panose="020B0604030504040204" pitchFamily="34" charset="-120"/>
                <a:ea typeface="微軟正黑體" panose="020B0604030504040204" pitchFamily="34" charset="-120"/>
              </a:rPr>
              <a:t>YoY </a:t>
            </a:r>
            <a:r>
              <a:rPr lang="zh-TW" altLang="en-US" sz="1200" b="1">
                <a:latin typeface="微軟正黑體" panose="020B0604030504040204" pitchFamily="34" charset="-120"/>
                <a:ea typeface="微軟正黑體" panose="020B0604030504040204" pitchFamily="34" charset="-120"/>
              </a:rPr>
              <a:t>比較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財務比率!$A$1</c:f>
              <c:strCache>
                <c:ptCount val="1"/>
                <c:pt idx="0">
                  <c:v>2603</c:v>
                </c:pt>
              </c:strCache>
            </c:strRef>
          </c:tx>
          <c:spPr>
            <a:solidFill>
              <a:schemeClr val="accent5">
                <a:shade val="53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財務比率!$C$4</c:f>
              <c:numCache>
                <c:formatCode>0.0%</c:formatCode>
                <c:ptCount val="1"/>
                <c:pt idx="0">
                  <c:v>1.8771108898320004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6-49EE-BF69-647AFF39DF09}"/>
            </c:ext>
          </c:extLst>
        </c:ser>
        <c:ser>
          <c:idx val="1"/>
          <c:order val="1"/>
          <c:tx>
            <c:strRef>
              <c:f>財務比率!$A$12</c:f>
              <c:strCache>
                <c:ptCount val="1"/>
                <c:pt idx="0">
                  <c:v>2634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財務比率!$C$15</c:f>
              <c:numCache>
                <c:formatCode>0.0%</c:formatCode>
                <c:ptCount val="1"/>
                <c:pt idx="0">
                  <c:v>0.47913520592568615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F6-49EE-BF69-647AFF39DF09}"/>
            </c:ext>
          </c:extLst>
        </c:ser>
        <c:ser>
          <c:idx val="2"/>
          <c:order val="2"/>
          <c:tx>
            <c:strRef>
              <c:f>財務比率!$E$1</c:f>
              <c:strCache>
                <c:ptCount val="1"/>
                <c:pt idx="0">
                  <c:v>2606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財務比率!$G$4</c:f>
              <c:numCache>
                <c:formatCode>0.0%</c:formatCode>
                <c:ptCount val="1"/>
                <c:pt idx="0">
                  <c:v>1.0454201220856929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F6-49EE-BF69-647AFF39DF09}"/>
            </c:ext>
          </c:extLst>
        </c:ser>
        <c:ser>
          <c:idx val="3"/>
          <c:order val="3"/>
          <c:tx>
            <c:strRef>
              <c:f>財務比率!$E$12</c:f>
              <c:strCache>
                <c:ptCount val="1"/>
                <c:pt idx="0">
                  <c:v>2609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財務比率!$G$15</c:f>
              <c:numCache>
                <c:formatCode>0.0%</c:formatCode>
                <c:ptCount val="1"/>
                <c:pt idx="0">
                  <c:v>1.7311040818095156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F6-49EE-BF69-647AFF39DF09}"/>
            </c:ext>
          </c:extLst>
        </c:ser>
        <c:ser>
          <c:idx val="4"/>
          <c:order val="4"/>
          <c:tx>
            <c:strRef>
              <c:f>財務比率!$I$1</c:f>
              <c:strCache>
                <c:ptCount val="1"/>
                <c:pt idx="0">
                  <c:v>2637</c:v>
                </c:pt>
              </c:strCache>
            </c:strRef>
          </c:tx>
          <c:spPr>
            <a:solidFill>
              <a:schemeClr val="accent5">
                <a:tint val="54000"/>
              </a:schemeClr>
            </a:solidFill>
            <a:ln>
              <a:noFill/>
            </a:ln>
            <a:effectLst/>
          </c:spPr>
          <c:invertIfNegative val="0"/>
          <c:val>
            <c:numRef>
              <c:f>財務比率!$K$4</c:f>
              <c:numCache>
                <c:formatCode>0.0%</c:formatCode>
                <c:ptCount val="1"/>
                <c:pt idx="0">
                  <c:v>12.106429110810387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F6-49EE-BF69-647AFF39D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5305855"/>
        <c:axId val="1038980735"/>
      </c:barChart>
      <c:catAx>
        <c:axId val="1225305855"/>
        <c:scaling>
          <c:orientation val="minMax"/>
        </c:scaling>
        <c:delete val="1"/>
        <c:axPos val="b"/>
        <c:majorTickMark val="none"/>
        <c:minorTickMark val="none"/>
        <c:tickLblPos val="nextTo"/>
        <c:crossAx val="1038980735"/>
        <c:crosses val="autoZero"/>
        <c:auto val="1"/>
        <c:lblAlgn val="ctr"/>
        <c:lblOffset val="100"/>
        <c:noMultiLvlLbl val="0"/>
      </c:catAx>
      <c:valAx>
        <c:axId val="1038980735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22530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279400</xdr:colOff>
          <xdr:row>1</xdr:row>
          <xdr:rowOff>88900</xdr:rowOff>
        </xdr:from>
        <xdr:to>
          <xdr:col>10</xdr:col>
          <xdr:colOff>165100</xdr:colOff>
          <xdr:row>4</xdr:row>
          <xdr:rowOff>63500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 charset="-120"/>
                  <a:ea typeface="微軟正黑體" charset="-120"/>
                </a:rPr>
                <a:t>最新季 BS&amp;IS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266700</xdr:colOff>
          <xdr:row>1</xdr:row>
          <xdr:rowOff>139700</xdr:rowOff>
        </xdr:from>
        <xdr:to>
          <xdr:col>14</xdr:col>
          <xdr:colOff>546100</xdr:colOff>
          <xdr:row>3</xdr:row>
          <xdr:rowOff>165100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 charset="-120"/>
                  <a:ea typeface="微軟正黑體" charset="-120"/>
                </a:rPr>
                <a:t>財務比率計算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558800</xdr:colOff>
          <xdr:row>1</xdr:row>
          <xdr:rowOff>76200</xdr:rowOff>
        </xdr:from>
        <xdr:to>
          <xdr:col>6</xdr:col>
          <xdr:colOff>127000</xdr:colOff>
          <xdr:row>4</xdr:row>
          <xdr:rowOff>88900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ea typeface="Microsoft JhengHei Light" charset="-120"/>
                </a:rPr>
                <a:t>上市櫃產業類股指數排名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279400</xdr:colOff>
          <xdr:row>4</xdr:row>
          <xdr:rowOff>101600</xdr:rowOff>
        </xdr:from>
        <xdr:to>
          <xdr:col>14</xdr:col>
          <xdr:colOff>546100</xdr:colOff>
          <xdr:row>6</xdr:row>
          <xdr:rowOff>139700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 charset="-120"/>
                  <a:ea typeface="微軟正黑體" charset="-120"/>
                </a:rPr>
                <a:t>獲利成長計算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304800</xdr:colOff>
      <xdr:row>2</xdr:row>
      <xdr:rowOff>160020</xdr:rowOff>
    </xdr:from>
    <xdr:to>
      <xdr:col>7</xdr:col>
      <xdr:colOff>144780</xdr:colOff>
      <xdr:row>2</xdr:row>
      <xdr:rowOff>160020</xdr:rowOff>
    </xdr:to>
    <xdr:cxnSp macro="">
      <xdr:nvCxnSpPr>
        <xdr:cNvPr id="3" name="直線單箭頭接點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5204460" y="586740"/>
          <a:ext cx="441960" cy="0"/>
        </a:xfrm>
        <a:prstGeom prst="straightConnector1">
          <a:avLst/>
        </a:prstGeom>
        <a:ln w="3810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121920</xdr:colOff>
      <xdr:row>0</xdr:row>
      <xdr:rowOff>198120</xdr:rowOff>
    </xdr:from>
    <xdr:to>
      <xdr:col>15</xdr:col>
      <xdr:colOff>99060</xdr:colOff>
      <xdr:row>7</xdr:row>
      <xdr:rowOff>121920</xdr:rowOff>
    </xdr:to>
    <xdr:sp macro="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633460" y="198120"/>
          <a:ext cx="1783080" cy="140970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342900</xdr:colOff>
      <xdr:row>2</xdr:row>
      <xdr:rowOff>152400</xdr:rowOff>
    </xdr:from>
    <xdr:to>
      <xdr:col>11</xdr:col>
      <xdr:colOff>533400</xdr:colOff>
      <xdr:row>2</xdr:row>
      <xdr:rowOff>160020</xdr:rowOff>
    </xdr:to>
    <xdr:cxnSp macro="">
      <xdr:nvCxnSpPr>
        <xdr:cNvPr id="11" name="直線單箭頭接點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>
          <a:off x="7650480" y="579120"/>
          <a:ext cx="792480" cy="7620"/>
        </a:xfrm>
        <a:prstGeom prst="straightConnector1">
          <a:avLst/>
        </a:prstGeom>
        <a:ln w="3810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10</xdr:row>
          <xdr:rowOff>76200</xdr:rowOff>
        </xdr:from>
        <xdr:to>
          <xdr:col>6</xdr:col>
          <xdr:colOff>101600</xdr:colOff>
          <xdr:row>13</xdr:row>
          <xdr:rowOff>88900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ea typeface="Microsoft JhengHei Light" charset="-120"/>
                </a:rPr>
                <a:t>上市櫃公司歷史本益比資料下載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297180</xdr:colOff>
      <xdr:row>11</xdr:row>
      <xdr:rowOff>182880</xdr:rowOff>
    </xdr:from>
    <xdr:to>
      <xdr:col>7</xdr:col>
      <xdr:colOff>137160</xdr:colOff>
      <xdr:row>11</xdr:row>
      <xdr:rowOff>182880</xdr:rowOff>
    </xdr:to>
    <xdr:cxnSp macro="">
      <xdr:nvCxnSpPr>
        <xdr:cNvPr id="14" name="直線單箭頭接點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6438900" y="2491740"/>
          <a:ext cx="441960" cy="0"/>
        </a:xfrm>
        <a:prstGeom prst="straightConnector1">
          <a:avLst/>
        </a:prstGeom>
        <a:ln w="3810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17</xdr:row>
          <xdr:rowOff>50800</xdr:rowOff>
        </xdr:from>
        <xdr:to>
          <xdr:col>11</xdr:col>
          <xdr:colOff>0</xdr:colOff>
          <xdr:row>20</xdr:row>
          <xdr:rowOff>101600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 charset="-120"/>
                  <a:ea typeface="微軟正黑體" charset="-120"/>
                </a:rPr>
                <a:t>PE 整理以及分析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596900</xdr:colOff>
          <xdr:row>10</xdr:row>
          <xdr:rowOff>50800</xdr:rowOff>
        </xdr:from>
        <xdr:to>
          <xdr:col>11</xdr:col>
          <xdr:colOff>12700</xdr:colOff>
          <xdr:row>13</xdr:row>
          <xdr:rowOff>50800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 charset="-120"/>
                  <a:ea typeface="微軟正黑體" charset="-120"/>
                </a:rPr>
                <a:t>即時股價抓取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403860</xdr:colOff>
      <xdr:row>9</xdr:row>
      <xdr:rowOff>99060</xdr:rowOff>
    </xdr:from>
    <xdr:to>
      <xdr:col>11</xdr:col>
      <xdr:colOff>236220</xdr:colOff>
      <xdr:row>21</xdr:row>
      <xdr:rowOff>99060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47560" y="1996440"/>
          <a:ext cx="2240280" cy="2468880"/>
        </a:xfrm>
        <a:prstGeom prst="rect">
          <a:avLst/>
        </a:prstGeom>
        <a:noFill/>
        <a:ln w="28575">
          <a:solidFill>
            <a:schemeClr val="tx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noFill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14</xdr:row>
          <xdr:rowOff>12700</xdr:rowOff>
        </xdr:from>
        <xdr:to>
          <xdr:col>11</xdr:col>
          <xdr:colOff>0</xdr:colOff>
          <xdr:row>16</xdr:row>
          <xdr:rowOff>177800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 charset="-120"/>
                  <a:ea typeface="微軟正黑體" charset="-120"/>
                </a:rPr>
                <a:t>EPS抓取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419100</xdr:colOff>
          <xdr:row>10</xdr:row>
          <xdr:rowOff>38100</xdr:rowOff>
        </xdr:from>
        <xdr:to>
          <xdr:col>15</xdr:col>
          <xdr:colOff>292100</xdr:colOff>
          <xdr:row>13</xdr:row>
          <xdr:rowOff>50800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 charset="-120"/>
                  <a:ea typeface="微軟正黑體" charset="-120"/>
                </a:rPr>
                <a:t>評價分析整理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419100</xdr:colOff>
      <xdr:row>11</xdr:row>
      <xdr:rowOff>167640</xdr:rowOff>
    </xdr:from>
    <xdr:to>
      <xdr:col>12</xdr:col>
      <xdr:colOff>259080</xdr:colOff>
      <xdr:row>11</xdr:row>
      <xdr:rowOff>167640</xdr:rowOff>
    </xdr:to>
    <xdr:cxnSp macro="">
      <xdr:nvCxnSpPr>
        <xdr:cNvPr id="16" name="直線單箭頭接點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9570720" y="2476500"/>
          <a:ext cx="441960" cy="0"/>
        </a:xfrm>
        <a:prstGeom prst="straightConnector1">
          <a:avLst/>
        </a:prstGeom>
        <a:ln w="3810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396240</xdr:colOff>
      <xdr:row>10</xdr:row>
      <xdr:rowOff>30480</xdr:rowOff>
    </xdr:from>
    <xdr:to>
      <xdr:col>6</xdr:col>
      <xdr:colOff>205740</xdr:colOff>
      <xdr:row>13</xdr:row>
      <xdr:rowOff>144780</xdr:rowOff>
    </xdr:to>
    <xdr:sp macro="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887980" y="2133600"/>
          <a:ext cx="3459480" cy="731520"/>
        </a:xfrm>
        <a:prstGeom prst="rect">
          <a:avLst/>
        </a:prstGeom>
        <a:noFill/>
        <a:ln w="28575">
          <a:solidFill>
            <a:srgbClr val="99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548640</xdr:colOff>
      <xdr:row>13</xdr:row>
      <xdr:rowOff>167640</xdr:rowOff>
    </xdr:from>
    <xdr:to>
      <xdr:col>11</xdr:col>
      <xdr:colOff>106680</xdr:colOff>
      <xdr:row>20</xdr:row>
      <xdr:rowOff>198120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292340" y="2887980"/>
          <a:ext cx="1965960" cy="1470660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3</xdr:col>
      <xdr:colOff>327660</xdr:colOff>
      <xdr:row>13</xdr:row>
      <xdr:rowOff>152400</xdr:rowOff>
    </xdr:from>
    <xdr:to>
      <xdr:col>3</xdr:col>
      <xdr:colOff>327660</xdr:colOff>
      <xdr:row>15</xdr:row>
      <xdr:rowOff>144780</xdr:rowOff>
    </xdr:to>
    <xdr:cxnSp macro="">
      <xdr:nvCxnSpPr>
        <xdr:cNvPr id="8" name="直線單箭頭接點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4663440" y="2872740"/>
          <a:ext cx="0" cy="403860"/>
        </a:xfrm>
        <a:prstGeom prst="straightConnector1">
          <a:avLst/>
        </a:prstGeom>
        <a:ln w="28575">
          <a:solidFill>
            <a:srgbClr val="99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449580</xdr:colOff>
      <xdr:row>17</xdr:row>
      <xdr:rowOff>76200</xdr:rowOff>
    </xdr:from>
    <xdr:to>
      <xdr:col>7</xdr:col>
      <xdr:colOff>548640</xdr:colOff>
      <xdr:row>17</xdr:row>
      <xdr:rowOff>80010</xdr:rowOff>
    </xdr:to>
    <xdr:cxnSp macro="">
      <xdr:nvCxnSpPr>
        <xdr:cNvPr id="12" name="直線單箭頭接點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>
          <a:stCxn id="6" idx="1"/>
        </xdr:cNvCxnSpPr>
      </xdr:nvCxnSpPr>
      <xdr:spPr>
        <a:xfrm flipH="1" flipV="1">
          <a:off x="5387340" y="3619500"/>
          <a:ext cx="1905000" cy="3810"/>
        </a:xfrm>
        <a:prstGeom prst="straightConnector1">
          <a:avLst/>
        </a:prstGeom>
        <a:ln w="28575">
          <a:solidFill>
            <a:srgbClr val="99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914400</xdr:colOff>
      <xdr:row>15</xdr:row>
      <xdr:rowOff>175260</xdr:rowOff>
    </xdr:from>
    <xdr:to>
      <xdr:col>4</xdr:col>
      <xdr:colOff>350520</xdr:colOff>
      <xdr:row>18</xdr:row>
      <xdr:rowOff>167640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3406140" y="3307080"/>
          <a:ext cx="1882140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 b="1">
              <a:solidFill>
                <a:srgbClr val="C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資料需要更新再按就好，不然抓取這些資料很花時間！</a:t>
          </a:r>
        </a:p>
      </xdr:txBody>
    </xdr:sp>
    <xdr:clientData/>
  </xdr:twoCellAnchor>
  <xdr:twoCellAnchor>
    <xdr:from>
      <xdr:col>7</xdr:col>
      <xdr:colOff>556260</xdr:colOff>
      <xdr:row>9</xdr:row>
      <xdr:rowOff>190500</xdr:rowOff>
    </xdr:from>
    <xdr:to>
      <xdr:col>15</xdr:col>
      <xdr:colOff>411480</xdr:colOff>
      <xdr:row>13</xdr:row>
      <xdr:rowOff>91440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7299960" y="2087880"/>
          <a:ext cx="4671060" cy="723900"/>
        </a:xfrm>
        <a:prstGeom prst="rect">
          <a:avLst/>
        </a:prstGeom>
        <a:noFill/>
        <a:ln w="28575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483870</xdr:colOff>
      <xdr:row>13</xdr:row>
      <xdr:rowOff>91440</xdr:rowOff>
    </xdr:from>
    <xdr:to>
      <xdr:col>12</xdr:col>
      <xdr:colOff>464820</xdr:colOff>
      <xdr:row>16</xdr:row>
      <xdr:rowOff>30480</xdr:rowOff>
    </xdr:to>
    <xdr:cxnSp macro="">
      <xdr:nvCxnSpPr>
        <xdr:cNvPr id="19" name="直線單箭頭接點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>
          <a:stCxn id="17" idx="2"/>
        </xdr:cNvCxnSpPr>
      </xdr:nvCxnSpPr>
      <xdr:spPr>
        <a:xfrm>
          <a:off x="9635490" y="2811780"/>
          <a:ext cx="582930" cy="556260"/>
        </a:xfrm>
        <a:prstGeom prst="straightConnector1">
          <a:avLst/>
        </a:prstGeom>
        <a:ln w="28575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403860</xdr:colOff>
      <xdr:row>16</xdr:row>
      <xdr:rowOff>0</xdr:rowOff>
    </xdr:from>
    <xdr:to>
      <xdr:col>14</xdr:col>
      <xdr:colOff>594360</xdr:colOff>
      <xdr:row>18</xdr:row>
      <xdr:rowOff>60960</xdr:rowOff>
    </xdr:to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157460" y="3337560"/>
          <a:ext cx="1394460" cy="472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200" b="1">
              <a:solidFill>
                <a:schemeClr val="accent1">
                  <a:lumMod val="7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主要執行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133350</xdr:colOff>
      <xdr:row>0</xdr:row>
      <xdr:rowOff>34290</xdr:rowOff>
    </xdr:from>
    <xdr:to>
      <xdr:col>16</xdr:col>
      <xdr:colOff>438150</xdr:colOff>
      <xdr:row>13</xdr:row>
      <xdr:rowOff>102870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160020</xdr:colOff>
      <xdr:row>13</xdr:row>
      <xdr:rowOff>160020</xdr:rowOff>
    </xdr:from>
    <xdr:to>
      <xdr:col>16</xdr:col>
      <xdr:colOff>464820</xdr:colOff>
      <xdr:row>27</xdr:row>
      <xdr:rowOff>22860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106680</xdr:colOff>
      <xdr:row>1</xdr:row>
      <xdr:rowOff>198120</xdr:rowOff>
    </xdr:from>
    <xdr:to>
      <xdr:col>8</xdr:col>
      <xdr:colOff>411480</xdr:colOff>
      <xdr:row>15</xdr:row>
      <xdr:rowOff>60960</xdr:rowOff>
    </xdr:to>
    <xdr:graphicFrame macro="">
      <xdr:nvGraphicFramePr>
        <xdr:cNvPr id="8" name="圖表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464820</xdr:colOff>
      <xdr:row>2</xdr:row>
      <xdr:rowOff>0</xdr:rowOff>
    </xdr:from>
    <xdr:to>
      <xdr:col>17</xdr:col>
      <xdr:colOff>160020</xdr:colOff>
      <xdr:row>15</xdr:row>
      <xdr:rowOff>68580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68580</xdr:colOff>
      <xdr:row>16</xdr:row>
      <xdr:rowOff>167640</xdr:rowOff>
    </xdr:from>
    <xdr:to>
      <xdr:col>8</xdr:col>
      <xdr:colOff>373380</xdr:colOff>
      <xdr:row>30</xdr:row>
      <xdr:rowOff>30480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487680</xdr:colOff>
      <xdr:row>16</xdr:row>
      <xdr:rowOff>152400</xdr:rowOff>
    </xdr:from>
    <xdr:to>
      <xdr:col>17</xdr:col>
      <xdr:colOff>182880</xdr:colOff>
      <xdr:row>30</xdr:row>
      <xdr:rowOff>15240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624840</xdr:colOff>
      <xdr:row>2</xdr:row>
      <xdr:rowOff>7620</xdr:rowOff>
    </xdr:from>
    <xdr:to>
      <xdr:col>25</xdr:col>
      <xdr:colOff>472440</xdr:colOff>
      <xdr:row>15</xdr:row>
      <xdr:rowOff>76200</xdr:rowOff>
    </xdr:to>
    <xdr:graphicFrame macro="">
      <xdr:nvGraphicFramePr>
        <xdr:cNvPr id="19" name="圖表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609600</xdr:colOff>
      <xdr:row>16</xdr:row>
      <xdr:rowOff>198120</xdr:rowOff>
    </xdr:from>
    <xdr:to>
      <xdr:col>25</xdr:col>
      <xdr:colOff>457200</xdr:colOff>
      <xdr:row>30</xdr:row>
      <xdr:rowOff>60960</xdr:rowOff>
    </xdr:to>
    <xdr:graphicFrame macro="">
      <xdr:nvGraphicFramePr>
        <xdr:cNvPr id="21" name="圖表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647700</xdr:colOff>
      <xdr:row>31</xdr:row>
      <xdr:rowOff>152400</xdr:rowOff>
    </xdr:from>
    <xdr:to>
      <xdr:col>25</xdr:col>
      <xdr:colOff>495300</xdr:colOff>
      <xdr:row>45</xdr:row>
      <xdr:rowOff>7620</xdr:rowOff>
    </xdr:to>
    <xdr:graphicFrame macro="">
      <xdr:nvGraphicFramePr>
        <xdr:cNvPr id="23" name="圖表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778" backgroundRefresh="0" growShrinkType="overwriteClear" connectionId="596" xr16:uid="{99A1FBFC-37E0-4E3F-82CD-56B61433C54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connectionId="3" xr16:uid="{ABA8C8D8-6A83-4645-ADF8-3D8D0F955F55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backgroundRefresh="0" connectionId="632" xr16:uid="{C8459B8A-70FC-4BC8-91DF-455ABDDBBF66}" autoFormatId="16" applyNumberFormats="0" applyBorderFormats="0" applyFontFormats="1" applyPatternFormats="1" applyAlignmentFormats="0" applyWidthHeightFormats="0">
  <queryTableRefresh nextId="7">
    <queryTableFields count="6">
      <queryTableField id="1" name="Column1" tableColumnId="7"/>
      <queryTableField id="2" name="Column2" tableColumnId="8"/>
      <queryTableField id="3" name="Column3" tableColumnId="9"/>
      <queryTableField id="4" name="Column4" tableColumnId="10"/>
      <queryTableField id="5" name="Column5" tableColumnId="11"/>
      <queryTableField id="6" name="Column6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backgroundRefresh="0" connectionId="633" xr16:uid="{FA1F011A-ACFB-4A3F-A4F2-5570D859D860}" autoFormatId="16" applyNumberFormats="0" applyBorderFormats="0" applyFontFormats="1" applyPatternFormats="1" applyAlignmentFormats="0" applyWidthHeightFormats="0">
  <queryTableRefresh nextId="7">
    <queryTableFields count="6">
      <queryTableField id="1" name="Column1" tableColumnId="7"/>
      <queryTableField id="2" name="Column2" tableColumnId="8"/>
      <queryTableField id="3" name="Column3" tableColumnId="9"/>
      <queryTableField id="4" name="Column4" tableColumnId="10"/>
      <queryTableField id="5" name="Column5" tableColumnId="11"/>
      <queryTableField id="6" name="Column6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backgroundRefresh="0" connectionId="634" xr16:uid="{3F0B08C2-DB15-452E-94DF-CA34E8210EBF}" autoFormatId="16" applyNumberFormats="0" applyBorderFormats="0" applyFontFormats="1" applyPatternFormats="1" applyAlignmentFormats="0" applyWidthHeightFormats="0">
  <queryTableRefresh nextId="7">
    <queryTableFields count="6">
      <queryTableField id="1" name="Column1" tableColumnId="7"/>
      <queryTableField id="2" name="Column2" tableColumnId="8"/>
      <queryTableField id="3" name="Column3" tableColumnId="9"/>
      <queryTableField id="4" name="Column4" tableColumnId="10"/>
      <queryTableField id="5" name="Column5" tableColumnId="11"/>
      <queryTableField id="6" name="Column6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backgroundRefresh="0" connectionId="635" xr16:uid="{2CB136B4-D245-40A6-B049-31030561FB1E}" autoFormatId="16" applyNumberFormats="0" applyBorderFormats="0" applyFontFormats="1" applyPatternFormats="1" applyAlignmentFormats="0" applyWidthHeightFormats="0">
  <queryTableRefresh nextId="7">
    <queryTableFields count="6">
      <queryTableField id="1" name="Column1" tableColumnId="7"/>
      <queryTableField id="2" name="Column2" tableColumnId="8"/>
      <queryTableField id="3" name="Column3" tableColumnId="9"/>
      <queryTableField id="4" name="Column4" tableColumnId="10"/>
      <queryTableField id="5" name="Column5" tableColumnId="11"/>
      <queryTableField id="6" name="Column6" tableColumnId="1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backgroundRefresh="0" connectionId="636" xr16:uid="{9B931C37-A4A0-4087-883E-897F7ED05541}" autoFormatId="16" applyNumberFormats="0" applyBorderFormats="0" applyFontFormats="1" applyPatternFormats="1" applyAlignmentFormats="0" applyWidthHeightFormats="0">
  <queryTableRefresh nextId="7">
    <queryTableFields count="6">
      <queryTableField id="1" name="Column1" tableColumnId="7"/>
      <queryTableField id="2" name="Column2" tableColumnId="8"/>
      <queryTableField id="3" name="Column3" tableColumnId="9"/>
      <queryTableField id="4" name="Column4" tableColumnId="10"/>
      <queryTableField id="5" name="Column5" tableColumnId="11"/>
      <queryTableField id="6" name="Column6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CF655-631B-40BF-8CA3-F84D4DADA2A2}" name="表格2" displayName="表格2" ref="A1:S1776" totalsRowShown="0" headerRowDxfId="25" dataDxfId="24">
  <autoFilter ref="A1:S1776" xr:uid="{D2C31EC3-4C64-4B7A-8CCC-C10EF89C097E}"/>
  <sortState xmlns:xlrd2="http://schemas.microsoft.com/office/spreadsheetml/2017/richdata2" ref="A2:B1776">
    <sortCondition ref="A1:A1776"/>
  </sortState>
  <tableColumns count="19">
    <tableColumn id="1" xr3:uid="{DEE992A5-EC2A-4CD7-9EE7-4DE39DADB944}" name="股票代碼" dataDxfId="23"/>
    <tableColumn id="2" xr3:uid="{274EDFDB-047D-4268-A831-D151B0CE4EAE}" name="股票名稱" dataDxfId="22"/>
    <tableColumn id="3" xr3:uid="{346F52FC-EFBD-4E8A-A754-BD6F14C15B03}" name="2007/12" dataDxfId="21"/>
    <tableColumn id="4" xr3:uid="{70F8AA88-EB3E-4E43-8D37-E31006D55E59}" name="2008/12" dataDxfId="20"/>
    <tableColumn id="5" xr3:uid="{0E87D639-D53C-4B9F-996B-2828C63A5847}" name="2009/12" dataDxfId="19"/>
    <tableColumn id="6" xr3:uid="{B3B9A0F5-F620-42F2-B301-12EF55A0458B}" name="2010/12" dataDxfId="18"/>
    <tableColumn id="7" xr3:uid="{7AED7CFD-1BD8-45F9-9E63-0C23253FFF3B}" name="2011/12" dataDxfId="17"/>
    <tableColumn id="8" xr3:uid="{C69C2ADB-553F-4DF9-85D2-5C4B319B6060}" name="2012/12" dataDxfId="16"/>
    <tableColumn id="9" xr3:uid="{81C68AF1-A1F3-4CA6-8C5A-85BEB1A51D8F}" name="2013/12" dataDxfId="15"/>
    <tableColumn id="10" xr3:uid="{656FF430-8D1A-4DF1-9569-815FF64C6BC8}" name="2014/12" dataDxfId="14"/>
    <tableColumn id="11" xr3:uid="{60DB3560-28FF-4D14-84A0-0C3623DEBA61}" name="2015/12" dataDxfId="13"/>
    <tableColumn id="12" xr3:uid="{856646C2-BB8C-4D4B-9AA8-C2C95D1BFD41}" name="2016/12" dataDxfId="12"/>
    <tableColumn id="13" xr3:uid="{1C21E66B-8773-48DE-9AE4-6339F918F99F}" name="2017/12" dataDxfId="11"/>
    <tableColumn id="14" xr3:uid="{F8E0E053-DECB-4DBD-AE93-2DB08CF794CE}" name="2018/12" dataDxfId="10"/>
    <tableColumn id="15" xr3:uid="{111CAF06-F6D2-4C1D-88D2-6BC7B89E80F1}" name="2019/12" dataDxfId="9"/>
    <tableColumn id="16" xr3:uid="{1BEF23D3-57D4-4B0C-AD53-530F7C12C742}" name="2020/12" dataDxfId="8"/>
    <tableColumn id="17" xr3:uid="{6F5F6C3F-5DC2-4216-80E6-5762855DB1A9}" name="2021/12" dataDxfId="7"/>
    <tableColumn id="18" xr3:uid="{B4FA81B7-DF75-4797-9EA4-72497F386764}" name="2022/12" dataDxfId="6"/>
    <tableColumn id="19" xr3:uid="{0DE02CA7-9E99-47DE-BCE0-341283F30EA3}" name="2023/12" dataDxfId="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787FD1-F71C-40FE-A227-A92681FEDBAB}" name="表格2_4" displayName="表格2_4" ref="A1:C1995" totalsRowShown="0" headerRowDxfId="4" dataDxfId="3">
  <autoFilter ref="A1:C1995" xr:uid="{D2C31EC3-4C64-4B7A-8CCC-C10EF89C097E}"/>
  <sortState xmlns:xlrd2="http://schemas.microsoft.com/office/spreadsheetml/2017/richdata2" ref="A2:B1759">
    <sortCondition ref="A1:A1759"/>
  </sortState>
  <tableColumns count="3">
    <tableColumn id="1" xr3:uid="{F3610138-147A-49AD-A1DB-56CEC141CB81}" name="證券代號" dataDxfId="2"/>
    <tableColumn id="2" xr3:uid="{ADD1E96E-2167-4BD1-9F8A-68DDCE31AF01}" name="證券名稱" dataDxfId="1"/>
    <tableColumn id="17" xr3:uid="{CAA45844-BBFB-4073-8C12-FB98A398DBEA}" name="本益比" dataDxfId="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E336B5-E3A5-4A60-80AA-0F5D19274BD7}" name="表格_外部資料_1" displayName="表格_外部資料_1" ref="A1:F23" tableType="queryTable" totalsRowShown="0">
  <autoFilter ref="A1:F23" xr:uid="{BA7E1927-C153-4176-8C7C-640DADD142AA}"/>
  <tableColumns count="6">
    <tableColumn id="7" xr3:uid="{BB76EE57-1ED5-4E40-9823-53E480A06B74}" uniqueName="7" name="Column1" queryTableFieldId="1"/>
    <tableColumn id="8" xr3:uid="{2F75C7D7-904C-4552-BA88-62E42B88A9A1}" uniqueName="8" name="Column2" queryTableFieldId="2"/>
    <tableColumn id="9" xr3:uid="{065BC99B-6D14-4242-8A70-4707262E4881}" uniqueName="9" name="Column3" queryTableFieldId="3"/>
    <tableColumn id="10" xr3:uid="{31F2B99A-B3D6-4180-A95F-7E62EF10E368}" uniqueName="10" name="Column4" queryTableFieldId="4"/>
    <tableColumn id="11" xr3:uid="{A54EBB90-1FC4-43E3-AAE7-F7468452038D}" uniqueName="11" name="Column5" queryTableFieldId="5"/>
    <tableColumn id="12" xr3:uid="{8AAE97BF-B221-406A-AA0D-821EB88C54B0}" uniqueName="12" name="Column6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E2E2D9-BFCD-480B-8F74-C7639BBF23E6}" name="表格_外部資料_15" displayName="表格_外部資料_15" ref="A1:F23" tableType="queryTable" totalsRowShown="0">
  <autoFilter ref="A1:F23" xr:uid="{1707C04E-BBE2-42BB-86FC-1C2D15DBF387}"/>
  <tableColumns count="6">
    <tableColumn id="7" xr3:uid="{1E8A59F0-A9EF-4BE1-B9C8-FB545609AFF5}" uniqueName="7" name="Column1" queryTableFieldId="1"/>
    <tableColumn id="8" xr3:uid="{E543D8F2-92AD-44D6-8428-7DFA0E69D238}" uniqueName="8" name="Column2" queryTableFieldId="2"/>
    <tableColumn id="9" xr3:uid="{EF7D154F-4E0A-433D-A7DD-0357EEFAABE1}" uniqueName="9" name="Column3" queryTableFieldId="3"/>
    <tableColumn id="10" xr3:uid="{C4C99730-3E82-40A0-B612-A4981BC7106E}" uniqueName="10" name="Column4" queryTableFieldId="4"/>
    <tableColumn id="11" xr3:uid="{A748E288-C982-4186-9E23-AE839933581F}" uniqueName="11" name="Column5" queryTableFieldId="5"/>
    <tableColumn id="12" xr3:uid="{ABEE3A67-770A-4D59-8442-DEA5E56EAD3A}" uniqueName="12" name="Column6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076E489-9271-485C-9825-0384808083AA}" name="表格_外部資料_16" displayName="表格_外部資料_16" ref="A1:F23" tableType="queryTable" totalsRowShown="0">
  <autoFilter ref="A1:F23" xr:uid="{97EC6053-7881-4AB1-8307-1590C7B2D204}"/>
  <tableColumns count="6">
    <tableColumn id="7" xr3:uid="{8B30F60B-336F-4456-8361-EAA1B0042AF2}" uniqueName="7" name="Column1" queryTableFieldId="1"/>
    <tableColumn id="8" xr3:uid="{DAD9C5F4-FEFE-44E0-9211-D092E4DA70B9}" uniqueName="8" name="Column2" queryTableFieldId="2"/>
    <tableColumn id="9" xr3:uid="{E5119AF4-1F88-41E0-B940-F83CBA7DC2A4}" uniqueName="9" name="Column3" queryTableFieldId="3"/>
    <tableColumn id="10" xr3:uid="{91EE1A79-D557-4807-86EE-0EB7277A8C7A}" uniqueName="10" name="Column4" queryTableFieldId="4"/>
    <tableColumn id="11" xr3:uid="{2B88C198-C457-4DF0-AD93-D7F0BB621BD8}" uniqueName="11" name="Column5" queryTableFieldId="5"/>
    <tableColumn id="12" xr3:uid="{700ED87A-C73B-4191-A8C7-DABEA1D6002C}" uniqueName="12" name="Column6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3FA8D9B-062D-40CA-AB05-9C9D5DF8E6DA}" name="表格_外部資料_17" displayName="表格_外部資料_17" ref="A1:F23" tableType="queryTable" totalsRowShown="0">
  <autoFilter ref="A1:F23" xr:uid="{4DB7BB36-E662-496C-9CD7-5736991BE62F}"/>
  <tableColumns count="6">
    <tableColumn id="7" xr3:uid="{F0B303D2-2762-42C3-9639-2AE4FCF8DE2B}" uniqueName="7" name="Column1" queryTableFieldId="1"/>
    <tableColumn id="8" xr3:uid="{C5A70046-C53E-465B-80BA-61A3449AC183}" uniqueName="8" name="Column2" queryTableFieldId="2"/>
    <tableColumn id="9" xr3:uid="{7E2A3789-B6E2-4C41-BB16-0377B8C2034A}" uniqueName="9" name="Column3" queryTableFieldId="3"/>
    <tableColumn id="10" xr3:uid="{CCDE07CA-251B-4AEF-9C7E-AA50A561AABE}" uniqueName="10" name="Column4" queryTableFieldId="4"/>
    <tableColumn id="11" xr3:uid="{5E125D64-D5D8-4AE4-9642-ED1FA0A1EEC4}" uniqueName="11" name="Column5" queryTableFieldId="5"/>
    <tableColumn id="12" xr3:uid="{E4662B89-C8A9-4DD5-B0E8-0D4CD0105797}" uniqueName="12" name="Column6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C115D1C-E4E5-4327-8728-EB4B8D06FC09}" name="表格_外部資料_18" displayName="表格_外部資料_18" ref="A1:F23" tableType="queryTable" totalsRowShown="0">
  <autoFilter ref="A1:F23" xr:uid="{F506A3A9-266C-4866-89C4-41EB5078C0C0}"/>
  <tableColumns count="6">
    <tableColumn id="7" xr3:uid="{1379FF50-ED8E-41F9-91E5-AE82A8CE6D2D}" uniqueName="7" name="Column1" queryTableFieldId="1"/>
    <tableColumn id="8" xr3:uid="{416F4CA8-526F-4162-A53A-F73F077391A9}" uniqueName="8" name="Column2" queryTableFieldId="2"/>
    <tableColumn id="9" xr3:uid="{4D51947F-9BAC-4DE1-9B8E-D860A44488CE}" uniqueName="9" name="Column3" queryTableFieldId="3"/>
    <tableColumn id="10" xr3:uid="{9880EE52-DFEB-464F-AC26-696537A3D400}" uniqueName="10" name="Column4" queryTableFieldId="4"/>
    <tableColumn id="11" xr3:uid="{AF83EF45-BA9B-4D70-B4E3-071750419653}" uniqueName="11" name="Column5" queryTableFieldId="5"/>
    <tableColumn id="12" xr3:uid="{BDCCE895-2A32-491C-913B-C9B48A322CC1}" uniqueName="12" name="Column6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F590A-B089-42FB-8ABE-86B36FD713AB}">
  <sheetPr codeName="工作表3">
    <tabColor theme="3" tint="0.39997558519241921"/>
  </sheetPr>
  <dimension ref="A1:C10"/>
  <sheetViews>
    <sheetView zoomScaleNormal="100" workbookViewId="0">
      <selection activeCell="B4" sqref="B4"/>
    </sheetView>
  </sheetViews>
  <sheetFormatPr baseColWidth="10" defaultColWidth="8.83203125" defaultRowHeight="15"/>
  <cols>
    <col min="1" max="1" width="5.5" customWidth="1"/>
    <col min="2" max="2" width="30.83203125" bestFit="1" customWidth="1"/>
    <col min="3" max="3" width="26.83203125" bestFit="1" customWidth="1"/>
  </cols>
  <sheetData>
    <row r="1" spans="1:3" ht="19" thickBot="1">
      <c r="A1" s="45"/>
      <c r="B1" s="1" t="s">
        <v>189</v>
      </c>
      <c r="C1" s="46" t="s">
        <v>259</v>
      </c>
    </row>
    <row r="2" spans="1:3" ht="19" thickBot="1">
      <c r="A2" s="3">
        <v>1</v>
      </c>
      <c r="B2" s="35">
        <v>2603</v>
      </c>
    </row>
    <row r="3" spans="1:3" ht="19" thickBot="1">
      <c r="A3" s="3">
        <v>2</v>
      </c>
      <c r="B3" s="35">
        <v>2634</v>
      </c>
    </row>
    <row r="4" spans="1:3" ht="19" thickBot="1">
      <c r="A4" s="3">
        <v>3</v>
      </c>
      <c r="B4" s="35">
        <v>2606</v>
      </c>
    </row>
    <row r="5" spans="1:3" ht="19" thickBot="1">
      <c r="A5" s="3">
        <v>4</v>
      </c>
      <c r="B5" s="35">
        <v>2609</v>
      </c>
      <c r="C5" s="2"/>
    </row>
    <row r="6" spans="1:3" ht="19" thickBot="1">
      <c r="A6" s="3">
        <v>5</v>
      </c>
      <c r="B6" s="35">
        <v>2637</v>
      </c>
    </row>
    <row r="9" spans="1:3" ht="18">
      <c r="C9" s="46" t="s">
        <v>260</v>
      </c>
    </row>
    <row r="10" spans="1:3">
      <c r="A10" s="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tFinancialStatements">
                <anchor moveWithCells="1" sizeWithCells="1">
                  <from>
                    <xdr:col>7</xdr:col>
                    <xdr:colOff>279400</xdr:colOff>
                    <xdr:row>1</xdr:row>
                    <xdr:rowOff>88900</xdr:rowOff>
                  </from>
                  <to>
                    <xdr:col>10</xdr:col>
                    <xdr:colOff>165100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culateFinancialRatiosAndFill">
                <anchor moveWithCells="1" sizeWithCells="1">
                  <from>
                    <xdr:col>12</xdr:col>
                    <xdr:colOff>266700</xdr:colOff>
                    <xdr:row>1</xdr:row>
                    <xdr:rowOff>139700</xdr:rowOff>
                  </from>
                  <to>
                    <xdr:col>14</xdr:col>
                    <xdr:colOff>546100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更新上市櫃產業類股指數">
                <anchor moveWithCells="1" sizeWithCells="1">
                  <from>
                    <xdr:col>2</xdr:col>
                    <xdr:colOff>558800</xdr:colOff>
                    <xdr:row>1</xdr:row>
                    <xdr:rowOff>76200</xdr:rowOff>
                  </from>
                  <to>
                    <xdr:col>6</xdr:col>
                    <xdr:colOff>127000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CalculateYoYRatios">
                <anchor moveWithCells="1" sizeWithCells="1">
                  <from>
                    <xdr:col>12</xdr:col>
                    <xdr:colOff>279400</xdr:colOff>
                    <xdr:row>4</xdr:row>
                    <xdr:rowOff>101600</xdr:rowOff>
                  </from>
                  <to>
                    <xdr:col>14</xdr:col>
                    <xdr:colOff>546100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爬取年度本益比資料">
                <anchor moveWithCells="1" sizeWithCells="1">
                  <from>
                    <xdr:col>2</xdr:col>
                    <xdr:colOff>495300</xdr:colOff>
                    <xdr:row>10</xdr:row>
                    <xdr:rowOff>76200</xdr:rowOff>
                  </from>
                  <to>
                    <xdr:col>6</xdr:col>
                    <xdr:colOff>101600</xdr:colOff>
                    <xdr:row>13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整理並計算歷史本益比均值改寫">
                <anchor moveWithCells="1" sizeWithCells="1">
                  <from>
                    <xdr:col>8</xdr:col>
                    <xdr:colOff>25400</xdr:colOff>
                    <xdr:row>17</xdr:row>
                    <xdr:rowOff>50800</xdr:rowOff>
                  </from>
                  <to>
                    <xdr:col>11</xdr:col>
                    <xdr:colOff>0</xdr:colOff>
                    <xdr:row>20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即時股價">
                <anchor moveWithCells="1" sizeWithCells="1">
                  <from>
                    <xdr:col>7</xdr:col>
                    <xdr:colOff>596900</xdr:colOff>
                    <xdr:row>10</xdr:row>
                    <xdr:rowOff>50800</xdr:rowOff>
                  </from>
                  <to>
                    <xdr:col>11</xdr:col>
                    <xdr:colOff>12700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更新股價評價分析的EPS">
                <anchor moveWithCells="1" sizeWithCells="1">
                  <from>
                    <xdr:col>8</xdr:col>
                    <xdr:colOff>25400</xdr:colOff>
                    <xdr:row>14</xdr:row>
                    <xdr:rowOff>12700</xdr:rowOff>
                  </from>
                  <to>
                    <xdr:col>11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CopyStockInfo">
                <anchor moveWithCells="1" sizeWithCells="1">
                  <from>
                    <xdr:col>12</xdr:col>
                    <xdr:colOff>419100</xdr:colOff>
                    <xdr:row>10</xdr:row>
                    <xdr:rowOff>38100</xdr:rowOff>
                  </from>
                  <to>
                    <xdr:col>15</xdr:col>
                    <xdr:colOff>292100</xdr:colOff>
                    <xdr:row>13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8A8C6-6430-46DD-A5EB-DC72C8AC0A8B}">
  <sheetPr codeName="工作表13">
    <tabColor theme="3" tint="0.39997558519241921"/>
  </sheetPr>
  <dimension ref="A1:K42"/>
  <sheetViews>
    <sheetView topLeftCell="A13" workbookViewId="0">
      <selection activeCell="K30" sqref="K30"/>
    </sheetView>
  </sheetViews>
  <sheetFormatPr baseColWidth="10" defaultColWidth="8.83203125" defaultRowHeight="15"/>
  <cols>
    <col min="1" max="1" width="20.1640625" bestFit="1" customWidth="1"/>
    <col min="2" max="3" width="10.5" bestFit="1" customWidth="1"/>
    <col min="4" max="4" width="12.83203125" style="5" bestFit="1" customWidth="1"/>
    <col min="5" max="5" width="3.1640625" customWidth="1"/>
    <col min="6" max="6" width="16" bestFit="1" customWidth="1"/>
    <col min="7" max="8" width="10.5" bestFit="1" customWidth="1"/>
    <col min="9" max="9" width="12.83203125" style="5" customWidth="1"/>
    <col min="11" max="11" width="18.83203125" bestFit="1" customWidth="1"/>
  </cols>
  <sheetData>
    <row r="1" spans="1:9" ht="18">
      <c r="A1" s="14" t="s">
        <v>100</v>
      </c>
      <c r="B1" s="14" t="s">
        <v>101</v>
      </c>
      <c r="C1" s="14" t="s">
        <v>102</v>
      </c>
      <c r="D1" s="18" t="s">
        <v>103</v>
      </c>
      <c r="F1" s="16" t="s">
        <v>104</v>
      </c>
      <c r="G1" s="16" t="s">
        <v>101</v>
      </c>
      <c r="H1" s="16" t="s">
        <v>102</v>
      </c>
      <c r="I1" s="19" t="s">
        <v>103</v>
      </c>
    </row>
    <row r="2" spans="1:9" ht="18">
      <c r="A2" s="15" t="s">
        <v>119</v>
      </c>
      <c r="B2" s="15">
        <v>163.63999999999999</v>
      </c>
      <c r="C2" s="15">
        <v>6.33</v>
      </c>
      <c r="D2" s="22">
        <v>4.02E-2</v>
      </c>
      <c r="F2" s="17" t="s">
        <v>166</v>
      </c>
      <c r="G2" s="17">
        <v>211.28</v>
      </c>
      <c r="H2" s="17">
        <v>5.0999999999999996</v>
      </c>
      <c r="I2" s="24">
        <v>2.4138583869746308E-2</v>
      </c>
    </row>
    <row r="3" spans="1:9" ht="18">
      <c r="A3" s="15" t="s">
        <v>128</v>
      </c>
      <c r="B3" s="15">
        <v>199.62</v>
      </c>
      <c r="C3" s="15">
        <v>5.44</v>
      </c>
      <c r="D3" s="22">
        <v>2.8000000000000001E-2</v>
      </c>
      <c r="F3" s="17" t="s">
        <v>176</v>
      </c>
      <c r="G3" s="17">
        <v>117.03</v>
      </c>
      <c r="H3" s="17">
        <v>2.65</v>
      </c>
      <c r="I3" s="24">
        <v>2.2643766555584036E-2</v>
      </c>
    </row>
    <row r="4" spans="1:9" ht="18">
      <c r="A4" s="15" t="s">
        <v>110</v>
      </c>
      <c r="B4" s="15">
        <v>294.72000000000003</v>
      </c>
      <c r="C4" s="15">
        <v>6.59</v>
      </c>
      <c r="D4" s="22">
        <v>2.29E-2</v>
      </c>
      <c r="F4" s="17" t="s">
        <v>172</v>
      </c>
      <c r="G4" s="17">
        <v>130.84</v>
      </c>
      <c r="H4" s="17">
        <v>2.95</v>
      </c>
      <c r="I4" s="24">
        <v>2.2546621828187098E-2</v>
      </c>
    </row>
    <row r="5" spans="1:9" ht="18">
      <c r="A5" s="15" t="s">
        <v>122</v>
      </c>
      <c r="B5" s="15">
        <v>424.49</v>
      </c>
      <c r="C5" s="15">
        <v>9.36</v>
      </c>
      <c r="D5" s="22">
        <v>2.2499999999999999E-2</v>
      </c>
      <c r="F5" s="17" t="s">
        <v>161</v>
      </c>
      <c r="G5" s="17">
        <v>132.51</v>
      </c>
      <c r="H5" s="17">
        <v>2.75</v>
      </c>
      <c r="I5" s="24">
        <v>2.0753150705607126E-2</v>
      </c>
    </row>
    <row r="6" spans="1:9" ht="18">
      <c r="A6" s="15" t="s">
        <v>123</v>
      </c>
      <c r="B6" s="15">
        <v>119.74</v>
      </c>
      <c r="C6" s="15">
        <v>2.15</v>
      </c>
      <c r="D6" s="22">
        <v>1.83E-2</v>
      </c>
      <c r="F6" s="17" t="s">
        <v>162</v>
      </c>
      <c r="G6" s="17">
        <v>218.68</v>
      </c>
      <c r="H6" s="17">
        <v>4.1500000000000004</v>
      </c>
      <c r="I6" s="24">
        <v>1.8977501371867569E-2</v>
      </c>
    </row>
    <row r="7" spans="1:9" ht="18">
      <c r="A7" s="15" t="s">
        <v>113</v>
      </c>
      <c r="B7" s="15">
        <v>230.77</v>
      </c>
      <c r="C7" s="15">
        <v>3.62</v>
      </c>
      <c r="D7" s="22">
        <v>1.5900000000000001E-2</v>
      </c>
      <c r="F7" s="17" t="s">
        <v>178</v>
      </c>
      <c r="G7" s="17">
        <v>255.58</v>
      </c>
      <c r="H7" s="17">
        <v>4.18</v>
      </c>
      <c r="I7" s="24">
        <v>1.6354957351905466E-2</v>
      </c>
    </row>
    <row r="8" spans="1:9" ht="18">
      <c r="A8" s="15" t="s">
        <v>105</v>
      </c>
      <c r="B8" s="15">
        <v>111.57</v>
      </c>
      <c r="C8" s="15">
        <v>1.58</v>
      </c>
      <c r="D8" s="22">
        <v>1.44E-2</v>
      </c>
      <c r="F8" s="17" t="s">
        <v>182</v>
      </c>
      <c r="G8" s="17">
        <v>94.3</v>
      </c>
      <c r="H8" s="17">
        <v>1.54</v>
      </c>
      <c r="I8" s="24">
        <v>1.6330858960763521E-2</v>
      </c>
    </row>
    <row r="9" spans="1:9" ht="18">
      <c r="A9" s="15" t="s">
        <v>114</v>
      </c>
      <c r="B9" s="15">
        <v>280.51</v>
      </c>
      <c r="C9" s="15">
        <v>3.75</v>
      </c>
      <c r="D9" s="22">
        <v>1.35E-2</v>
      </c>
      <c r="F9" s="17" t="s">
        <v>173</v>
      </c>
      <c r="G9" s="17">
        <v>75.83</v>
      </c>
      <c r="H9" s="17">
        <v>1.1100000000000001</v>
      </c>
      <c r="I9" s="24">
        <v>1.4638006066200714E-2</v>
      </c>
    </row>
    <row r="10" spans="1:9" ht="18">
      <c r="A10" s="15" t="s">
        <v>139</v>
      </c>
      <c r="B10" s="15">
        <v>6470.24</v>
      </c>
      <c r="C10" s="15">
        <v>85.9</v>
      </c>
      <c r="D10" s="22">
        <v>1.35E-2</v>
      </c>
      <c r="F10" s="17" t="s">
        <v>174</v>
      </c>
      <c r="G10" s="17">
        <v>132.41999999999999</v>
      </c>
      <c r="H10" s="17">
        <v>1.58</v>
      </c>
      <c r="I10" s="24">
        <v>1.1931732366711979E-2</v>
      </c>
    </row>
    <row r="11" spans="1:9" ht="18">
      <c r="A11" s="15" t="s">
        <v>111</v>
      </c>
      <c r="B11" s="15">
        <v>39.090000000000003</v>
      </c>
      <c r="C11" s="15">
        <v>0.48</v>
      </c>
      <c r="D11" s="22">
        <v>1.24E-2</v>
      </c>
      <c r="F11" s="17" t="s">
        <v>164</v>
      </c>
      <c r="G11" s="17">
        <v>417.81</v>
      </c>
      <c r="H11" s="17">
        <v>4.83</v>
      </c>
      <c r="I11" s="24">
        <v>1.1560278595533855E-2</v>
      </c>
    </row>
    <row r="12" spans="1:9" ht="18">
      <c r="A12" s="15" t="s">
        <v>140</v>
      </c>
      <c r="B12" s="15">
        <v>21803.77</v>
      </c>
      <c r="C12" s="15">
        <v>238.43</v>
      </c>
      <c r="D12" s="22">
        <v>1.11E-2</v>
      </c>
      <c r="F12" s="17" t="s">
        <v>171</v>
      </c>
      <c r="G12" s="17">
        <v>124.16</v>
      </c>
      <c r="H12" s="17">
        <v>1.1100000000000001</v>
      </c>
      <c r="I12" s="24">
        <v>8.9400773195876301E-3</v>
      </c>
    </row>
    <row r="13" spans="1:9" ht="18">
      <c r="A13" s="15" t="s">
        <v>121</v>
      </c>
      <c r="B13" s="15">
        <v>186.46</v>
      </c>
      <c r="C13" s="15">
        <v>1.99</v>
      </c>
      <c r="D13" s="22">
        <v>1.0800000000000001E-2</v>
      </c>
      <c r="F13" s="17" t="s">
        <v>183</v>
      </c>
      <c r="G13" s="17">
        <v>256.83999999999997</v>
      </c>
      <c r="H13" s="17">
        <v>2.23</v>
      </c>
      <c r="I13" s="24">
        <v>8.6824482167886623E-3</v>
      </c>
    </row>
    <row r="14" spans="1:9" ht="18">
      <c r="A14" s="15" t="s">
        <v>109</v>
      </c>
      <c r="B14" s="15">
        <v>562.48</v>
      </c>
      <c r="C14" s="15">
        <v>5.36</v>
      </c>
      <c r="D14" s="22">
        <v>9.5999999999999992E-3</v>
      </c>
      <c r="F14" s="17" t="s">
        <v>168</v>
      </c>
      <c r="G14" s="17">
        <v>153.91999999999999</v>
      </c>
      <c r="H14" s="17">
        <v>1.23</v>
      </c>
      <c r="I14" s="24">
        <v>7.9911642411642416E-3</v>
      </c>
    </row>
    <row r="15" spans="1:9" ht="18">
      <c r="A15" s="15" t="s">
        <v>127</v>
      </c>
      <c r="B15" s="15">
        <v>409.17</v>
      </c>
      <c r="C15" s="15">
        <v>3.52</v>
      </c>
      <c r="D15" s="22">
        <v>8.6999999999999994E-3</v>
      </c>
      <c r="F15" s="17" t="s">
        <v>175</v>
      </c>
      <c r="G15" s="17">
        <v>135.99</v>
      </c>
      <c r="H15" s="17">
        <v>1</v>
      </c>
      <c r="I15" s="24">
        <v>7.3534818736671805E-3</v>
      </c>
    </row>
    <row r="16" spans="1:9" ht="18">
      <c r="A16" s="15" t="s">
        <v>131</v>
      </c>
      <c r="B16" s="15">
        <v>361.61</v>
      </c>
      <c r="C16" s="15">
        <v>2.27</v>
      </c>
      <c r="D16" s="22">
        <v>6.3E-3</v>
      </c>
      <c r="F16" s="20" t="s">
        <v>177</v>
      </c>
      <c r="G16" s="20">
        <v>204.25</v>
      </c>
      <c r="H16" s="20">
        <v>1.44</v>
      </c>
      <c r="I16" s="44">
        <v>7.0501835985312114E-3</v>
      </c>
    </row>
    <row r="17" spans="1:11" ht="18">
      <c r="A17" s="15" t="s">
        <v>134</v>
      </c>
      <c r="B17" s="15">
        <v>343.27</v>
      </c>
      <c r="C17" s="15">
        <v>2.09</v>
      </c>
      <c r="D17" s="22">
        <v>6.1000000000000004E-3</v>
      </c>
      <c r="F17" s="17" t="s">
        <v>169</v>
      </c>
      <c r="G17" s="17">
        <v>151.6</v>
      </c>
      <c r="H17" s="17">
        <v>1.03</v>
      </c>
      <c r="I17" s="24">
        <v>6.7941952506596313E-3</v>
      </c>
    </row>
    <row r="18" spans="1:11" ht="18">
      <c r="A18" s="15" t="s">
        <v>129</v>
      </c>
      <c r="B18" s="15">
        <v>135.88999999999999</v>
      </c>
      <c r="C18" s="15">
        <v>0.81</v>
      </c>
      <c r="D18" s="22">
        <v>6.0000000000000001E-3</v>
      </c>
      <c r="F18" s="17" t="s">
        <v>167</v>
      </c>
      <c r="G18" s="17">
        <v>100.82</v>
      </c>
      <c r="H18" s="17">
        <v>0.64</v>
      </c>
      <c r="I18" s="24">
        <v>6.3479468359452498E-3</v>
      </c>
    </row>
    <row r="19" spans="1:11" ht="18">
      <c r="A19" s="15" t="s">
        <v>138</v>
      </c>
      <c r="B19" s="15">
        <v>774.01</v>
      </c>
      <c r="C19" s="15">
        <v>4.3499999999999996</v>
      </c>
      <c r="D19" s="22">
        <v>5.7000000000000002E-3</v>
      </c>
      <c r="F19" s="17" t="s">
        <v>165</v>
      </c>
      <c r="G19" s="17">
        <v>320.64999999999998</v>
      </c>
      <c r="H19" s="17">
        <v>0.83</v>
      </c>
      <c r="I19" s="24">
        <v>2.5884921253703417E-3</v>
      </c>
    </row>
    <row r="20" spans="1:11" ht="18">
      <c r="A20" s="15" t="s">
        <v>106</v>
      </c>
      <c r="B20" s="15">
        <v>70.849999999999994</v>
      </c>
      <c r="C20" s="15">
        <v>0.36</v>
      </c>
      <c r="D20" s="22">
        <v>5.1000000000000004E-3</v>
      </c>
      <c r="F20" s="17" t="s">
        <v>163</v>
      </c>
      <c r="G20" s="17">
        <v>183.85</v>
      </c>
      <c r="H20" s="17">
        <v>0.44</v>
      </c>
      <c r="I20" s="24">
        <v>2.3932553712265434E-3</v>
      </c>
    </row>
    <row r="21" spans="1:11" ht="18">
      <c r="A21" s="15" t="s">
        <v>115</v>
      </c>
      <c r="B21" s="15">
        <v>195.91</v>
      </c>
      <c r="C21" s="15">
        <v>1</v>
      </c>
      <c r="D21" s="22">
        <v>5.1000000000000004E-3</v>
      </c>
      <c r="F21" s="17" t="s">
        <v>180</v>
      </c>
      <c r="G21" s="17">
        <v>105.22</v>
      </c>
      <c r="H21" s="17">
        <v>0.18</v>
      </c>
      <c r="I21" s="24">
        <v>1.7107013875689032E-3</v>
      </c>
    </row>
    <row r="22" spans="1:11" ht="18">
      <c r="A22" s="15" t="s">
        <v>116</v>
      </c>
      <c r="B22" s="15">
        <v>168.43</v>
      </c>
      <c r="C22" s="15">
        <v>0.77</v>
      </c>
      <c r="D22" s="22">
        <v>4.5999999999999999E-3</v>
      </c>
      <c r="F22" s="17" t="s">
        <v>170</v>
      </c>
      <c r="G22" s="17">
        <v>192.56</v>
      </c>
      <c r="H22" s="17">
        <v>0.18</v>
      </c>
      <c r="I22" s="24">
        <v>9.3477357706688816E-4</v>
      </c>
    </row>
    <row r="23" spans="1:11" ht="18">
      <c r="A23" s="15" t="s">
        <v>136</v>
      </c>
      <c r="B23" s="15">
        <v>1950.67</v>
      </c>
      <c r="C23" s="15">
        <v>9.01</v>
      </c>
      <c r="D23" s="22">
        <v>4.5999999999999999E-3</v>
      </c>
      <c r="F23" s="17" t="s">
        <v>181</v>
      </c>
      <c r="G23" s="17">
        <v>91.34</v>
      </c>
      <c r="H23" s="17">
        <v>-0.32</v>
      </c>
      <c r="I23" s="23">
        <v>-3.5033939128530762E-3</v>
      </c>
    </row>
    <row r="24" spans="1:11" ht="18">
      <c r="A24" s="15" t="s">
        <v>135</v>
      </c>
      <c r="B24" s="15">
        <v>575.89</v>
      </c>
      <c r="C24" s="15">
        <v>2.08</v>
      </c>
      <c r="D24" s="22">
        <v>3.5999999999999999E-3</v>
      </c>
      <c r="F24" s="17" t="s">
        <v>179</v>
      </c>
      <c r="G24" s="17">
        <v>202.86</v>
      </c>
      <c r="H24" s="17">
        <v>-4.24</v>
      </c>
      <c r="I24" s="23">
        <v>-2.0901114068815931E-2</v>
      </c>
    </row>
    <row r="25" spans="1:11" ht="18">
      <c r="A25" s="15" t="s">
        <v>124</v>
      </c>
      <c r="B25" s="15">
        <v>135.11000000000001</v>
      </c>
      <c r="C25" s="15">
        <v>0.47</v>
      </c>
      <c r="D25" s="22">
        <v>3.5000000000000001E-3</v>
      </c>
    </row>
    <row r="26" spans="1:11" ht="18">
      <c r="A26" s="15" t="s">
        <v>132</v>
      </c>
      <c r="B26" s="15">
        <v>2187.89</v>
      </c>
      <c r="C26" s="15">
        <v>5.86</v>
      </c>
      <c r="D26" s="22">
        <v>2.7000000000000001E-3</v>
      </c>
    </row>
    <row r="27" spans="1:11" ht="18">
      <c r="A27" s="15" t="s">
        <v>117</v>
      </c>
      <c r="B27" s="15">
        <v>73.33</v>
      </c>
      <c r="C27" s="15">
        <v>0.19</v>
      </c>
      <c r="D27" s="22">
        <v>2.5999999999999999E-3</v>
      </c>
    </row>
    <row r="28" spans="1:11" ht="18">
      <c r="A28" s="15" t="s">
        <v>107</v>
      </c>
      <c r="B28" s="15">
        <v>98.73</v>
      </c>
      <c r="C28" s="15">
        <v>0.15</v>
      </c>
      <c r="D28" s="22">
        <v>1.5E-3</v>
      </c>
    </row>
    <row r="29" spans="1:11" ht="18">
      <c r="A29" s="15" t="s">
        <v>130</v>
      </c>
      <c r="B29" s="15">
        <v>294.23</v>
      </c>
      <c r="C29" s="15">
        <v>0.34</v>
      </c>
      <c r="D29" s="22">
        <v>1.1999999999999999E-3</v>
      </c>
      <c r="K29" s="25" t="s">
        <v>188</v>
      </c>
    </row>
    <row r="30" spans="1:11" ht="18">
      <c r="A30" s="15" t="s">
        <v>125</v>
      </c>
      <c r="B30" s="15">
        <v>145.22999999999999</v>
      </c>
      <c r="C30" s="15">
        <v>-0.32</v>
      </c>
      <c r="D30" s="21">
        <v>-2.2000000000000001E-3</v>
      </c>
      <c r="K30" s="26" t="s">
        <v>186</v>
      </c>
    </row>
    <row r="31" spans="1:11" ht="18">
      <c r="A31" s="15" t="s">
        <v>133</v>
      </c>
      <c r="B31" s="15">
        <v>629.02</v>
      </c>
      <c r="C31" s="15">
        <v>-2.2000000000000002</v>
      </c>
      <c r="D31" s="21">
        <v>-3.5000000000000001E-3</v>
      </c>
      <c r="K31" s="27" t="s">
        <v>187</v>
      </c>
    </row>
    <row r="32" spans="1:11" ht="18">
      <c r="A32" s="15" t="s">
        <v>118</v>
      </c>
      <c r="B32" s="15">
        <v>92.91</v>
      </c>
      <c r="C32" s="15">
        <v>-0.59</v>
      </c>
      <c r="D32" s="21">
        <v>-6.3E-3</v>
      </c>
    </row>
    <row r="33" spans="1:4" ht="18">
      <c r="A33" s="15" t="s">
        <v>112</v>
      </c>
      <c r="B33" s="15">
        <v>154.79</v>
      </c>
      <c r="C33" s="15">
        <v>-0.99</v>
      </c>
      <c r="D33" s="21">
        <v>-6.4000000000000003E-3</v>
      </c>
    </row>
    <row r="34" spans="1:4" ht="18">
      <c r="A34" s="15" t="s">
        <v>120</v>
      </c>
      <c r="B34" s="15">
        <v>161.84</v>
      </c>
      <c r="C34" s="15">
        <v>-1.1000000000000001</v>
      </c>
      <c r="D34" s="21">
        <v>-6.7999999999999996E-3</v>
      </c>
    </row>
    <row r="35" spans="1:4" ht="18">
      <c r="A35" s="15" t="s">
        <v>126</v>
      </c>
      <c r="B35" s="15">
        <v>316.19</v>
      </c>
      <c r="C35" s="15">
        <v>-2.16</v>
      </c>
      <c r="D35" s="21">
        <v>-6.7999999999999996E-3</v>
      </c>
    </row>
    <row r="36" spans="1:4" ht="18">
      <c r="A36" s="15" t="s">
        <v>137</v>
      </c>
      <c r="B36" s="15">
        <v>615.71</v>
      </c>
      <c r="C36" s="15">
        <v>-4.46</v>
      </c>
      <c r="D36" s="21">
        <v>-7.1999999999999998E-3</v>
      </c>
    </row>
    <row r="37" spans="1:4" ht="18">
      <c r="A37" s="15" t="s">
        <v>96</v>
      </c>
      <c r="B37" s="15">
        <v>49.1</v>
      </c>
      <c r="C37" s="15">
        <v>-0.51</v>
      </c>
      <c r="D37" s="21">
        <v>-1.03E-2</v>
      </c>
    </row>
    <row r="38" spans="1:4" ht="18">
      <c r="A38" s="15" t="s">
        <v>108</v>
      </c>
      <c r="B38" s="15">
        <v>110.8</v>
      </c>
      <c r="C38" s="15">
        <v>-1.62</v>
      </c>
      <c r="D38" s="21">
        <v>-1.44E-2</v>
      </c>
    </row>
    <row r="39" spans="1:4" ht="18">
      <c r="A39" s="15" t="s">
        <v>108</v>
      </c>
      <c r="B39" s="15">
        <v>110.8</v>
      </c>
      <c r="C39" s="15">
        <v>-1.62</v>
      </c>
      <c r="D39" s="21">
        <v>-1.44E-2</v>
      </c>
    </row>
    <row r="40" spans="1:4" ht="18">
      <c r="A40" s="15" t="s">
        <v>137</v>
      </c>
      <c r="B40" s="15">
        <v>615.71</v>
      </c>
      <c r="C40" s="15">
        <v>-4.46</v>
      </c>
      <c r="D40" s="21">
        <v>-7.1999999999999998E-3</v>
      </c>
    </row>
    <row r="41" spans="1:4" ht="18">
      <c r="A41" s="15" t="s">
        <v>96</v>
      </c>
      <c r="B41" s="15">
        <v>49.1</v>
      </c>
      <c r="C41" s="15">
        <v>-0.51</v>
      </c>
      <c r="D41" s="21">
        <v>-1.03E-2</v>
      </c>
    </row>
    <row r="42" spans="1:4" ht="18">
      <c r="A42" s="15" t="s">
        <v>108</v>
      </c>
      <c r="B42" s="15">
        <v>110.8</v>
      </c>
      <c r="C42" s="15">
        <v>-1.62</v>
      </c>
      <c r="D42" s="21">
        <v>-1.44E-2</v>
      </c>
    </row>
  </sheetData>
  <sortState xmlns:xlrd2="http://schemas.microsoft.com/office/spreadsheetml/2017/richdata2" ref="F2:I24">
    <sortCondition descending="1" ref="I2"/>
  </sortState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CF911-636C-444B-9EF2-942EB9BAD823}">
  <sheetPr codeName="工作表1">
    <tabColor theme="3" tint="0.39997558519241921"/>
  </sheetPr>
  <dimension ref="A1:K21"/>
  <sheetViews>
    <sheetView workbookViewId="0">
      <selection activeCell="J19" sqref="J19"/>
    </sheetView>
  </sheetViews>
  <sheetFormatPr baseColWidth="10" defaultColWidth="8.83203125" defaultRowHeight="15"/>
  <cols>
    <col min="1" max="1" width="18.1640625" customWidth="1"/>
    <col min="2" max="2" width="15.33203125" customWidth="1"/>
    <col min="3" max="3" width="15.83203125" customWidth="1"/>
    <col min="4" max="4" width="8.83203125" customWidth="1"/>
    <col min="5" max="5" width="15.5" customWidth="1"/>
    <col min="6" max="6" width="16.5" customWidth="1"/>
    <col min="7" max="7" width="19.5" customWidth="1"/>
    <col min="9" max="9" width="13.5" bestFit="1" customWidth="1"/>
    <col min="10" max="10" width="20.1640625" customWidth="1"/>
    <col min="11" max="11" width="21.83203125" customWidth="1"/>
  </cols>
  <sheetData>
    <row r="1" spans="1:11">
      <c r="A1" s="34">
        <f>Input!B2</f>
        <v>2603</v>
      </c>
      <c r="B1" s="33"/>
      <c r="C1" s="32" t="s">
        <v>0</v>
      </c>
      <c r="E1" s="34">
        <f>Input!B4</f>
        <v>2606</v>
      </c>
      <c r="F1" s="33"/>
      <c r="G1" s="32" t="s">
        <v>0</v>
      </c>
      <c r="I1" s="34">
        <f>Input!B6</f>
        <v>2637</v>
      </c>
      <c r="J1" s="33"/>
      <c r="K1" s="32" t="s">
        <v>0</v>
      </c>
    </row>
    <row r="2" spans="1:11">
      <c r="A2" s="29" t="s">
        <v>1</v>
      </c>
      <c r="B2" s="28">
        <f>財務比率計算!B2</f>
        <v>0.21384072383134767</v>
      </c>
      <c r="C2" s="28">
        <f>YoY!B3</f>
        <v>0.28013590357969659</v>
      </c>
      <c r="E2" s="29" t="s">
        <v>1</v>
      </c>
      <c r="F2" s="28">
        <f>財務比率計算!D2</f>
        <v>0.27366545599423286</v>
      </c>
      <c r="G2" s="28">
        <f>YoY!D3</f>
        <v>1.2475672789406236</v>
      </c>
      <c r="I2" s="29" t="s">
        <v>1</v>
      </c>
      <c r="J2" s="28">
        <f>財務比率計算!F2</f>
        <v>0.3169118593198631</v>
      </c>
      <c r="K2" s="28">
        <f>YoY!F3</f>
        <v>2.7940996434382956</v>
      </c>
    </row>
    <row r="3" spans="1:11">
      <c r="A3" s="29" t="s">
        <v>2</v>
      </c>
      <c r="B3" s="28">
        <f>財務比率計算!B3</f>
        <v>0.17660734240124279</v>
      </c>
      <c r="C3" s="28">
        <f>YoY!B4</f>
        <v>0.40557404804199526</v>
      </c>
      <c r="E3" s="29" t="s">
        <v>2</v>
      </c>
      <c r="F3" s="28">
        <f>財務比率計算!D3</f>
        <v>0.23059773028825725</v>
      </c>
      <c r="G3" s="28">
        <f>YoY!D4</f>
        <v>1.8952309118930073</v>
      </c>
      <c r="I3" s="29" t="s">
        <v>2</v>
      </c>
      <c r="J3" s="28">
        <f>財務比率計算!F3</f>
        <v>0.30820200954581128</v>
      </c>
      <c r="K3" s="28">
        <f>YoY!F4</f>
        <v>3.1578381640776558</v>
      </c>
    </row>
    <row r="4" spans="1:11">
      <c r="A4" s="29" t="s">
        <v>3</v>
      </c>
      <c r="B4" s="28">
        <f>財務比率計算!B4</f>
        <v>0.20559063286370341</v>
      </c>
      <c r="C4" s="28">
        <f>YoY!B5</f>
        <v>1.8771108898320004</v>
      </c>
      <c r="E4" s="29" t="s">
        <v>3</v>
      </c>
      <c r="F4" s="28">
        <f>財務比率計算!D4</f>
        <v>0.25567232889651276</v>
      </c>
      <c r="G4" s="28">
        <f>YoY!D5</f>
        <v>1.0454201220856929</v>
      </c>
      <c r="I4" s="29" t="s">
        <v>3</v>
      </c>
      <c r="J4" s="28">
        <f>財務比率計算!F4</f>
        <v>0.31646724880038246</v>
      </c>
      <c r="K4" s="28">
        <f>YoY!F5</f>
        <v>12.106429110810387</v>
      </c>
    </row>
    <row r="5" spans="1:11">
      <c r="A5" s="29" t="s">
        <v>4</v>
      </c>
      <c r="B5" s="28">
        <f>財務比率計算!B5</f>
        <v>3.6030869729535571E-2</v>
      </c>
      <c r="E5" s="29" t="s">
        <v>4</v>
      </c>
      <c r="F5" s="28">
        <f>財務比率計算!D5</f>
        <v>2.5966516312142605E-2</v>
      </c>
      <c r="I5" s="29" t="s">
        <v>4</v>
      </c>
      <c r="J5" s="28">
        <f>財務比率計算!F5</f>
        <v>3.0682361234129478E-2</v>
      </c>
    </row>
    <row r="6" spans="1:11">
      <c r="A6" s="29" t="s">
        <v>5</v>
      </c>
      <c r="B6" s="28">
        <f>財務比率計算!B6</f>
        <v>2.3312378025964118E-2</v>
      </c>
      <c r="E6" s="29" t="s">
        <v>5</v>
      </c>
      <c r="F6" s="28">
        <f>財務比率計算!D6</f>
        <v>1.160457171893103E-2</v>
      </c>
      <c r="I6" s="29" t="s">
        <v>5</v>
      </c>
      <c r="J6" s="28">
        <f>財務比率計算!F6</f>
        <v>1.6135856565915506E-2</v>
      </c>
    </row>
    <row r="7" spans="1:11">
      <c r="A7" s="29" t="s">
        <v>6</v>
      </c>
      <c r="B7" s="30">
        <f>財務比率計算!B7</f>
        <v>8.09</v>
      </c>
      <c r="E7" s="29" t="s">
        <v>6</v>
      </c>
      <c r="F7" s="30">
        <f>財務比率計算!D7</f>
        <v>1.17</v>
      </c>
      <c r="I7" s="29" t="s">
        <v>6</v>
      </c>
      <c r="J7" s="30">
        <f>財務比率計算!F7</f>
        <v>1.99</v>
      </c>
    </row>
    <row r="8" spans="1:11">
      <c r="A8" s="29" t="s">
        <v>7</v>
      </c>
      <c r="B8" s="28">
        <f>財務比率計算!B8</f>
        <v>2.0043713052542445</v>
      </c>
      <c r="E8" s="29" t="s">
        <v>7</v>
      </c>
      <c r="F8" s="28">
        <f>財務比率計算!D8</f>
        <v>1.4777942755811679</v>
      </c>
      <c r="I8" s="29" t="s">
        <v>7</v>
      </c>
      <c r="J8" s="28">
        <f>財務比率計算!F8</f>
        <v>0.75905746699003696</v>
      </c>
    </row>
    <row r="9" spans="1:11">
      <c r="A9" s="29" t="s">
        <v>8</v>
      </c>
      <c r="B9" s="28">
        <f>財務比率計算!B9</f>
        <v>0.35298875100829807</v>
      </c>
      <c r="E9" s="29" t="s">
        <v>8</v>
      </c>
      <c r="F9" s="28">
        <f>財務比率計算!D9</f>
        <v>0.5530947786975785</v>
      </c>
      <c r="I9" s="29" t="s">
        <v>8</v>
      </c>
      <c r="J9" s="28">
        <f>財務比率計算!F9</f>
        <v>0.47409990897418908</v>
      </c>
    </row>
    <row r="10" spans="1:11">
      <c r="A10" s="29" t="s">
        <v>9</v>
      </c>
      <c r="B10" s="28">
        <f>財務比率計算!B10</f>
        <v>0.54556818225091663</v>
      </c>
      <c r="E10" s="29" t="s">
        <v>9</v>
      </c>
      <c r="F10" s="28">
        <f>財務比率計算!D10</f>
        <v>1.2376109124115564</v>
      </c>
      <c r="I10" s="29" t="s">
        <v>9</v>
      </c>
      <c r="J10" s="28">
        <f>財務比率計算!F10</f>
        <v>0.90150185760458534</v>
      </c>
    </row>
    <row r="12" spans="1:11">
      <c r="A12" s="34">
        <f>Input!B3</f>
        <v>2634</v>
      </c>
      <c r="B12" s="33"/>
      <c r="C12" s="32" t="s">
        <v>0</v>
      </c>
      <c r="E12" s="34">
        <f>Input!B5</f>
        <v>2609</v>
      </c>
      <c r="F12" s="33"/>
      <c r="G12" s="32" t="s">
        <v>0</v>
      </c>
    </row>
    <row r="13" spans="1:11">
      <c r="A13" s="31" t="s">
        <v>1</v>
      </c>
      <c r="B13" s="28">
        <f>財務比率計算!C2</f>
        <v>0.10283506775275315</v>
      </c>
      <c r="C13" s="28">
        <f>YoY!C3</f>
        <v>0.1675785066294487</v>
      </c>
      <c r="E13" s="31" t="s">
        <v>1</v>
      </c>
      <c r="F13" s="28">
        <f>財務比率計算!E2</f>
        <v>0.23059756794692704</v>
      </c>
      <c r="G13" s="28">
        <f>YoY!E3</f>
        <v>1.9563656309462796</v>
      </c>
    </row>
    <row r="14" spans="1:11">
      <c r="A14" s="29" t="s">
        <v>2</v>
      </c>
      <c r="B14" s="28">
        <f>財務比率計算!C3</f>
        <v>7.2679761923335681E-2</v>
      </c>
      <c r="C14" s="28">
        <f>YoY!C4</f>
        <v>0.18989942148389305</v>
      </c>
      <c r="E14" s="29" t="s">
        <v>2</v>
      </c>
      <c r="F14" s="28">
        <f>財務比率計算!E3</f>
        <v>0.18009780000556602</v>
      </c>
      <c r="G14" s="28">
        <f>YoY!E4</f>
        <v>4.3670335158054012</v>
      </c>
    </row>
    <row r="15" spans="1:11">
      <c r="A15" s="29" t="s">
        <v>3</v>
      </c>
      <c r="B15" s="28">
        <f>財務比率計算!C4</f>
        <v>7.6039008716775477E-2</v>
      </c>
      <c r="C15" s="28">
        <f>YoY!C5</f>
        <v>0.47913520592568615</v>
      </c>
      <c r="E15" s="29" t="s">
        <v>3</v>
      </c>
      <c r="F15" s="28">
        <f>財務比率計算!E4</f>
        <v>0.21584371140037464</v>
      </c>
      <c r="G15" s="28">
        <f>YoY!E5</f>
        <v>1.7311040818095156</v>
      </c>
    </row>
    <row r="16" spans="1:11">
      <c r="A16" s="29" t="s">
        <v>4</v>
      </c>
      <c r="B16" s="28">
        <f>財務比率計算!C5</f>
        <v>4.4766334183801847E-2</v>
      </c>
      <c r="E16" s="29" t="s">
        <v>4</v>
      </c>
      <c r="F16" s="28">
        <f>財務比率計算!E5</f>
        <v>3.2510821651879997E-2</v>
      </c>
    </row>
    <row r="17" spans="1:6">
      <c r="A17" s="29" t="s">
        <v>5</v>
      </c>
      <c r="B17" s="28">
        <f>財務比率計算!C6</f>
        <v>1.8092059489746494E-2</v>
      </c>
      <c r="E17" s="29" t="s">
        <v>5</v>
      </c>
      <c r="F17" s="28">
        <f>財務比率計算!E6</f>
        <v>2.3440097818702963E-2</v>
      </c>
    </row>
    <row r="18" spans="1:6">
      <c r="A18" s="29" t="s">
        <v>6</v>
      </c>
      <c r="B18" s="30">
        <f>財務比率計算!C7</f>
        <v>0.85</v>
      </c>
      <c r="E18" s="29" t="s">
        <v>6</v>
      </c>
      <c r="F18" s="30">
        <f>財務比率計算!E7</f>
        <v>2.68</v>
      </c>
    </row>
    <row r="19" spans="1:6">
      <c r="A19" s="29" t="s">
        <v>7</v>
      </c>
      <c r="B19" s="28">
        <f>財務比率計算!C8</f>
        <v>1.4837807732899455</v>
      </c>
      <c r="E19" s="29" t="s">
        <v>7</v>
      </c>
      <c r="F19" s="28">
        <f>財務比率計算!E8</f>
        <v>4.6779968142838957</v>
      </c>
    </row>
    <row r="20" spans="1:6">
      <c r="A20" s="29" t="s">
        <v>8</v>
      </c>
      <c r="B20" s="28">
        <f>財務比率計算!C9</f>
        <v>0.59585568441981374</v>
      </c>
      <c r="E20" s="29" t="s">
        <v>8</v>
      </c>
      <c r="F20" s="28">
        <f>財務比率計算!E9</f>
        <v>0.27900629305234748</v>
      </c>
    </row>
    <row r="21" spans="1:6">
      <c r="A21" s="29" t="s">
        <v>9</v>
      </c>
      <c r="B21" s="28">
        <f>財務比率計算!C10</f>
        <v>1.4743636405337244</v>
      </c>
      <c r="E21" s="29" t="s">
        <v>9</v>
      </c>
      <c r="F21" s="28">
        <f>財務比率計算!E10</f>
        <v>0.38697465784206159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4F371-2748-411D-85C7-864AFD96BCEE}">
  <sheetPr codeName="工作表4">
    <tabColor theme="3" tint="0.39997558519241921"/>
  </sheetPr>
  <dimension ref="A1:AA47"/>
  <sheetViews>
    <sheetView topLeftCell="E13" workbookViewId="0">
      <selection activeCell="AB31" sqref="AB31"/>
    </sheetView>
  </sheetViews>
  <sheetFormatPr baseColWidth="10" defaultColWidth="8.83203125" defaultRowHeight="15"/>
  <cols>
    <col min="1" max="1" width="12.6640625" bestFit="1" customWidth="1"/>
    <col min="19" max="19" width="15.5" bestFit="1" customWidth="1"/>
  </cols>
  <sheetData>
    <row r="1" spans="1:27" ht="22" thickTop="1">
      <c r="A1" s="39" t="s">
        <v>255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3"/>
      <c r="S1" s="39" t="s">
        <v>256</v>
      </c>
      <c r="T1" s="42"/>
      <c r="U1" s="42"/>
      <c r="V1" s="42"/>
      <c r="W1" s="42"/>
      <c r="X1" s="42"/>
      <c r="Y1" s="42"/>
      <c r="Z1" s="42"/>
      <c r="AA1" s="43"/>
    </row>
    <row r="2" spans="1:27">
      <c r="A2" s="40"/>
      <c r="R2" s="36"/>
      <c r="AA2" s="36"/>
    </row>
    <row r="3" spans="1:27">
      <c r="A3" s="40"/>
      <c r="R3" s="36"/>
      <c r="AA3" s="36"/>
    </row>
    <row r="4" spans="1:27">
      <c r="A4" s="40"/>
      <c r="R4" s="36"/>
      <c r="AA4" s="36"/>
    </row>
    <row r="5" spans="1:27">
      <c r="A5" s="40"/>
      <c r="R5" s="36"/>
      <c r="AA5" s="36"/>
    </row>
    <row r="6" spans="1:27">
      <c r="A6" s="40"/>
      <c r="R6" s="36"/>
      <c r="AA6" s="36"/>
    </row>
    <row r="7" spans="1:27">
      <c r="A7" s="40"/>
      <c r="R7" s="36"/>
      <c r="AA7" s="36"/>
    </row>
    <row r="8" spans="1:27">
      <c r="A8" s="40"/>
      <c r="R8" s="36"/>
      <c r="AA8" s="36"/>
    </row>
    <row r="9" spans="1:27">
      <c r="A9" s="40"/>
      <c r="R9" s="36"/>
      <c r="AA9" s="36"/>
    </row>
    <row r="10" spans="1:27">
      <c r="A10" s="40"/>
      <c r="R10" s="36"/>
      <c r="AA10" s="36"/>
    </row>
    <row r="11" spans="1:27">
      <c r="A11" s="40"/>
      <c r="R11" s="36"/>
      <c r="AA11" s="36"/>
    </row>
    <row r="12" spans="1:27">
      <c r="A12" s="40"/>
      <c r="R12" s="36"/>
      <c r="AA12" s="36"/>
    </row>
    <row r="13" spans="1:27">
      <c r="A13" s="40"/>
      <c r="R13" s="36"/>
      <c r="AA13" s="36"/>
    </row>
    <row r="14" spans="1:27">
      <c r="A14" s="40"/>
      <c r="R14" s="36"/>
      <c r="AA14" s="36"/>
    </row>
    <row r="15" spans="1:27">
      <c r="A15" s="40"/>
      <c r="R15" s="36"/>
      <c r="AA15" s="36"/>
    </row>
    <row r="16" spans="1:27">
      <c r="A16" s="40"/>
      <c r="R16" s="36"/>
      <c r="AA16" s="36"/>
    </row>
    <row r="17" spans="1:27">
      <c r="A17" s="40"/>
      <c r="R17" s="36"/>
      <c r="AA17" s="36"/>
    </row>
    <row r="18" spans="1:27">
      <c r="A18" s="40"/>
      <c r="R18" s="36"/>
      <c r="AA18" s="36"/>
    </row>
    <row r="19" spans="1:27">
      <c r="A19" s="40"/>
      <c r="R19" s="36"/>
      <c r="AA19" s="36"/>
    </row>
    <row r="20" spans="1:27">
      <c r="A20" s="40"/>
      <c r="R20" s="36"/>
      <c r="AA20" s="36"/>
    </row>
    <row r="21" spans="1:27">
      <c r="A21" s="40"/>
      <c r="R21" s="36"/>
      <c r="AA21" s="36"/>
    </row>
    <row r="22" spans="1:27">
      <c r="A22" s="40"/>
      <c r="R22" s="36"/>
      <c r="AA22" s="36"/>
    </row>
    <row r="23" spans="1:27">
      <c r="A23" s="40"/>
      <c r="R23" s="36"/>
      <c r="AA23" s="36"/>
    </row>
    <row r="24" spans="1:27">
      <c r="A24" s="40"/>
      <c r="R24" s="36"/>
      <c r="AA24" s="36"/>
    </row>
    <row r="25" spans="1:27">
      <c r="A25" s="40"/>
      <c r="R25" s="36"/>
      <c r="AA25" s="36"/>
    </row>
    <row r="26" spans="1:27">
      <c r="A26" s="40"/>
      <c r="R26" s="36"/>
      <c r="AA26" s="36"/>
    </row>
    <row r="27" spans="1:27">
      <c r="A27" s="40"/>
      <c r="R27" s="36"/>
      <c r="AA27" s="36"/>
    </row>
    <row r="28" spans="1:27">
      <c r="A28" s="40"/>
      <c r="R28" s="36"/>
      <c r="AA28" s="36"/>
    </row>
    <row r="29" spans="1:27">
      <c r="A29" s="40"/>
      <c r="R29" s="36"/>
      <c r="AA29" s="36"/>
    </row>
    <row r="30" spans="1:27">
      <c r="A30" s="40"/>
      <c r="R30" s="36"/>
      <c r="AA30" s="36"/>
    </row>
    <row r="31" spans="1:27" ht="16" thickBot="1">
      <c r="A31" s="41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7"/>
      <c r="AA31" s="36"/>
    </row>
    <row r="32" spans="1:27" ht="16" thickTop="1">
      <c r="S32" s="40"/>
      <c r="AA32" s="36"/>
    </row>
    <row r="33" spans="19:27">
      <c r="S33" s="40"/>
      <c r="AA33" s="36"/>
    </row>
    <row r="34" spans="19:27">
      <c r="S34" s="40"/>
      <c r="AA34" s="36"/>
    </row>
    <row r="35" spans="19:27">
      <c r="S35" s="40"/>
      <c r="AA35" s="36"/>
    </row>
    <row r="36" spans="19:27">
      <c r="S36" s="40"/>
      <c r="AA36" s="36"/>
    </row>
    <row r="37" spans="19:27">
      <c r="S37" s="40"/>
      <c r="AA37" s="36"/>
    </row>
    <row r="38" spans="19:27">
      <c r="S38" s="40"/>
      <c r="AA38" s="36"/>
    </row>
    <row r="39" spans="19:27">
      <c r="S39" s="40"/>
      <c r="AA39" s="36"/>
    </row>
    <row r="40" spans="19:27">
      <c r="S40" s="40"/>
      <c r="AA40" s="36"/>
    </row>
    <row r="41" spans="19:27">
      <c r="S41" s="40"/>
      <c r="AA41" s="36"/>
    </row>
    <row r="42" spans="19:27">
      <c r="S42" s="40"/>
      <c r="AA42" s="36"/>
    </row>
    <row r="43" spans="19:27">
      <c r="S43" s="40"/>
      <c r="AA43" s="36"/>
    </row>
    <row r="44" spans="19:27">
      <c r="S44" s="40"/>
      <c r="AA44" s="36"/>
    </row>
    <row r="45" spans="19:27">
      <c r="S45" s="40"/>
      <c r="AA45" s="36"/>
    </row>
    <row r="46" spans="19:27" ht="16" thickBot="1">
      <c r="S46" s="41"/>
      <c r="T46" s="38"/>
      <c r="U46" s="38"/>
      <c r="V46" s="38"/>
      <c r="W46" s="38"/>
      <c r="X46" s="38"/>
      <c r="Y46" s="38"/>
      <c r="Z46" s="38"/>
      <c r="AA46" s="37"/>
    </row>
    <row r="47" spans="19:27" ht="16" thickTop="1"/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F3F8A-909F-46D7-A3CC-585D637566B0}">
  <sheetPr codeName="工作表7">
    <tabColor theme="3" tint="0.39997558519241921"/>
  </sheetPr>
  <dimension ref="A1:J6"/>
  <sheetViews>
    <sheetView tabSelected="1" workbookViewId="0">
      <selection activeCell="S1" sqref="S1"/>
    </sheetView>
  </sheetViews>
  <sheetFormatPr baseColWidth="10" defaultColWidth="8.83203125" defaultRowHeight="15"/>
  <cols>
    <col min="3" max="3" width="8.1640625" bestFit="1" customWidth="1"/>
    <col min="4" max="5" width="17.83203125" bestFit="1" customWidth="1"/>
    <col min="6" max="6" width="12.83203125" bestFit="1" customWidth="1"/>
  </cols>
  <sheetData>
    <row r="1" spans="1:10" ht="18">
      <c r="A1" s="48" t="s">
        <v>2048</v>
      </c>
      <c r="B1" s="48" t="s">
        <v>2049</v>
      </c>
      <c r="C1" s="48" t="s">
        <v>2117</v>
      </c>
      <c r="D1" s="48" t="s">
        <v>2149</v>
      </c>
      <c r="E1" s="48" t="s">
        <v>2150</v>
      </c>
      <c r="F1" s="48" t="s">
        <v>2118</v>
      </c>
      <c r="G1" s="48" t="s">
        <v>6</v>
      </c>
      <c r="H1" s="48" t="s">
        <v>2120</v>
      </c>
      <c r="I1" s="48" t="s">
        <v>2121</v>
      </c>
      <c r="J1" s="48" t="s">
        <v>2119</v>
      </c>
    </row>
    <row r="2" spans="1:10" ht="18">
      <c r="A2" s="49">
        <v>2603</v>
      </c>
      <c r="B2" s="49" t="s">
        <v>692</v>
      </c>
      <c r="C2" s="49">
        <v>210.5</v>
      </c>
      <c r="D2" s="49">
        <v>5.9179999999999993</v>
      </c>
      <c r="E2" s="49">
        <v>13.032</v>
      </c>
      <c r="F2" s="49">
        <v>9.4749999999999996</v>
      </c>
      <c r="G2" s="54">
        <v>16.7</v>
      </c>
      <c r="H2" s="49">
        <v>98.83059999999999</v>
      </c>
      <c r="I2" s="54">
        <v>158.23249999999999</v>
      </c>
      <c r="J2" s="49">
        <v>217.6344</v>
      </c>
    </row>
    <row r="3" spans="1:10" ht="18">
      <c r="A3" s="49">
        <v>2634</v>
      </c>
      <c r="B3" s="49" t="s">
        <v>709</v>
      </c>
      <c r="C3" s="49">
        <v>52.9</v>
      </c>
      <c r="D3" s="49">
        <v>16.961999999999996</v>
      </c>
      <c r="E3" s="49">
        <v>26.348000000000003</v>
      </c>
      <c r="F3" s="49">
        <v>21.655000000000001</v>
      </c>
      <c r="G3" s="54">
        <v>2.36</v>
      </c>
      <c r="H3" s="49">
        <v>40.030319999999989</v>
      </c>
      <c r="I3" s="54">
        <v>51.105800000000002</v>
      </c>
      <c r="J3" s="49">
        <v>62.181280000000001</v>
      </c>
    </row>
    <row r="4" spans="1:10" ht="18">
      <c r="A4" s="49">
        <v>2606</v>
      </c>
      <c r="B4" s="49" t="s">
        <v>694</v>
      </c>
      <c r="C4" s="49">
        <v>58.8</v>
      </c>
      <c r="D4" s="49">
        <v>7.418000000000001</v>
      </c>
      <c r="E4" s="49">
        <v>26.410000000000004</v>
      </c>
      <c r="F4" s="49">
        <v>16.914000000000001</v>
      </c>
      <c r="G4" s="54">
        <v>3.24</v>
      </c>
      <c r="H4" s="49">
        <v>24.034320000000005</v>
      </c>
      <c r="I4" s="54">
        <v>54.80136000000001</v>
      </c>
      <c r="J4" s="49">
        <v>85.568400000000011</v>
      </c>
    </row>
    <row r="5" spans="1:10" ht="18">
      <c r="A5" s="49">
        <v>2609</v>
      </c>
      <c r="B5" s="49" t="s">
        <v>697</v>
      </c>
      <c r="C5" s="49">
        <v>71.5</v>
      </c>
      <c r="D5" s="49">
        <v>6.6280000000000001</v>
      </c>
      <c r="E5" s="49">
        <v>15.941999999999998</v>
      </c>
      <c r="F5" s="49">
        <v>11.285</v>
      </c>
      <c r="G5" s="54">
        <v>1.37</v>
      </c>
      <c r="H5" s="49">
        <v>9.0803600000000007</v>
      </c>
      <c r="I5" s="54">
        <v>15.460450000000002</v>
      </c>
      <c r="J5" s="49">
        <v>21.840540000000001</v>
      </c>
    </row>
    <row r="6" spans="1:10" ht="18">
      <c r="A6" s="49">
        <v>2637</v>
      </c>
      <c r="B6" s="49" t="s">
        <v>711</v>
      </c>
      <c r="C6" s="49">
        <v>77.7</v>
      </c>
      <c r="D6" s="49">
        <v>6.7</v>
      </c>
      <c r="E6" s="49">
        <v>15.172000000000001</v>
      </c>
      <c r="F6" s="49">
        <v>10.936</v>
      </c>
      <c r="G6" s="54">
        <v>4.38</v>
      </c>
      <c r="H6" s="49">
        <v>29.346</v>
      </c>
      <c r="I6" s="54">
        <v>47.899679999999996</v>
      </c>
      <c r="J6" s="49">
        <v>66.453360000000004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1A52B-629A-497A-9B53-79598CD3437F}">
  <sheetPr codeName="工作表26">
    <tabColor theme="3" tint="0.39997558519241921"/>
  </sheetPr>
  <dimension ref="A1:S1776"/>
  <sheetViews>
    <sheetView topLeftCell="A1520" workbookViewId="0">
      <selection activeCell="A1533" sqref="A1533"/>
    </sheetView>
  </sheetViews>
  <sheetFormatPr baseColWidth="10" defaultColWidth="8.83203125" defaultRowHeight="15"/>
  <cols>
    <col min="1" max="1" width="15.6640625" bestFit="1" customWidth="1"/>
    <col min="2" max="2" width="16.83203125" bestFit="1" customWidth="1"/>
  </cols>
  <sheetData>
    <row r="1" spans="1:19" ht="18">
      <c r="A1" s="48" t="s">
        <v>2048</v>
      </c>
      <c r="B1" s="48" t="s">
        <v>2049</v>
      </c>
      <c r="C1" s="48" t="s">
        <v>2054</v>
      </c>
      <c r="D1" s="48" t="s">
        <v>2055</v>
      </c>
      <c r="E1" s="48" t="s">
        <v>2056</v>
      </c>
      <c r="F1" s="48" t="s">
        <v>2057</v>
      </c>
      <c r="G1" s="48" t="s">
        <v>2058</v>
      </c>
      <c r="H1" s="48" t="s">
        <v>2059</v>
      </c>
      <c r="I1" s="48" t="s">
        <v>2060</v>
      </c>
      <c r="J1" s="48" t="s">
        <v>2061</v>
      </c>
      <c r="K1" s="48" t="s">
        <v>2062</v>
      </c>
      <c r="L1" s="48" t="s">
        <v>2063</v>
      </c>
      <c r="M1" s="48" t="s">
        <v>2064</v>
      </c>
      <c r="N1" s="48" t="s">
        <v>2065</v>
      </c>
      <c r="O1" s="48" t="s">
        <v>2066</v>
      </c>
      <c r="P1" s="48" t="s">
        <v>2067</v>
      </c>
      <c r="Q1" s="48" t="s">
        <v>2071</v>
      </c>
      <c r="R1" s="48" t="s">
        <v>2072</v>
      </c>
      <c r="S1" s="48" t="s">
        <v>2116</v>
      </c>
    </row>
    <row r="2" spans="1:19" ht="18">
      <c r="A2" s="49">
        <v>1101</v>
      </c>
      <c r="B2" s="49" t="s">
        <v>268</v>
      </c>
      <c r="C2" s="49">
        <v>15.96</v>
      </c>
      <c r="D2" s="49">
        <v>15.06</v>
      </c>
      <c r="E2" s="49">
        <v>18.68</v>
      </c>
      <c r="F2" s="49">
        <v>15.26</v>
      </c>
      <c r="G2" s="49">
        <v>13.94</v>
      </c>
      <c r="H2" s="49">
        <v>17.93</v>
      </c>
      <c r="I2" s="49">
        <v>18.28</v>
      </c>
      <c r="J2" s="49">
        <v>15.02</v>
      </c>
      <c r="K2" s="49">
        <v>15.34</v>
      </c>
      <c r="L2" s="49">
        <v>20.56</v>
      </c>
      <c r="M2" s="49">
        <v>19.920000000000002</v>
      </c>
      <c r="N2" s="49">
        <v>9.7799999999999994</v>
      </c>
      <c r="O2" s="49">
        <v>10.76</v>
      </c>
      <c r="P2" s="49">
        <v>10.29</v>
      </c>
      <c r="Q2" s="49">
        <v>14.08</v>
      </c>
      <c r="R2" s="49">
        <v>28.04</v>
      </c>
      <c r="S2" s="49">
        <v>29.53</v>
      </c>
    </row>
    <row r="3" spans="1:19" ht="18">
      <c r="A3" s="49">
        <v>1102</v>
      </c>
      <c r="B3" s="49" t="s">
        <v>269</v>
      </c>
      <c r="C3" s="49">
        <v>13.86</v>
      </c>
      <c r="D3" s="49">
        <v>9.06</v>
      </c>
      <c r="E3" s="49">
        <v>14.6</v>
      </c>
      <c r="F3" s="49">
        <v>15.21</v>
      </c>
      <c r="G3" s="49">
        <v>9.9700000000000006</v>
      </c>
      <c r="H3" s="49">
        <v>17.96</v>
      </c>
      <c r="I3" s="49">
        <v>20.98</v>
      </c>
      <c r="J3" s="49">
        <v>14.18</v>
      </c>
      <c r="K3" s="49">
        <v>13.98</v>
      </c>
      <c r="L3" s="49">
        <v>31.75</v>
      </c>
      <c r="M3" s="49">
        <v>17.63</v>
      </c>
      <c r="N3" s="49">
        <v>10.38</v>
      </c>
      <c r="O3" s="49">
        <v>10.56</v>
      </c>
      <c r="P3" s="49">
        <v>10.119999999999999</v>
      </c>
      <c r="Q3" s="49">
        <v>10.16</v>
      </c>
      <c r="R3" s="49">
        <v>9.4499999999999993</v>
      </c>
      <c r="S3" s="49">
        <v>14.44</v>
      </c>
    </row>
    <row r="4" spans="1:19" ht="18">
      <c r="A4" s="49">
        <v>1103</v>
      </c>
      <c r="B4" s="49" t="s">
        <v>270</v>
      </c>
      <c r="C4" s="49">
        <v>18.62</v>
      </c>
      <c r="D4" s="49">
        <v>13.86</v>
      </c>
      <c r="E4" s="49">
        <v>40.22</v>
      </c>
      <c r="F4" s="49">
        <v>71.67</v>
      </c>
      <c r="G4" s="49">
        <v>28.9</v>
      </c>
      <c r="H4" s="49">
        <v>0</v>
      </c>
      <c r="I4" s="49">
        <v>52.33</v>
      </c>
      <c r="J4" s="49">
        <v>7.69</v>
      </c>
      <c r="K4" s="49">
        <v>0</v>
      </c>
      <c r="L4" s="49">
        <v>11.19</v>
      </c>
      <c r="M4" s="49">
        <v>83.44</v>
      </c>
      <c r="N4" s="49">
        <v>4.8099999999999996</v>
      </c>
      <c r="O4" s="49">
        <v>11.06</v>
      </c>
      <c r="P4" s="49">
        <v>35.94</v>
      </c>
      <c r="Q4" s="49">
        <v>7.31</v>
      </c>
      <c r="R4" s="49">
        <v>0</v>
      </c>
      <c r="S4" s="49">
        <v>73.27</v>
      </c>
    </row>
    <row r="5" spans="1:19" ht="18">
      <c r="A5" s="49">
        <v>1104</v>
      </c>
      <c r="B5" s="49" t="s">
        <v>272</v>
      </c>
      <c r="C5" s="49">
        <v>22.02</v>
      </c>
      <c r="D5" s="49">
        <v>17.47</v>
      </c>
      <c r="E5" s="49">
        <v>70</v>
      </c>
      <c r="F5" s="49">
        <v>7.64</v>
      </c>
      <c r="G5" s="49">
        <v>17.05</v>
      </c>
      <c r="H5" s="49">
        <v>13.33</v>
      </c>
      <c r="I5" s="49">
        <v>19.48</v>
      </c>
      <c r="J5" s="49">
        <v>11.32</v>
      </c>
      <c r="K5" s="49">
        <v>11.19</v>
      </c>
      <c r="L5" s="49">
        <v>9.27</v>
      </c>
      <c r="M5" s="49">
        <v>9.94</v>
      </c>
      <c r="N5" s="49">
        <v>10.8</v>
      </c>
      <c r="O5" s="49">
        <v>12.81</v>
      </c>
      <c r="P5" s="49">
        <v>11.6</v>
      </c>
      <c r="Q5" s="49">
        <v>12.78</v>
      </c>
      <c r="R5" s="49">
        <v>8.07</v>
      </c>
      <c r="S5" s="49">
        <v>8.8699999999999992</v>
      </c>
    </row>
    <row r="6" spans="1:19" ht="18">
      <c r="A6" s="49">
        <v>1108</v>
      </c>
      <c r="B6" s="49" t="s">
        <v>273</v>
      </c>
      <c r="C6" s="49">
        <v>73.67</v>
      </c>
      <c r="D6" s="49">
        <v>17.14</v>
      </c>
      <c r="E6" s="49">
        <v>0</v>
      </c>
      <c r="F6" s="49">
        <v>0</v>
      </c>
      <c r="G6" s="49">
        <v>0</v>
      </c>
      <c r="H6" s="49">
        <v>15.18</v>
      </c>
      <c r="I6" s="49">
        <v>18.239999999999998</v>
      </c>
      <c r="J6" s="49">
        <v>13.21</v>
      </c>
      <c r="K6" s="49">
        <v>8.49</v>
      </c>
      <c r="L6" s="49">
        <v>10.99</v>
      </c>
      <c r="M6" s="49">
        <v>52.31</v>
      </c>
      <c r="N6" s="49">
        <v>0</v>
      </c>
      <c r="O6" s="49">
        <v>0</v>
      </c>
      <c r="P6" s="49">
        <v>13.8</v>
      </c>
      <c r="Q6" s="49">
        <v>20.52</v>
      </c>
      <c r="R6" s="49">
        <v>10.97</v>
      </c>
      <c r="S6" s="49">
        <v>8.59</v>
      </c>
    </row>
    <row r="7" spans="1:19" ht="18">
      <c r="A7" s="49">
        <v>1109</v>
      </c>
      <c r="B7" s="49" t="s">
        <v>274</v>
      </c>
      <c r="C7" s="49">
        <v>17.79</v>
      </c>
      <c r="D7" s="49">
        <v>18.2</v>
      </c>
      <c r="E7" s="49">
        <v>36.21</v>
      </c>
      <c r="F7" s="49">
        <v>0</v>
      </c>
      <c r="G7" s="49">
        <v>0</v>
      </c>
      <c r="H7" s="49">
        <v>50.71</v>
      </c>
      <c r="I7" s="49">
        <v>24.9</v>
      </c>
      <c r="J7" s="49">
        <v>14.83</v>
      </c>
      <c r="K7" s="49">
        <v>251.25</v>
      </c>
      <c r="L7" s="49">
        <v>27.78</v>
      </c>
      <c r="M7" s="49">
        <v>13.65</v>
      </c>
      <c r="N7" s="49">
        <v>6.51</v>
      </c>
      <c r="O7" s="49">
        <v>7.03</v>
      </c>
      <c r="P7" s="49">
        <v>7.49</v>
      </c>
      <c r="Q7" s="49">
        <v>7.35</v>
      </c>
      <c r="R7" s="49">
        <v>8.99</v>
      </c>
      <c r="S7" s="49">
        <v>10.74</v>
      </c>
    </row>
    <row r="8" spans="1:19" ht="18">
      <c r="A8" s="49">
        <v>1110</v>
      </c>
      <c r="B8" s="49" t="s">
        <v>275</v>
      </c>
      <c r="C8" s="49">
        <v>385</v>
      </c>
      <c r="D8" s="49">
        <v>23.59</v>
      </c>
      <c r="E8" s="49">
        <v>126.11</v>
      </c>
      <c r="F8" s="49">
        <v>0</v>
      </c>
      <c r="G8" s="49">
        <v>505</v>
      </c>
      <c r="H8" s="49">
        <v>67.14</v>
      </c>
      <c r="I8" s="49">
        <v>109.38</v>
      </c>
      <c r="J8" s="49">
        <v>77.27</v>
      </c>
      <c r="K8" s="49">
        <v>92.94</v>
      </c>
      <c r="L8" s="49">
        <v>61.54</v>
      </c>
      <c r="M8" s="49">
        <v>0</v>
      </c>
      <c r="N8" s="49">
        <v>67.8</v>
      </c>
      <c r="O8" s="49">
        <v>872.5</v>
      </c>
      <c r="P8" s="49">
        <v>0</v>
      </c>
      <c r="Q8" s="49">
        <v>84.38</v>
      </c>
      <c r="R8" s="49">
        <v>170</v>
      </c>
      <c r="S8" s="49">
        <v>40</v>
      </c>
    </row>
    <row r="9" spans="1:19" ht="18">
      <c r="A9" s="49">
        <v>1201</v>
      </c>
      <c r="B9" s="49" t="s">
        <v>276</v>
      </c>
      <c r="C9" s="49">
        <v>22.5</v>
      </c>
      <c r="D9" s="49">
        <v>20.75</v>
      </c>
      <c r="E9" s="49">
        <v>34.880000000000003</v>
      </c>
      <c r="F9" s="49">
        <v>26.71</v>
      </c>
      <c r="G9" s="49">
        <v>9.9499999999999993</v>
      </c>
      <c r="H9" s="49">
        <v>23.17</v>
      </c>
      <c r="I9" s="49">
        <v>28.63</v>
      </c>
      <c r="J9" s="49">
        <v>30.49</v>
      </c>
      <c r="K9" s="49">
        <v>0</v>
      </c>
      <c r="L9" s="49">
        <v>0</v>
      </c>
      <c r="M9" s="49">
        <v>0</v>
      </c>
      <c r="N9" s="49">
        <v>7.04</v>
      </c>
      <c r="O9" s="49">
        <v>10.1</v>
      </c>
      <c r="P9" s="49">
        <v>29.73</v>
      </c>
      <c r="Q9" s="49">
        <v>18.86</v>
      </c>
      <c r="R9" s="49">
        <v>21.65</v>
      </c>
      <c r="S9" s="49">
        <v>68.040000000000006</v>
      </c>
    </row>
    <row r="10" spans="1:19" ht="18">
      <c r="A10" s="49">
        <v>1203</v>
      </c>
      <c r="B10" s="49" t="s">
        <v>277</v>
      </c>
      <c r="C10" s="49">
        <v>0</v>
      </c>
      <c r="D10" s="49">
        <v>48</v>
      </c>
      <c r="E10" s="49">
        <v>5.03</v>
      </c>
      <c r="F10" s="49">
        <v>350</v>
      </c>
      <c r="G10" s="49">
        <v>31.53</v>
      </c>
      <c r="H10" s="49">
        <v>502.5</v>
      </c>
      <c r="I10" s="49">
        <v>20.41</v>
      </c>
      <c r="J10" s="49">
        <v>28.33</v>
      </c>
      <c r="K10" s="49">
        <v>14.05</v>
      </c>
      <c r="L10" s="49">
        <v>21.9</v>
      </c>
      <c r="M10" s="49">
        <v>12.54</v>
      </c>
      <c r="N10" s="49">
        <v>14.36</v>
      </c>
      <c r="O10" s="49">
        <v>14.7</v>
      </c>
      <c r="P10" s="49">
        <v>18.77</v>
      </c>
      <c r="Q10" s="49">
        <v>17.79</v>
      </c>
      <c r="R10" s="49">
        <v>13.27</v>
      </c>
      <c r="S10" s="49">
        <v>33.08</v>
      </c>
    </row>
    <row r="11" spans="1:19" ht="18">
      <c r="A11" s="49">
        <v>1210</v>
      </c>
      <c r="B11" s="49" t="s">
        <v>278</v>
      </c>
      <c r="C11" s="49">
        <v>14.46</v>
      </c>
      <c r="D11" s="49">
        <v>8.9700000000000006</v>
      </c>
      <c r="E11" s="49">
        <v>16.45</v>
      </c>
      <c r="F11" s="49">
        <v>18.7</v>
      </c>
      <c r="G11" s="49">
        <v>12.68</v>
      </c>
      <c r="H11" s="49">
        <v>15.47</v>
      </c>
      <c r="I11" s="49">
        <v>22.18</v>
      </c>
      <c r="J11" s="49">
        <v>8.01</v>
      </c>
      <c r="K11" s="49">
        <v>23.79</v>
      </c>
      <c r="L11" s="49">
        <v>12.54</v>
      </c>
      <c r="M11" s="49">
        <v>11.49</v>
      </c>
      <c r="N11" s="49">
        <v>10.84</v>
      </c>
      <c r="O11" s="49">
        <v>15.05</v>
      </c>
      <c r="P11" s="49">
        <v>14.35</v>
      </c>
      <c r="Q11" s="49">
        <v>18.61</v>
      </c>
      <c r="R11" s="49">
        <v>19.47</v>
      </c>
      <c r="S11" s="49">
        <v>13.3</v>
      </c>
    </row>
    <row r="12" spans="1:19" ht="18">
      <c r="A12" s="49">
        <v>1213</v>
      </c>
      <c r="B12" s="49" t="s">
        <v>279</v>
      </c>
      <c r="C12" s="49">
        <v>527.5</v>
      </c>
      <c r="D12" s="49">
        <v>78.56</v>
      </c>
      <c r="E12" s="49">
        <v>0</v>
      </c>
      <c r="F12" s="49">
        <v>0</v>
      </c>
      <c r="G12" s="49">
        <v>131.43</v>
      </c>
      <c r="H12" s="49">
        <v>61.82</v>
      </c>
      <c r="I12" s="49">
        <v>68.39</v>
      </c>
      <c r="J12" s="49">
        <v>106.25</v>
      </c>
      <c r="K12" s="49">
        <v>34.43</v>
      </c>
      <c r="L12" s="49">
        <v>152.72999999999999</v>
      </c>
      <c r="M12" s="49">
        <v>111.43</v>
      </c>
      <c r="N12" s="49">
        <v>0</v>
      </c>
      <c r="O12" s="49">
        <v>0</v>
      </c>
      <c r="P12" s="49">
        <v>0</v>
      </c>
      <c r="Q12" s="49">
        <v>0</v>
      </c>
      <c r="R12" s="49">
        <v>0</v>
      </c>
      <c r="S12" s="49">
        <v>0</v>
      </c>
    </row>
    <row r="13" spans="1:19" ht="18">
      <c r="A13" s="49">
        <v>1215</v>
      </c>
      <c r="B13" s="49" t="s">
        <v>280</v>
      </c>
      <c r="C13" s="49">
        <v>15.74</v>
      </c>
      <c r="D13" s="49">
        <v>8.3000000000000007</v>
      </c>
      <c r="E13" s="49">
        <v>19.68</v>
      </c>
      <c r="F13" s="49">
        <v>12.52</v>
      </c>
      <c r="G13" s="49">
        <v>20</v>
      </c>
      <c r="H13" s="49">
        <v>13.86</v>
      </c>
      <c r="I13" s="49">
        <v>10.82</v>
      </c>
      <c r="J13" s="49">
        <v>8.15</v>
      </c>
      <c r="K13" s="49">
        <v>8.7799999999999994</v>
      </c>
      <c r="L13" s="49">
        <v>11.27</v>
      </c>
      <c r="M13" s="49">
        <v>11.78</v>
      </c>
      <c r="N13" s="49">
        <v>13.93</v>
      </c>
      <c r="O13" s="49">
        <v>14.15</v>
      </c>
      <c r="P13" s="49">
        <v>11</v>
      </c>
      <c r="Q13" s="49">
        <v>14.58</v>
      </c>
      <c r="R13" s="49">
        <v>15.54</v>
      </c>
      <c r="S13" s="49">
        <v>13.93</v>
      </c>
    </row>
    <row r="14" spans="1:19" ht="18">
      <c r="A14" s="49">
        <v>1216</v>
      </c>
      <c r="B14" s="49" t="s">
        <v>281</v>
      </c>
      <c r="C14" s="49">
        <v>19</v>
      </c>
      <c r="D14" s="49">
        <v>12.79</v>
      </c>
      <c r="E14" s="49">
        <v>26.13</v>
      </c>
      <c r="F14" s="49">
        <v>17.579999999999998</v>
      </c>
      <c r="G14" s="49">
        <v>22.93</v>
      </c>
      <c r="H14" s="49">
        <v>22.39</v>
      </c>
      <c r="I14" s="49">
        <v>20.420000000000002</v>
      </c>
      <c r="J14" s="49">
        <v>24.98</v>
      </c>
      <c r="K14" s="49">
        <v>21.53</v>
      </c>
      <c r="L14" s="49">
        <v>20.54</v>
      </c>
      <c r="M14" s="49">
        <v>23.16</v>
      </c>
      <c r="N14" s="49">
        <v>9.9700000000000006</v>
      </c>
      <c r="O14" s="49">
        <v>22.42</v>
      </c>
      <c r="P14" s="49">
        <v>18.440000000000001</v>
      </c>
      <c r="Q14" s="49">
        <v>19.43</v>
      </c>
      <c r="R14" s="49">
        <v>21.01</v>
      </c>
      <c r="S14" s="49">
        <v>21.91</v>
      </c>
    </row>
    <row r="15" spans="1:19" ht="18">
      <c r="A15" s="49">
        <v>1217</v>
      </c>
      <c r="B15" s="49" t="s">
        <v>282</v>
      </c>
      <c r="C15" s="49">
        <v>0</v>
      </c>
      <c r="D15" s="49">
        <v>0</v>
      </c>
      <c r="E15" s="49">
        <v>32.07</v>
      </c>
      <c r="F15" s="49">
        <v>89.06</v>
      </c>
      <c r="G15" s="49">
        <v>101</v>
      </c>
      <c r="H15" s="49">
        <v>105</v>
      </c>
      <c r="I15" s="49">
        <v>0</v>
      </c>
      <c r="J15" s="49">
        <v>0</v>
      </c>
      <c r="K15" s="49">
        <v>99.78</v>
      </c>
      <c r="L15" s="49">
        <v>0</v>
      </c>
      <c r="M15" s="49">
        <v>22.03</v>
      </c>
      <c r="N15" s="49">
        <v>17.13</v>
      </c>
      <c r="O15" s="49">
        <v>44.44</v>
      </c>
      <c r="P15" s="49">
        <v>24.29</v>
      </c>
      <c r="Q15" s="49">
        <v>21.27</v>
      </c>
      <c r="R15" s="49">
        <v>23.78</v>
      </c>
      <c r="S15" s="49">
        <v>36.520000000000003</v>
      </c>
    </row>
    <row r="16" spans="1:19" ht="18">
      <c r="A16" s="49">
        <v>1218</v>
      </c>
      <c r="B16" s="49" t="s">
        <v>283</v>
      </c>
      <c r="C16" s="49">
        <v>26.66</v>
      </c>
      <c r="D16" s="49">
        <v>22.47</v>
      </c>
      <c r="E16" s="49">
        <v>0</v>
      </c>
      <c r="F16" s="49">
        <v>32.46</v>
      </c>
      <c r="G16" s="49">
        <v>16.73</v>
      </c>
      <c r="H16" s="49">
        <v>66.459999999999994</v>
      </c>
      <c r="I16" s="49">
        <v>0</v>
      </c>
      <c r="J16" s="49">
        <v>0</v>
      </c>
      <c r="K16" s="49">
        <v>57.38</v>
      </c>
      <c r="L16" s="49">
        <v>15.85</v>
      </c>
      <c r="M16" s="49">
        <v>38.409999999999997</v>
      </c>
      <c r="N16" s="49">
        <v>20.88</v>
      </c>
      <c r="O16" s="49">
        <v>19.73</v>
      </c>
      <c r="P16" s="49">
        <v>17.47</v>
      </c>
      <c r="Q16" s="49">
        <v>22.2</v>
      </c>
      <c r="R16" s="49">
        <v>27.35</v>
      </c>
      <c r="S16" s="49">
        <v>2.1</v>
      </c>
    </row>
    <row r="17" spans="1:19" ht="18">
      <c r="A17" s="49">
        <v>1219</v>
      </c>
      <c r="B17" s="49" t="s">
        <v>284</v>
      </c>
      <c r="C17" s="49">
        <v>26.32</v>
      </c>
      <c r="D17" s="49">
        <v>10.15</v>
      </c>
      <c r="E17" s="49">
        <v>77.94</v>
      </c>
      <c r="F17" s="49">
        <v>22.38</v>
      </c>
      <c r="G17" s="49">
        <v>6.5</v>
      </c>
      <c r="H17" s="49">
        <v>0</v>
      </c>
      <c r="I17" s="49">
        <v>0</v>
      </c>
      <c r="J17" s="49">
        <v>40.130000000000003</v>
      </c>
      <c r="K17" s="49">
        <v>37.56</v>
      </c>
      <c r="L17" s="49">
        <v>28.91</v>
      </c>
      <c r="M17" s="49">
        <v>61.55</v>
      </c>
      <c r="N17" s="49">
        <v>107.94</v>
      </c>
      <c r="O17" s="49">
        <v>68.7</v>
      </c>
      <c r="P17" s="49">
        <v>11.54</v>
      </c>
      <c r="Q17" s="49">
        <v>16.5</v>
      </c>
      <c r="R17" s="49">
        <v>16.16</v>
      </c>
      <c r="S17" s="49">
        <v>25.73</v>
      </c>
    </row>
    <row r="18" spans="1:19" ht="18">
      <c r="A18" s="49">
        <v>1220</v>
      </c>
      <c r="B18" s="49" t="s">
        <v>285</v>
      </c>
      <c r="C18" s="49">
        <v>0</v>
      </c>
      <c r="D18" s="49">
        <v>0</v>
      </c>
      <c r="E18" s="49">
        <v>0</v>
      </c>
      <c r="F18" s="49">
        <v>31.93</v>
      </c>
      <c r="G18" s="49">
        <v>11.47</v>
      </c>
      <c r="H18" s="49">
        <v>13.17</v>
      </c>
      <c r="I18" s="49">
        <v>20.79</v>
      </c>
      <c r="J18" s="49">
        <v>34.83</v>
      </c>
      <c r="K18" s="49">
        <v>22.87</v>
      </c>
      <c r="L18" s="49">
        <v>11.98</v>
      </c>
      <c r="M18" s="49">
        <v>17.93</v>
      </c>
      <c r="N18" s="49">
        <v>22.71</v>
      </c>
      <c r="O18" s="49">
        <v>18.84</v>
      </c>
      <c r="P18" s="49">
        <v>13.13</v>
      </c>
      <c r="Q18" s="49">
        <v>13.53</v>
      </c>
      <c r="R18" s="49">
        <v>42.64</v>
      </c>
      <c r="S18" s="49">
        <v>32.61</v>
      </c>
    </row>
    <row r="19" spans="1:19" ht="18">
      <c r="A19" s="49">
        <v>1225</v>
      </c>
      <c r="B19" s="49" t="s">
        <v>286</v>
      </c>
      <c r="C19" s="49">
        <v>18.059999999999999</v>
      </c>
      <c r="D19" s="49">
        <v>7.42</v>
      </c>
      <c r="E19" s="49">
        <v>0</v>
      </c>
      <c r="F19" s="49">
        <v>17.64</v>
      </c>
      <c r="G19" s="49">
        <v>16.96</v>
      </c>
      <c r="H19" s="49">
        <v>33.21</v>
      </c>
      <c r="I19" s="49">
        <v>0</v>
      </c>
      <c r="J19" s="49">
        <v>2140</v>
      </c>
      <c r="K19" s="49">
        <v>34.200000000000003</v>
      </c>
      <c r="L19" s="49">
        <v>14.24</v>
      </c>
      <c r="M19" s="49">
        <v>41.05</v>
      </c>
      <c r="N19" s="49">
        <v>96.05</v>
      </c>
      <c r="O19" s="49">
        <v>23.29</v>
      </c>
      <c r="P19" s="49">
        <v>25.3</v>
      </c>
      <c r="Q19" s="49">
        <v>24.06</v>
      </c>
      <c r="R19" s="49">
        <v>27.22</v>
      </c>
      <c r="S19" s="49">
        <v>47.98</v>
      </c>
    </row>
    <row r="20" spans="1:19" ht="18">
      <c r="A20" s="49">
        <v>1227</v>
      </c>
      <c r="B20" s="49" t="s">
        <v>287</v>
      </c>
      <c r="C20" s="49">
        <v>19.3</v>
      </c>
      <c r="D20" s="49">
        <v>9.24</v>
      </c>
      <c r="E20" s="49">
        <v>19.22</v>
      </c>
      <c r="F20" s="49">
        <v>15.73</v>
      </c>
      <c r="G20" s="49">
        <v>16.97</v>
      </c>
      <c r="H20" s="49">
        <v>21.43</v>
      </c>
      <c r="I20" s="49">
        <v>29.25</v>
      </c>
      <c r="J20" s="49">
        <v>25.18</v>
      </c>
      <c r="K20" s="49">
        <v>24.43</v>
      </c>
      <c r="L20" s="49">
        <v>26.78</v>
      </c>
      <c r="M20" s="49">
        <v>30.45</v>
      </c>
      <c r="N20" s="49">
        <v>15.88</v>
      </c>
      <c r="O20" s="49">
        <v>19.66</v>
      </c>
      <c r="P20" s="49">
        <v>15.84</v>
      </c>
      <c r="Q20" s="49">
        <v>18.18</v>
      </c>
      <c r="R20" s="49">
        <v>24.75</v>
      </c>
      <c r="S20" s="49">
        <v>29.92</v>
      </c>
    </row>
    <row r="21" spans="1:19" ht="18">
      <c r="A21" s="49">
        <v>1229</v>
      </c>
      <c r="B21" s="49" t="s">
        <v>288</v>
      </c>
      <c r="C21" s="49">
        <v>9.39</v>
      </c>
      <c r="D21" s="49">
        <v>7.63</v>
      </c>
      <c r="E21" s="49">
        <v>71.59</v>
      </c>
      <c r="F21" s="49">
        <v>10.11</v>
      </c>
      <c r="G21" s="49">
        <v>7.73</v>
      </c>
      <c r="H21" s="49">
        <v>11.02</v>
      </c>
      <c r="I21" s="49">
        <v>11.69</v>
      </c>
      <c r="J21" s="49">
        <v>9.1300000000000008</v>
      </c>
      <c r="K21" s="49">
        <v>11.38</v>
      </c>
      <c r="L21" s="49">
        <v>11.54</v>
      </c>
      <c r="M21" s="49">
        <v>12.49</v>
      </c>
      <c r="N21" s="49">
        <v>11.96</v>
      </c>
      <c r="O21" s="49">
        <v>14.21</v>
      </c>
      <c r="P21" s="49">
        <v>20.190000000000001</v>
      </c>
      <c r="Q21" s="49">
        <v>17.59</v>
      </c>
      <c r="R21" s="49">
        <v>19.8</v>
      </c>
      <c r="S21" s="49">
        <v>26.36</v>
      </c>
    </row>
    <row r="22" spans="1:19" ht="18">
      <c r="A22" s="49">
        <v>1231</v>
      </c>
      <c r="B22" s="49" t="s">
        <v>289</v>
      </c>
      <c r="C22" s="49">
        <v>13.8</v>
      </c>
      <c r="D22" s="49">
        <v>12.65</v>
      </c>
      <c r="E22" s="49">
        <v>12.09</v>
      </c>
      <c r="F22" s="49">
        <v>14.05</v>
      </c>
      <c r="G22" s="49">
        <v>11</v>
      </c>
      <c r="H22" s="49">
        <v>12.32</v>
      </c>
      <c r="I22" s="49">
        <v>17.13</v>
      </c>
      <c r="J22" s="49">
        <v>21.5</v>
      </c>
      <c r="K22" s="49">
        <v>11.21</v>
      </c>
      <c r="L22" s="49">
        <v>11.19</v>
      </c>
      <c r="M22" s="49">
        <v>12.65</v>
      </c>
      <c r="N22" s="49">
        <v>12.23</v>
      </c>
      <c r="O22" s="49">
        <v>15.16</v>
      </c>
      <c r="P22" s="49">
        <v>13.2</v>
      </c>
      <c r="Q22" s="49">
        <v>17.59</v>
      </c>
      <c r="R22" s="49">
        <v>19.100000000000001</v>
      </c>
      <c r="S22" s="49">
        <v>28.38</v>
      </c>
    </row>
    <row r="23" spans="1:19" ht="18">
      <c r="A23" s="49">
        <v>1232</v>
      </c>
      <c r="B23" s="49" t="s">
        <v>290</v>
      </c>
      <c r="C23" s="49">
        <v>10.72</v>
      </c>
      <c r="D23" s="49">
        <v>5.9</v>
      </c>
      <c r="E23" s="49">
        <v>13.32</v>
      </c>
      <c r="F23" s="49">
        <v>12.07</v>
      </c>
      <c r="G23" s="49">
        <v>12.58</v>
      </c>
      <c r="H23" s="49">
        <v>15.22</v>
      </c>
      <c r="I23" s="49">
        <v>19.100000000000001</v>
      </c>
      <c r="J23" s="49">
        <v>14.13</v>
      </c>
      <c r="K23" s="49">
        <v>10.95</v>
      </c>
      <c r="L23" s="49">
        <v>15.78</v>
      </c>
      <c r="M23" s="49">
        <v>16.7</v>
      </c>
      <c r="N23" s="49">
        <v>18.77</v>
      </c>
      <c r="O23" s="49">
        <v>18.91</v>
      </c>
      <c r="P23" s="49">
        <v>20.74</v>
      </c>
      <c r="Q23" s="49">
        <v>19.239999999999998</v>
      </c>
      <c r="R23" s="49">
        <v>16.989999999999998</v>
      </c>
      <c r="S23" s="49">
        <v>20.3</v>
      </c>
    </row>
    <row r="24" spans="1:19" ht="18">
      <c r="A24" s="49">
        <v>1233</v>
      </c>
      <c r="B24" s="49" t="s">
        <v>291</v>
      </c>
      <c r="C24" s="49">
        <v>19.36</v>
      </c>
      <c r="D24" s="49">
        <v>15.39</v>
      </c>
      <c r="E24" s="49">
        <v>19.510000000000002</v>
      </c>
      <c r="F24" s="49">
        <v>21.09</v>
      </c>
      <c r="G24" s="49">
        <v>16.82</v>
      </c>
      <c r="H24" s="49">
        <v>19.239999999999998</v>
      </c>
      <c r="I24" s="49">
        <v>19.98</v>
      </c>
      <c r="J24" s="49">
        <v>18.559999999999999</v>
      </c>
      <c r="K24" s="49">
        <v>17.670000000000002</v>
      </c>
      <c r="L24" s="49">
        <v>17.010000000000002</v>
      </c>
      <c r="M24" s="49">
        <v>18.12</v>
      </c>
      <c r="N24" s="49">
        <v>18.84</v>
      </c>
      <c r="O24" s="49">
        <v>23.02</v>
      </c>
      <c r="P24" s="49">
        <v>47.5</v>
      </c>
      <c r="Q24" s="49">
        <v>75.33</v>
      </c>
      <c r="R24" s="49">
        <v>58.91</v>
      </c>
      <c r="S24" s="49">
        <v>30.3</v>
      </c>
    </row>
    <row r="25" spans="1:19" ht="18">
      <c r="A25" s="49">
        <v>1234</v>
      </c>
      <c r="B25" s="49" t="s">
        <v>292</v>
      </c>
      <c r="C25" s="49">
        <v>28.81</v>
      </c>
      <c r="D25" s="49">
        <v>51.95</v>
      </c>
      <c r="E25" s="49">
        <v>31.58</v>
      </c>
      <c r="F25" s="49">
        <v>45.24</v>
      </c>
      <c r="G25" s="49">
        <v>37.06</v>
      </c>
      <c r="H25" s="49">
        <v>52.81</v>
      </c>
      <c r="I25" s="49">
        <v>1.86</v>
      </c>
      <c r="J25" s="49">
        <v>18.899999999999999</v>
      </c>
      <c r="K25" s="49">
        <v>19.47</v>
      </c>
      <c r="L25" s="49">
        <v>12.33</v>
      </c>
      <c r="M25" s="49">
        <v>22.63</v>
      </c>
      <c r="N25" s="49">
        <v>18.04</v>
      </c>
      <c r="O25" s="49">
        <v>16.190000000000001</v>
      </c>
      <c r="P25" s="49">
        <v>15.05</v>
      </c>
      <c r="Q25" s="49">
        <v>20.28</v>
      </c>
      <c r="R25" s="49">
        <v>13.76</v>
      </c>
      <c r="S25" s="49">
        <v>16.88</v>
      </c>
    </row>
    <row r="26" spans="1:19" ht="18">
      <c r="A26" s="49">
        <v>1235</v>
      </c>
      <c r="B26" s="49" t="s">
        <v>293</v>
      </c>
      <c r="C26" s="49">
        <v>25.23</v>
      </c>
      <c r="D26" s="49">
        <v>16.989999999999998</v>
      </c>
      <c r="E26" s="49">
        <v>0</v>
      </c>
      <c r="F26" s="49">
        <v>45.43</v>
      </c>
      <c r="G26" s="49">
        <v>119.74</v>
      </c>
      <c r="H26" s="49">
        <v>80.650000000000006</v>
      </c>
      <c r="I26" s="49">
        <v>0</v>
      </c>
      <c r="J26" s="49">
        <v>11.17</v>
      </c>
      <c r="K26" s="49">
        <v>0</v>
      </c>
      <c r="L26" s="49">
        <v>5.98</v>
      </c>
      <c r="M26" s="49">
        <v>8.4700000000000006</v>
      </c>
      <c r="N26" s="49">
        <v>9.5500000000000007</v>
      </c>
      <c r="O26" s="49">
        <v>357.5</v>
      </c>
      <c r="P26" s="49">
        <v>32.950000000000003</v>
      </c>
      <c r="Q26" s="49">
        <v>60.69</v>
      </c>
      <c r="R26" s="49">
        <v>51.04</v>
      </c>
      <c r="S26" s="49">
        <v>48.63</v>
      </c>
    </row>
    <row r="27" spans="1:19" ht="18">
      <c r="A27" s="49">
        <v>1236</v>
      </c>
      <c r="B27" s="49" t="s">
        <v>294</v>
      </c>
      <c r="C27" s="49">
        <v>13.26</v>
      </c>
      <c r="D27" s="49">
        <v>7.32</v>
      </c>
      <c r="E27" s="49">
        <v>12.07</v>
      </c>
      <c r="F27" s="49">
        <v>12.78</v>
      </c>
      <c r="G27" s="49">
        <v>17.5</v>
      </c>
      <c r="H27" s="49">
        <v>21.08</v>
      </c>
      <c r="I27" s="49">
        <v>15.47</v>
      </c>
      <c r="J27" s="49">
        <v>12.4</v>
      </c>
      <c r="K27" s="49">
        <v>24.16</v>
      </c>
      <c r="L27" s="49">
        <v>38.33</v>
      </c>
      <c r="M27" s="49">
        <v>47.03</v>
      </c>
      <c r="N27" s="49">
        <v>0</v>
      </c>
      <c r="O27" s="49">
        <v>85.63</v>
      </c>
      <c r="P27" s="49">
        <v>47.33</v>
      </c>
      <c r="Q27" s="49">
        <v>0</v>
      </c>
      <c r="R27" s="49">
        <v>6.1</v>
      </c>
      <c r="S27" s="49">
        <v>55.47</v>
      </c>
    </row>
    <row r="28" spans="1:19" ht="18">
      <c r="A28" s="49">
        <v>1240</v>
      </c>
      <c r="B28" s="49" t="s">
        <v>1240</v>
      </c>
      <c r="C28" s="49">
        <v>0</v>
      </c>
      <c r="D28" s="49">
        <v>0</v>
      </c>
      <c r="E28" s="49">
        <v>0</v>
      </c>
      <c r="F28" s="49">
        <v>0</v>
      </c>
      <c r="G28" s="49">
        <v>0</v>
      </c>
      <c r="H28" s="49">
        <v>0</v>
      </c>
      <c r="I28" s="49">
        <v>0</v>
      </c>
      <c r="J28" s="49">
        <v>0</v>
      </c>
      <c r="K28" s="49">
        <v>0</v>
      </c>
      <c r="L28" s="49">
        <v>0</v>
      </c>
      <c r="M28" s="49">
        <v>0</v>
      </c>
      <c r="N28" s="49">
        <v>14.48</v>
      </c>
      <c r="O28" s="49">
        <v>12.66</v>
      </c>
      <c r="P28" s="49">
        <v>13.51</v>
      </c>
      <c r="Q28" s="49">
        <v>13.21</v>
      </c>
      <c r="R28" s="49">
        <v>46.32</v>
      </c>
      <c r="S28" s="49">
        <v>17.07</v>
      </c>
    </row>
    <row r="29" spans="1:19" ht="18">
      <c r="A29" s="49">
        <v>1256</v>
      </c>
      <c r="B29" s="49" t="s">
        <v>295</v>
      </c>
      <c r="C29" s="49">
        <v>0</v>
      </c>
      <c r="D29" s="49">
        <v>0</v>
      </c>
      <c r="E29" s="49">
        <v>0</v>
      </c>
      <c r="F29" s="49">
        <v>0</v>
      </c>
      <c r="G29" s="49">
        <v>0</v>
      </c>
      <c r="H29" s="49">
        <v>13.65</v>
      </c>
      <c r="I29" s="49">
        <v>19.3</v>
      </c>
      <c r="J29" s="49">
        <v>20</v>
      </c>
      <c r="K29" s="49">
        <v>15.65</v>
      </c>
      <c r="L29" s="49">
        <v>15.33</v>
      </c>
      <c r="M29" s="49">
        <v>15.84</v>
      </c>
      <c r="N29" s="49">
        <v>10.43</v>
      </c>
      <c r="O29" s="49">
        <v>14.34</v>
      </c>
      <c r="P29" s="49">
        <v>14.16</v>
      </c>
      <c r="Q29" s="49">
        <v>12.53</v>
      </c>
      <c r="R29" s="49">
        <v>26.54</v>
      </c>
      <c r="S29" s="49">
        <v>16.38</v>
      </c>
    </row>
    <row r="30" spans="1:19" ht="18">
      <c r="A30" s="49">
        <v>1258</v>
      </c>
      <c r="B30" s="49" t="s">
        <v>1241</v>
      </c>
      <c r="C30" s="49">
        <v>0</v>
      </c>
      <c r="D30" s="49">
        <v>0</v>
      </c>
      <c r="E30" s="49">
        <v>0</v>
      </c>
      <c r="F30" s="49">
        <v>0</v>
      </c>
      <c r="G30" s="49">
        <v>4.6900000000000004</v>
      </c>
      <c r="H30" s="49">
        <v>9.89</v>
      </c>
      <c r="I30" s="49">
        <v>0</v>
      </c>
      <c r="J30" s="49">
        <v>9.61</v>
      </c>
      <c r="K30" s="49">
        <v>10.23</v>
      </c>
      <c r="L30" s="49">
        <v>9.84</v>
      </c>
      <c r="M30" s="49">
        <v>16.02</v>
      </c>
      <c r="N30" s="49">
        <v>0</v>
      </c>
      <c r="O30" s="49">
        <v>0</v>
      </c>
      <c r="P30" s="49">
        <v>0</v>
      </c>
      <c r="Q30" s="49">
        <v>56.97</v>
      </c>
      <c r="R30" s="49">
        <v>12.52</v>
      </c>
      <c r="S30" s="49">
        <v>0</v>
      </c>
    </row>
    <row r="31" spans="1:19" ht="18">
      <c r="A31" s="49">
        <v>1259</v>
      </c>
      <c r="B31" s="49" t="s">
        <v>1242</v>
      </c>
      <c r="C31" s="49">
        <v>0</v>
      </c>
      <c r="D31" s="49">
        <v>0</v>
      </c>
      <c r="E31" s="49">
        <v>0</v>
      </c>
      <c r="F31" s="49">
        <v>0</v>
      </c>
      <c r="G31" s="49">
        <v>21.37</v>
      </c>
      <c r="H31" s="49">
        <v>25.96</v>
      </c>
      <c r="I31" s="49">
        <v>26.88</v>
      </c>
      <c r="J31" s="49">
        <v>23.31</v>
      </c>
      <c r="K31" s="49">
        <v>20.079999999999998</v>
      </c>
      <c r="L31" s="49">
        <v>14.49</v>
      </c>
      <c r="M31" s="49">
        <v>17.53</v>
      </c>
      <c r="N31" s="49">
        <v>14.83</v>
      </c>
      <c r="O31" s="49">
        <v>15.28</v>
      </c>
      <c r="P31" s="49">
        <v>15.73</v>
      </c>
      <c r="Q31" s="49">
        <v>30.86</v>
      </c>
      <c r="R31" s="49">
        <v>14.43</v>
      </c>
      <c r="S31" s="49">
        <v>14.01</v>
      </c>
    </row>
    <row r="32" spans="1:19" ht="18">
      <c r="A32" s="49">
        <v>1264</v>
      </c>
      <c r="B32" s="49" t="s">
        <v>1243</v>
      </c>
      <c r="C32" s="49">
        <v>0</v>
      </c>
      <c r="D32" s="49">
        <v>0</v>
      </c>
      <c r="E32" s="49">
        <v>0</v>
      </c>
      <c r="F32" s="49">
        <v>0</v>
      </c>
      <c r="G32" s="49">
        <v>0</v>
      </c>
      <c r="H32" s="49">
        <v>0</v>
      </c>
      <c r="I32" s="49">
        <v>0</v>
      </c>
      <c r="J32" s="49">
        <v>0</v>
      </c>
      <c r="K32" s="49">
        <v>13.85</v>
      </c>
      <c r="L32" s="49">
        <v>14.41</v>
      </c>
      <c r="M32" s="49">
        <v>17.02</v>
      </c>
      <c r="N32" s="49">
        <v>14.5</v>
      </c>
      <c r="O32" s="49">
        <v>16.32</v>
      </c>
      <c r="P32" s="49">
        <v>15.94</v>
      </c>
      <c r="Q32" s="49">
        <v>19.190000000000001</v>
      </c>
      <c r="R32" s="49">
        <v>14.54</v>
      </c>
      <c r="S32" s="49">
        <v>16.100000000000001</v>
      </c>
    </row>
    <row r="33" spans="1:19" ht="18">
      <c r="A33" s="49">
        <v>1268</v>
      </c>
      <c r="B33" s="49" t="s">
        <v>1244</v>
      </c>
      <c r="C33" s="49">
        <v>0</v>
      </c>
      <c r="D33" s="49">
        <v>0</v>
      </c>
      <c r="E33" s="49">
        <v>0</v>
      </c>
      <c r="F33" s="49">
        <v>0</v>
      </c>
      <c r="G33" s="49">
        <v>0</v>
      </c>
      <c r="H33" s="49">
        <v>0</v>
      </c>
      <c r="I33" s="49">
        <v>0</v>
      </c>
      <c r="J33" s="49">
        <v>0</v>
      </c>
      <c r="K33" s="49">
        <v>0</v>
      </c>
      <c r="L33" s="49">
        <v>0</v>
      </c>
      <c r="M33" s="49">
        <v>23.05</v>
      </c>
      <c r="N33" s="49">
        <v>18.22</v>
      </c>
      <c r="O33" s="49">
        <v>19.41</v>
      </c>
      <c r="P33" s="49">
        <v>18.68</v>
      </c>
      <c r="Q33" s="49">
        <v>2240</v>
      </c>
      <c r="R33" s="49">
        <v>29.77</v>
      </c>
      <c r="S33" s="49">
        <v>17.62</v>
      </c>
    </row>
    <row r="34" spans="1:19" ht="18">
      <c r="A34" s="49">
        <v>1301</v>
      </c>
      <c r="B34" s="49" t="s">
        <v>296</v>
      </c>
      <c r="C34" s="49">
        <v>11.88</v>
      </c>
      <c r="D34" s="49">
        <v>5.51</v>
      </c>
      <c r="E34" s="49">
        <v>79.180000000000007</v>
      </c>
      <c r="F34" s="49">
        <v>14.6</v>
      </c>
      <c r="G34" s="49">
        <v>10.47</v>
      </c>
      <c r="H34" s="49">
        <v>38.159999999999997</v>
      </c>
      <c r="I34" s="49">
        <v>28.55</v>
      </c>
      <c r="J34" s="49">
        <v>19.079999999999998</v>
      </c>
      <c r="K34" s="49">
        <v>20</v>
      </c>
      <c r="L34" s="49">
        <v>17.12</v>
      </c>
      <c r="M34" s="49">
        <v>12.94</v>
      </c>
      <c r="N34" s="49">
        <v>10.7</v>
      </c>
      <c r="O34" s="49">
        <v>17.420000000000002</v>
      </c>
      <c r="P34" s="49">
        <v>49.18</v>
      </c>
      <c r="Q34" s="49">
        <v>10.16</v>
      </c>
      <c r="R34" s="49">
        <v>9.15</v>
      </c>
      <c r="S34" s="49">
        <v>176</v>
      </c>
    </row>
    <row r="35" spans="1:19" ht="18">
      <c r="A35" s="49">
        <v>1303</v>
      </c>
      <c r="B35" s="49" t="s">
        <v>297</v>
      </c>
      <c r="C35" s="49">
        <v>11.65</v>
      </c>
      <c r="D35" s="49">
        <v>6.7</v>
      </c>
      <c r="E35" s="49">
        <v>0</v>
      </c>
      <c r="F35" s="49">
        <v>14.31</v>
      </c>
      <c r="G35" s="49">
        <v>13.94</v>
      </c>
      <c r="H35" s="49">
        <v>622.22</v>
      </c>
      <c r="I35" s="49">
        <v>27.13</v>
      </c>
      <c r="J35" s="49">
        <v>14.79</v>
      </c>
      <c r="K35" s="49">
        <v>14.39</v>
      </c>
      <c r="L35" s="49">
        <v>20.64</v>
      </c>
      <c r="M35" s="49">
        <v>9.77</v>
      </c>
      <c r="N35" s="49">
        <v>9.02</v>
      </c>
      <c r="O35" s="49">
        <v>24.85</v>
      </c>
      <c r="P35" s="49">
        <v>32.24</v>
      </c>
      <c r="Q35" s="49">
        <v>8.91</v>
      </c>
      <c r="R35" s="49">
        <v>11.22</v>
      </c>
      <c r="S35" s="49">
        <v>96.38</v>
      </c>
    </row>
    <row r="36" spans="1:19" ht="18">
      <c r="A36" s="49">
        <v>1304</v>
      </c>
      <c r="B36" s="49" t="s">
        <v>298</v>
      </c>
      <c r="C36" s="49">
        <v>12.88</v>
      </c>
      <c r="D36" s="49">
        <v>4.75</v>
      </c>
      <c r="E36" s="49">
        <v>27.81</v>
      </c>
      <c r="F36" s="49">
        <v>12.02</v>
      </c>
      <c r="G36" s="49">
        <v>6.16</v>
      </c>
      <c r="H36" s="49">
        <v>12.5</v>
      </c>
      <c r="I36" s="49">
        <v>36.96</v>
      </c>
      <c r="J36" s="49">
        <v>25</v>
      </c>
      <c r="K36" s="49">
        <v>18.57</v>
      </c>
      <c r="L36" s="49">
        <v>13.32</v>
      </c>
      <c r="M36" s="49">
        <v>15.92</v>
      </c>
      <c r="N36" s="49">
        <v>14.69</v>
      </c>
      <c r="O36" s="49">
        <v>16.489999999999998</v>
      </c>
      <c r="P36" s="49">
        <v>17.38</v>
      </c>
      <c r="Q36" s="49">
        <v>6.9</v>
      </c>
      <c r="R36" s="49">
        <v>8.91</v>
      </c>
      <c r="S36" s="49">
        <v>32.380000000000003</v>
      </c>
    </row>
    <row r="37" spans="1:19" ht="18">
      <c r="A37" s="49">
        <v>1305</v>
      </c>
      <c r="B37" s="49" t="s">
        <v>299</v>
      </c>
      <c r="C37" s="49">
        <v>0</v>
      </c>
      <c r="D37" s="49">
        <v>7.28</v>
      </c>
      <c r="E37" s="49">
        <v>0</v>
      </c>
      <c r="F37" s="49">
        <v>0</v>
      </c>
      <c r="G37" s="49">
        <v>34.380000000000003</v>
      </c>
      <c r="H37" s="49">
        <v>13.01</v>
      </c>
      <c r="I37" s="49">
        <v>10.24</v>
      </c>
      <c r="J37" s="49">
        <v>20.51</v>
      </c>
      <c r="K37" s="49">
        <v>16.059999999999999</v>
      </c>
      <c r="L37" s="49">
        <v>10.06</v>
      </c>
      <c r="M37" s="49">
        <v>10.76</v>
      </c>
      <c r="N37" s="49">
        <v>7.28</v>
      </c>
      <c r="O37" s="49">
        <v>21.22</v>
      </c>
      <c r="P37" s="49">
        <v>16.53</v>
      </c>
      <c r="Q37" s="49">
        <v>6.98</v>
      </c>
      <c r="R37" s="49">
        <v>53.88</v>
      </c>
      <c r="S37" s="49">
        <v>39.82</v>
      </c>
    </row>
    <row r="38" spans="1:19" ht="18">
      <c r="A38" s="49">
        <v>1307</v>
      </c>
      <c r="B38" s="49" t="s">
        <v>300</v>
      </c>
      <c r="C38" s="49">
        <v>13.9</v>
      </c>
      <c r="D38" s="49">
        <v>6.62</v>
      </c>
      <c r="E38" s="49">
        <v>12.78</v>
      </c>
      <c r="F38" s="49">
        <v>11.8</v>
      </c>
      <c r="G38" s="49">
        <v>10.48</v>
      </c>
      <c r="H38" s="49">
        <v>11.63</v>
      </c>
      <c r="I38" s="49">
        <v>15.34</v>
      </c>
      <c r="J38" s="49">
        <v>11.63</v>
      </c>
      <c r="K38" s="49">
        <v>13.79</v>
      </c>
      <c r="L38" s="49">
        <v>11.71</v>
      </c>
      <c r="M38" s="49">
        <v>12.28</v>
      </c>
      <c r="N38" s="49">
        <v>27.36</v>
      </c>
      <c r="O38" s="49">
        <v>22.96</v>
      </c>
      <c r="P38" s="49">
        <v>42.74</v>
      </c>
      <c r="Q38" s="49">
        <v>43.44</v>
      </c>
      <c r="R38" s="49">
        <v>17.23</v>
      </c>
      <c r="S38" s="49">
        <v>15.12</v>
      </c>
    </row>
    <row r="39" spans="1:19" ht="18">
      <c r="A39" s="49">
        <v>1308</v>
      </c>
      <c r="B39" s="49" t="s">
        <v>301</v>
      </c>
      <c r="C39" s="49">
        <v>10.76</v>
      </c>
      <c r="D39" s="49">
        <v>4.4400000000000004</v>
      </c>
      <c r="E39" s="49">
        <v>14.14</v>
      </c>
      <c r="F39" s="49">
        <v>12.9</v>
      </c>
      <c r="G39" s="49">
        <v>6.2</v>
      </c>
      <c r="H39" s="49">
        <v>14.6</v>
      </c>
      <c r="I39" s="49">
        <v>31.07</v>
      </c>
      <c r="J39" s="49">
        <v>21</v>
      </c>
      <c r="K39" s="49">
        <v>17.420000000000002</v>
      </c>
      <c r="L39" s="49">
        <v>16.71</v>
      </c>
      <c r="M39" s="49">
        <v>14.4</v>
      </c>
      <c r="N39" s="49">
        <v>20.47</v>
      </c>
      <c r="O39" s="49">
        <v>15.34</v>
      </c>
      <c r="P39" s="49">
        <v>15.03</v>
      </c>
      <c r="Q39" s="49">
        <v>8.0500000000000007</v>
      </c>
      <c r="R39" s="49">
        <v>8.01</v>
      </c>
      <c r="S39" s="49">
        <v>24.38</v>
      </c>
    </row>
    <row r="40" spans="1:19" ht="18">
      <c r="A40" s="49">
        <v>1309</v>
      </c>
      <c r="B40" s="49" t="s">
        <v>302</v>
      </c>
      <c r="C40" s="49">
        <v>13.54</v>
      </c>
      <c r="D40" s="49">
        <v>66.63</v>
      </c>
      <c r="E40" s="49">
        <v>0</v>
      </c>
      <c r="F40" s="49">
        <v>10.039999999999999</v>
      </c>
      <c r="G40" s="49">
        <v>6.03</v>
      </c>
      <c r="H40" s="49">
        <v>0</v>
      </c>
      <c r="I40" s="49">
        <v>38.909999999999997</v>
      </c>
      <c r="J40" s="49">
        <v>0</v>
      </c>
      <c r="K40" s="49">
        <v>0</v>
      </c>
      <c r="L40" s="49">
        <v>0</v>
      </c>
      <c r="M40" s="49">
        <v>13.82</v>
      </c>
      <c r="N40" s="49">
        <v>5.21</v>
      </c>
      <c r="O40" s="49">
        <v>27.14</v>
      </c>
      <c r="P40" s="49">
        <v>11.07</v>
      </c>
      <c r="Q40" s="49">
        <v>5.97</v>
      </c>
      <c r="R40" s="49">
        <v>9.82</v>
      </c>
      <c r="S40" s="49">
        <v>0</v>
      </c>
    </row>
    <row r="41" spans="1:19" ht="18">
      <c r="A41" s="49">
        <v>1310</v>
      </c>
      <c r="B41" s="49" t="s">
        <v>303</v>
      </c>
      <c r="C41" s="49">
        <v>15.93</v>
      </c>
      <c r="D41" s="49">
        <v>0</v>
      </c>
      <c r="E41" s="49">
        <v>38.47</v>
      </c>
      <c r="F41" s="49">
        <v>0</v>
      </c>
      <c r="G41" s="49">
        <v>0</v>
      </c>
      <c r="H41" s="49">
        <v>0</v>
      </c>
      <c r="I41" s="49">
        <v>15.04</v>
      </c>
      <c r="J41" s="49">
        <v>13.8</v>
      </c>
      <c r="K41" s="49">
        <v>26.23</v>
      </c>
      <c r="L41" s="49">
        <v>9.4499999999999993</v>
      </c>
      <c r="M41" s="49">
        <v>9.3000000000000007</v>
      </c>
      <c r="N41" s="49">
        <v>9.11</v>
      </c>
      <c r="O41" s="49">
        <v>12.22</v>
      </c>
      <c r="P41" s="49">
        <v>0</v>
      </c>
      <c r="Q41" s="49">
        <v>11.68</v>
      </c>
      <c r="R41" s="49">
        <v>0</v>
      </c>
      <c r="S41" s="49">
        <v>0</v>
      </c>
    </row>
    <row r="42" spans="1:19" ht="18">
      <c r="A42" s="49">
        <v>1312</v>
      </c>
      <c r="B42" s="49" t="s">
        <v>304</v>
      </c>
      <c r="C42" s="49">
        <v>6.76</v>
      </c>
      <c r="D42" s="49">
        <v>14.38</v>
      </c>
      <c r="E42" s="49">
        <v>0</v>
      </c>
      <c r="F42" s="49">
        <v>11.52</v>
      </c>
      <c r="G42" s="49">
        <v>6.57</v>
      </c>
      <c r="H42" s="49">
        <v>8.9</v>
      </c>
      <c r="I42" s="49">
        <v>14.12</v>
      </c>
      <c r="J42" s="49">
        <v>16.62</v>
      </c>
      <c r="K42" s="49">
        <v>11.57</v>
      </c>
      <c r="L42" s="49">
        <v>11.73</v>
      </c>
      <c r="M42" s="49">
        <v>9.25</v>
      </c>
      <c r="N42" s="49">
        <v>5.3</v>
      </c>
      <c r="O42" s="49">
        <v>8.57</v>
      </c>
      <c r="P42" s="49">
        <v>9.0299999999999994</v>
      </c>
      <c r="Q42" s="49">
        <v>3.78</v>
      </c>
      <c r="R42" s="49">
        <v>27.72</v>
      </c>
      <c r="S42" s="49">
        <v>0</v>
      </c>
    </row>
    <row r="43" spans="1:19" ht="18">
      <c r="A43" s="49">
        <v>1313</v>
      </c>
      <c r="B43" s="49" t="s">
        <v>305</v>
      </c>
      <c r="C43" s="49">
        <v>7.74</v>
      </c>
      <c r="D43" s="49">
        <v>5.05</v>
      </c>
      <c r="E43" s="49">
        <v>0</v>
      </c>
      <c r="F43" s="49">
        <v>9.8800000000000008</v>
      </c>
      <c r="G43" s="49">
        <v>9.39</v>
      </c>
      <c r="H43" s="49">
        <v>17.34</v>
      </c>
      <c r="I43" s="49">
        <v>30.1</v>
      </c>
      <c r="J43" s="49">
        <v>66.47</v>
      </c>
      <c r="K43" s="49">
        <v>474.5</v>
      </c>
      <c r="L43" s="49">
        <v>138.88999999999999</v>
      </c>
      <c r="M43" s="49">
        <v>9.4</v>
      </c>
      <c r="N43" s="49">
        <v>10.64</v>
      </c>
      <c r="O43" s="49">
        <v>0</v>
      </c>
      <c r="P43" s="49">
        <v>31.48</v>
      </c>
      <c r="Q43" s="49">
        <v>6.59</v>
      </c>
      <c r="R43" s="49">
        <v>0</v>
      </c>
      <c r="S43" s="49">
        <v>0</v>
      </c>
    </row>
    <row r="44" spans="1:19" ht="18">
      <c r="A44" s="49">
        <v>1314</v>
      </c>
      <c r="B44" s="49" t="s">
        <v>306</v>
      </c>
      <c r="C44" s="49">
        <v>7.58</v>
      </c>
      <c r="D44" s="49">
        <v>622</v>
      </c>
      <c r="E44" s="49">
        <v>0</v>
      </c>
      <c r="F44" s="49">
        <v>11.89</v>
      </c>
      <c r="G44" s="49">
        <v>4.21</v>
      </c>
      <c r="H44" s="49">
        <v>15.13</v>
      </c>
      <c r="I44" s="49">
        <v>0</v>
      </c>
      <c r="J44" s="49">
        <v>0</v>
      </c>
      <c r="K44" s="49">
        <v>12.79</v>
      </c>
      <c r="L44" s="49">
        <v>0</v>
      </c>
      <c r="M44" s="49">
        <v>8.6199999999999992</v>
      </c>
      <c r="N44" s="49">
        <v>5.76</v>
      </c>
      <c r="O44" s="49">
        <v>19.22</v>
      </c>
      <c r="P44" s="49">
        <v>58.25</v>
      </c>
      <c r="Q44" s="49">
        <v>10.78</v>
      </c>
      <c r="R44" s="49">
        <v>35.29</v>
      </c>
      <c r="S44" s="49">
        <v>0</v>
      </c>
    </row>
    <row r="45" spans="1:19" ht="18">
      <c r="A45" s="49">
        <v>1315</v>
      </c>
      <c r="B45" s="49" t="s">
        <v>307</v>
      </c>
      <c r="C45" s="49">
        <v>14.14</v>
      </c>
      <c r="D45" s="49">
        <v>10.77</v>
      </c>
      <c r="E45" s="49">
        <v>41.25</v>
      </c>
      <c r="F45" s="49">
        <v>39.14</v>
      </c>
      <c r="G45" s="49">
        <v>19.71</v>
      </c>
      <c r="H45" s="49">
        <v>11.69</v>
      </c>
      <c r="I45" s="49">
        <v>47.62</v>
      </c>
      <c r="J45" s="49">
        <v>30.21</v>
      </c>
      <c r="K45" s="49">
        <v>15.23</v>
      </c>
      <c r="L45" s="49">
        <v>19.14</v>
      </c>
      <c r="M45" s="49">
        <v>17.18</v>
      </c>
      <c r="N45" s="49">
        <v>19.63</v>
      </c>
      <c r="O45" s="49">
        <v>12.9</v>
      </c>
      <c r="P45" s="49">
        <v>1.81</v>
      </c>
      <c r="Q45" s="49">
        <v>200.23</v>
      </c>
      <c r="R45" s="49">
        <v>9.5299999999999994</v>
      </c>
      <c r="S45" s="49">
        <v>17.010000000000002</v>
      </c>
    </row>
    <row r="46" spans="1:19" ht="18">
      <c r="A46" s="49">
        <v>1316</v>
      </c>
      <c r="B46" s="49" t="s">
        <v>308</v>
      </c>
      <c r="C46" s="49">
        <v>0</v>
      </c>
      <c r="D46" s="49">
        <v>0</v>
      </c>
      <c r="E46" s="49">
        <v>46.2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2.2000000000000002</v>
      </c>
      <c r="O46" s="49">
        <v>0</v>
      </c>
      <c r="P46" s="49">
        <v>0</v>
      </c>
      <c r="Q46" s="49">
        <v>0</v>
      </c>
      <c r="R46" s="49">
        <v>17.690000000000001</v>
      </c>
      <c r="S46" s="49">
        <v>0</v>
      </c>
    </row>
    <row r="47" spans="1:19" ht="18">
      <c r="A47" s="49">
        <v>1319</v>
      </c>
      <c r="B47" s="49" t="s">
        <v>309</v>
      </c>
      <c r="C47" s="49">
        <v>13.1</v>
      </c>
      <c r="D47" s="49">
        <v>5.98</v>
      </c>
      <c r="E47" s="49">
        <v>26.85</v>
      </c>
      <c r="F47" s="49">
        <v>14.1</v>
      </c>
      <c r="G47" s="49">
        <v>18.059999999999999</v>
      </c>
      <c r="H47" s="49">
        <v>16.489999999999998</v>
      </c>
      <c r="I47" s="49">
        <v>21.86</v>
      </c>
      <c r="J47" s="49">
        <v>18.329999999999998</v>
      </c>
      <c r="K47" s="49">
        <v>22.75</v>
      </c>
      <c r="L47" s="49">
        <v>15.95</v>
      </c>
      <c r="M47" s="49">
        <v>14.08</v>
      </c>
      <c r="N47" s="49">
        <v>10.38</v>
      </c>
      <c r="O47" s="49">
        <v>14.05</v>
      </c>
      <c r="P47" s="49">
        <v>20.309999999999999</v>
      </c>
      <c r="Q47" s="49">
        <v>28.29</v>
      </c>
      <c r="R47" s="49">
        <v>12.79</v>
      </c>
      <c r="S47" s="49">
        <v>17.510000000000002</v>
      </c>
    </row>
    <row r="48" spans="1:19" ht="18">
      <c r="A48" s="49">
        <v>1321</v>
      </c>
      <c r="B48" s="49" t="s">
        <v>310</v>
      </c>
      <c r="C48" s="49">
        <v>0</v>
      </c>
      <c r="D48" s="49">
        <v>0</v>
      </c>
      <c r="E48" s="49">
        <v>0</v>
      </c>
      <c r="F48" s="49">
        <v>0</v>
      </c>
      <c r="G48" s="49">
        <v>0</v>
      </c>
      <c r="H48" s="49">
        <v>0</v>
      </c>
      <c r="I48" s="49">
        <v>0</v>
      </c>
      <c r="J48" s="49">
        <v>0</v>
      </c>
      <c r="K48" s="49">
        <v>324.38</v>
      </c>
      <c r="L48" s="49">
        <v>309.38</v>
      </c>
      <c r="M48" s="49">
        <v>0</v>
      </c>
      <c r="N48" s="49">
        <v>0</v>
      </c>
      <c r="O48" s="49">
        <v>266.33</v>
      </c>
      <c r="P48" s="49">
        <v>13.91</v>
      </c>
      <c r="Q48" s="49">
        <v>16.3</v>
      </c>
      <c r="R48" s="49">
        <v>122.04</v>
      </c>
      <c r="S48" s="49">
        <v>100.14</v>
      </c>
    </row>
    <row r="49" spans="1:19" ht="18">
      <c r="A49" s="49">
        <v>1323</v>
      </c>
      <c r="B49" s="49" t="s">
        <v>311</v>
      </c>
      <c r="C49" s="49">
        <v>23.06</v>
      </c>
      <c r="D49" s="49">
        <v>8.11</v>
      </c>
      <c r="E49" s="49">
        <v>17.66</v>
      </c>
      <c r="F49" s="49">
        <v>11.9</v>
      </c>
      <c r="G49" s="49">
        <v>8.81</v>
      </c>
      <c r="H49" s="49">
        <v>9.5299999999999994</v>
      </c>
      <c r="I49" s="49">
        <v>14.89</v>
      </c>
      <c r="J49" s="49">
        <v>12.04</v>
      </c>
      <c r="K49" s="49">
        <v>9.51</v>
      </c>
      <c r="L49" s="49">
        <v>10.27</v>
      </c>
      <c r="M49" s="49">
        <v>14.14</v>
      </c>
      <c r="N49" s="49">
        <v>10.86</v>
      </c>
      <c r="O49" s="49">
        <v>10.4</v>
      </c>
      <c r="P49" s="49">
        <v>10.23</v>
      </c>
      <c r="Q49" s="49">
        <v>11.31</v>
      </c>
      <c r="R49" s="49">
        <v>15.02</v>
      </c>
      <c r="S49" s="49">
        <v>22.75</v>
      </c>
    </row>
    <row r="50" spans="1:19" ht="18">
      <c r="A50" s="49">
        <v>1324</v>
      </c>
      <c r="B50" s="49" t="s">
        <v>312</v>
      </c>
      <c r="C50" s="49">
        <v>0</v>
      </c>
      <c r="D50" s="49">
        <v>57.2</v>
      </c>
      <c r="E50" s="49">
        <v>28.63</v>
      </c>
      <c r="F50" s="49">
        <v>18.09</v>
      </c>
      <c r="G50" s="49">
        <v>10.89</v>
      </c>
      <c r="H50" s="49">
        <v>33.82</v>
      </c>
      <c r="I50" s="49">
        <v>23.9</v>
      </c>
      <c r="J50" s="49">
        <v>23.42</v>
      </c>
      <c r="K50" s="49">
        <v>16.82</v>
      </c>
      <c r="L50" s="49">
        <v>15.17</v>
      </c>
      <c r="M50" s="49">
        <v>12.5</v>
      </c>
      <c r="N50" s="49">
        <v>185</v>
      </c>
      <c r="O50" s="49">
        <v>0</v>
      </c>
      <c r="P50" s="49">
        <v>47.73</v>
      </c>
      <c r="Q50" s="49">
        <v>0</v>
      </c>
      <c r="R50" s="49">
        <v>272.5</v>
      </c>
      <c r="S50" s="49">
        <v>30.88</v>
      </c>
    </row>
    <row r="51" spans="1:19" ht="18">
      <c r="A51" s="49">
        <v>1325</v>
      </c>
      <c r="B51" s="49" t="s">
        <v>313</v>
      </c>
      <c r="C51" s="49">
        <v>13.86</v>
      </c>
      <c r="D51" s="49">
        <v>6.11</v>
      </c>
      <c r="E51" s="49">
        <v>19.420000000000002</v>
      </c>
      <c r="F51" s="49">
        <v>12.36</v>
      </c>
      <c r="G51" s="49">
        <v>12.85</v>
      </c>
      <c r="H51" s="49">
        <v>20.85</v>
      </c>
      <c r="I51" s="49">
        <v>27.4</v>
      </c>
      <c r="J51" s="49">
        <v>41.1</v>
      </c>
      <c r="K51" s="49">
        <v>20.79</v>
      </c>
      <c r="L51" s="49">
        <v>20.239999999999998</v>
      </c>
      <c r="M51" s="49">
        <v>25.93</v>
      </c>
      <c r="N51" s="49">
        <v>23.24</v>
      </c>
      <c r="O51" s="49">
        <v>33.799999999999997</v>
      </c>
      <c r="P51" s="49">
        <v>5.39</v>
      </c>
      <c r="Q51" s="49">
        <v>4.72</v>
      </c>
      <c r="R51" s="49">
        <v>63.14</v>
      </c>
      <c r="S51" s="49">
        <v>101.03</v>
      </c>
    </row>
    <row r="52" spans="1:19" ht="18">
      <c r="A52" s="49">
        <v>1326</v>
      </c>
      <c r="B52" s="49" t="s">
        <v>314</v>
      </c>
      <c r="C52" s="49">
        <v>10.4</v>
      </c>
      <c r="D52" s="49">
        <v>5.75</v>
      </c>
      <c r="E52" s="49">
        <v>0</v>
      </c>
      <c r="F52" s="49">
        <v>13.22</v>
      </c>
      <c r="G52" s="49">
        <v>9.43</v>
      </c>
      <c r="H52" s="49">
        <v>300</v>
      </c>
      <c r="I52" s="49">
        <v>19.399999999999999</v>
      </c>
      <c r="J52" s="49">
        <v>19.73</v>
      </c>
      <c r="K52" s="49">
        <v>28.03</v>
      </c>
      <c r="L52" s="49">
        <v>13.7</v>
      </c>
      <c r="M52" s="49">
        <v>12.76</v>
      </c>
      <c r="N52" s="49">
        <v>9.6999999999999993</v>
      </c>
      <c r="O52" s="49">
        <v>17.75</v>
      </c>
      <c r="P52" s="49">
        <v>39.770000000000003</v>
      </c>
      <c r="Q52" s="49">
        <v>10.6</v>
      </c>
      <c r="R52" s="49">
        <v>22.38</v>
      </c>
      <c r="S52" s="49">
        <v>389.38</v>
      </c>
    </row>
    <row r="53" spans="1:19" ht="18">
      <c r="A53" s="49">
        <v>1336</v>
      </c>
      <c r="B53" s="49" t="s">
        <v>1245</v>
      </c>
      <c r="C53" s="49">
        <v>11.11</v>
      </c>
      <c r="D53" s="49">
        <v>8.33</v>
      </c>
      <c r="E53" s="49">
        <v>0</v>
      </c>
      <c r="F53" s="49">
        <v>0</v>
      </c>
      <c r="G53" s="49">
        <v>33.33</v>
      </c>
      <c r="H53" s="49">
        <v>0</v>
      </c>
      <c r="I53" s="49">
        <v>0</v>
      </c>
      <c r="J53" s="49">
        <v>15.71</v>
      </c>
      <c r="K53" s="49">
        <v>0</v>
      </c>
      <c r="L53" s="49">
        <v>0</v>
      </c>
      <c r="M53" s="49">
        <v>24.05</v>
      </c>
      <c r="N53" s="49">
        <v>11.02</v>
      </c>
      <c r="O53" s="49">
        <v>18.489999999999998</v>
      </c>
      <c r="P53" s="49">
        <v>7.85</v>
      </c>
      <c r="Q53" s="49">
        <v>133.75</v>
      </c>
      <c r="R53" s="49">
        <v>10.47</v>
      </c>
      <c r="S53" s="49">
        <v>17.52</v>
      </c>
    </row>
    <row r="54" spans="1:19" ht="18">
      <c r="A54" s="49">
        <v>1337</v>
      </c>
      <c r="B54" s="49" t="s">
        <v>315</v>
      </c>
      <c r="C54" s="49">
        <v>0</v>
      </c>
      <c r="D54" s="49">
        <v>0</v>
      </c>
      <c r="E54" s="49">
        <v>0</v>
      </c>
      <c r="F54" s="49">
        <v>0</v>
      </c>
      <c r="G54" s="49">
        <v>8.4700000000000006</v>
      </c>
      <c r="H54" s="49">
        <v>9.6199999999999992</v>
      </c>
      <c r="I54" s="49">
        <v>13.64</v>
      </c>
      <c r="J54" s="49">
        <v>7.93</v>
      </c>
      <c r="K54" s="49">
        <v>10.9</v>
      </c>
      <c r="L54" s="49">
        <v>8.0299999999999994</v>
      </c>
      <c r="M54" s="49">
        <v>16.510000000000002</v>
      </c>
      <c r="N54" s="49">
        <v>0</v>
      </c>
      <c r="O54" s="49">
        <v>0</v>
      </c>
      <c r="P54" s="49">
        <v>0</v>
      </c>
      <c r="Q54" s="49">
        <v>0</v>
      </c>
      <c r="R54" s="49">
        <v>0</v>
      </c>
      <c r="S54" s="49">
        <v>0</v>
      </c>
    </row>
    <row r="55" spans="1:19" ht="18">
      <c r="A55" s="49">
        <v>1338</v>
      </c>
      <c r="B55" s="49" t="s">
        <v>316</v>
      </c>
      <c r="C55" s="49">
        <v>0</v>
      </c>
      <c r="D55" s="49">
        <v>0</v>
      </c>
      <c r="E55" s="49">
        <v>0</v>
      </c>
      <c r="F55" s="49">
        <v>0</v>
      </c>
      <c r="G55" s="49">
        <v>0</v>
      </c>
      <c r="H55" s="49">
        <v>10.47</v>
      </c>
      <c r="I55" s="49">
        <v>29.34</v>
      </c>
      <c r="J55" s="49">
        <v>12.56</v>
      </c>
      <c r="K55" s="49">
        <v>13.42</v>
      </c>
      <c r="L55" s="49">
        <v>11.5</v>
      </c>
      <c r="M55" s="49">
        <v>12.64</v>
      </c>
      <c r="N55" s="49">
        <v>9.5299999999999994</v>
      </c>
      <c r="O55" s="49">
        <v>14.96</v>
      </c>
      <c r="P55" s="49">
        <v>21.59</v>
      </c>
      <c r="Q55" s="49">
        <v>11.51</v>
      </c>
      <c r="R55" s="49">
        <v>12.92</v>
      </c>
      <c r="S55" s="49">
        <v>0</v>
      </c>
    </row>
    <row r="56" spans="1:19" ht="18">
      <c r="A56" s="49">
        <v>1339</v>
      </c>
      <c r="B56" s="49" t="s">
        <v>317</v>
      </c>
      <c r="C56" s="49">
        <v>0</v>
      </c>
      <c r="D56" s="49">
        <v>0</v>
      </c>
      <c r="E56" s="49">
        <v>0</v>
      </c>
      <c r="F56" s="49">
        <v>0</v>
      </c>
      <c r="G56" s="49">
        <v>0</v>
      </c>
      <c r="H56" s="49">
        <v>11.3</v>
      </c>
      <c r="I56" s="49">
        <v>16.11</v>
      </c>
      <c r="J56" s="49">
        <v>23.84</v>
      </c>
      <c r="K56" s="49">
        <v>14</v>
      </c>
      <c r="L56" s="49">
        <v>12.07</v>
      </c>
      <c r="M56" s="49">
        <v>8.23</v>
      </c>
      <c r="N56" s="49">
        <v>6.84</v>
      </c>
      <c r="O56" s="49">
        <v>11.02</v>
      </c>
      <c r="P56" s="49">
        <v>27.89</v>
      </c>
      <c r="Q56" s="49">
        <v>23.86</v>
      </c>
      <c r="R56" s="49">
        <v>6.44</v>
      </c>
      <c r="S56" s="49">
        <v>14.75</v>
      </c>
    </row>
    <row r="57" spans="1:19" ht="18">
      <c r="A57" s="49">
        <v>1340</v>
      </c>
      <c r="B57" s="49" t="s">
        <v>318</v>
      </c>
      <c r="C57" s="49">
        <v>0</v>
      </c>
      <c r="D57" s="49">
        <v>0</v>
      </c>
      <c r="E57" s="49">
        <v>0</v>
      </c>
      <c r="F57" s="49">
        <v>0</v>
      </c>
      <c r="G57" s="49">
        <v>0</v>
      </c>
      <c r="H57" s="49">
        <v>0</v>
      </c>
      <c r="I57" s="49">
        <v>0</v>
      </c>
      <c r="J57" s="49">
        <v>10.64</v>
      </c>
      <c r="K57" s="49">
        <v>8.0500000000000007</v>
      </c>
      <c r="L57" s="49">
        <v>6.79</v>
      </c>
      <c r="M57" s="49">
        <v>7.22</v>
      </c>
      <c r="N57" s="49">
        <v>5.69</v>
      </c>
      <c r="O57" s="49">
        <v>0</v>
      </c>
      <c r="P57" s="49">
        <v>0</v>
      </c>
      <c r="Q57" s="49">
        <v>0</v>
      </c>
      <c r="R57" s="49">
        <v>0</v>
      </c>
      <c r="S57" s="49">
        <v>0</v>
      </c>
    </row>
    <row r="58" spans="1:19" ht="18">
      <c r="A58" s="49">
        <v>1341</v>
      </c>
      <c r="B58" s="49" t="s">
        <v>319</v>
      </c>
      <c r="C58" s="49">
        <v>0</v>
      </c>
      <c r="D58" s="49">
        <v>0</v>
      </c>
      <c r="E58" s="49">
        <v>0</v>
      </c>
      <c r="F58" s="49">
        <v>0</v>
      </c>
      <c r="G58" s="49">
        <v>0</v>
      </c>
      <c r="H58" s="49">
        <v>0</v>
      </c>
      <c r="I58" s="49">
        <v>0</v>
      </c>
      <c r="J58" s="49">
        <v>0</v>
      </c>
      <c r="K58" s="49">
        <v>0</v>
      </c>
      <c r="L58" s="49">
        <v>0</v>
      </c>
      <c r="M58" s="49">
        <v>0</v>
      </c>
      <c r="N58" s="49">
        <v>9</v>
      </c>
      <c r="O58" s="49">
        <v>11.32</v>
      </c>
      <c r="P58" s="49">
        <v>10.62</v>
      </c>
      <c r="Q58" s="49">
        <v>10.3</v>
      </c>
      <c r="R58" s="49">
        <v>11.08</v>
      </c>
      <c r="S58" s="49">
        <v>13.17</v>
      </c>
    </row>
    <row r="59" spans="1:19" ht="18">
      <c r="A59" s="49">
        <v>1342</v>
      </c>
      <c r="B59" s="49" t="s">
        <v>320</v>
      </c>
      <c r="C59" s="49">
        <v>0</v>
      </c>
      <c r="D59" s="49">
        <v>0</v>
      </c>
      <c r="E59" s="49">
        <v>0</v>
      </c>
      <c r="F59" s="49">
        <v>0</v>
      </c>
      <c r="G59" s="49">
        <v>0</v>
      </c>
      <c r="H59" s="49">
        <v>0</v>
      </c>
      <c r="I59" s="49">
        <v>0</v>
      </c>
      <c r="J59" s="49">
        <v>0</v>
      </c>
      <c r="K59" s="49">
        <v>0</v>
      </c>
      <c r="L59" s="49">
        <v>0</v>
      </c>
      <c r="M59" s="49">
        <v>0</v>
      </c>
      <c r="N59" s="49">
        <v>0</v>
      </c>
      <c r="O59" s="49">
        <v>0</v>
      </c>
      <c r="P59" s="49">
        <v>20.41</v>
      </c>
      <c r="Q59" s="49">
        <v>21.25</v>
      </c>
      <c r="R59" s="49">
        <v>20.47</v>
      </c>
      <c r="S59" s="49">
        <v>15.79</v>
      </c>
    </row>
    <row r="60" spans="1:19" ht="18">
      <c r="A60" s="49">
        <v>1402</v>
      </c>
      <c r="B60" s="49" t="s">
        <v>321</v>
      </c>
      <c r="C60" s="49">
        <v>17.14</v>
      </c>
      <c r="D60" s="49">
        <v>11.93</v>
      </c>
      <c r="E60" s="49">
        <v>38.1</v>
      </c>
      <c r="F60" s="49">
        <v>21.48</v>
      </c>
      <c r="G60" s="49">
        <v>12</v>
      </c>
      <c r="H60" s="49">
        <v>20.43</v>
      </c>
      <c r="I60" s="49">
        <v>25.86</v>
      </c>
      <c r="J60" s="49">
        <v>15.1</v>
      </c>
      <c r="K60" s="49">
        <v>15.42</v>
      </c>
      <c r="L60" s="49">
        <v>26.89</v>
      </c>
      <c r="M60" s="49">
        <v>16.239999999999998</v>
      </c>
      <c r="N60" s="49">
        <v>11.97</v>
      </c>
      <c r="O60" s="49">
        <v>16.579999999999998</v>
      </c>
      <c r="P60" s="49">
        <v>17.34</v>
      </c>
      <c r="Q60" s="49">
        <v>15.84</v>
      </c>
      <c r="R60" s="49">
        <v>18.329999999999998</v>
      </c>
      <c r="S60" s="49">
        <v>29.16</v>
      </c>
    </row>
    <row r="61" spans="1:19" ht="18">
      <c r="A61" s="49">
        <v>1409</v>
      </c>
      <c r="B61" s="49" t="s">
        <v>322</v>
      </c>
      <c r="C61" s="49">
        <v>0</v>
      </c>
      <c r="D61" s="49">
        <v>18</v>
      </c>
      <c r="E61" s="49">
        <v>112.5</v>
      </c>
      <c r="F61" s="49">
        <v>16.100000000000001</v>
      </c>
      <c r="G61" s="49">
        <v>8.4600000000000009</v>
      </c>
      <c r="H61" s="49">
        <v>21.58</v>
      </c>
      <c r="I61" s="49">
        <v>15.6</v>
      </c>
      <c r="J61" s="49">
        <v>12.98</v>
      </c>
      <c r="K61" s="49">
        <v>17.11</v>
      </c>
      <c r="L61" s="49">
        <v>28.28</v>
      </c>
      <c r="M61" s="49">
        <v>17.63</v>
      </c>
      <c r="N61" s="49">
        <v>8.25</v>
      </c>
      <c r="O61" s="49">
        <v>9.64</v>
      </c>
      <c r="P61" s="49">
        <v>9.44</v>
      </c>
      <c r="Q61" s="49">
        <v>8.9</v>
      </c>
      <c r="R61" s="49">
        <v>7.7</v>
      </c>
      <c r="S61" s="49">
        <v>36.159999999999997</v>
      </c>
    </row>
    <row r="62" spans="1:19" ht="18">
      <c r="A62" s="49">
        <v>1410</v>
      </c>
      <c r="B62" s="49" t="s">
        <v>323</v>
      </c>
      <c r="C62" s="49">
        <v>115</v>
      </c>
      <c r="D62" s="49">
        <v>0</v>
      </c>
      <c r="E62" s="49">
        <v>490</v>
      </c>
      <c r="F62" s="49">
        <v>42.13</v>
      </c>
      <c r="G62" s="49">
        <v>13.88</v>
      </c>
      <c r="H62" s="49">
        <v>19.600000000000001</v>
      </c>
      <c r="I62" s="49">
        <v>21.05</v>
      </c>
      <c r="J62" s="49">
        <v>18.91</v>
      </c>
      <c r="K62" s="49">
        <v>14.58</v>
      </c>
      <c r="L62" s="49">
        <v>15.98</v>
      </c>
      <c r="M62" s="49">
        <v>16.87</v>
      </c>
      <c r="N62" s="49">
        <v>16.71</v>
      </c>
      <c r="O62" s="49">
        <v>26.12</v>
      </c>
      <c r="P62" s="49">
        <v>40.35</v>
      </c>
      <c r="Q62" s="49">
        <v>29.52</v>
      </c>
      <c r="R62" s="49">
        <v>42.47</v>
      </c>
      <c r="S62" s="49">
        <v>64.92</v>
      </c>
    </row>
    <row r="63" spans="1:19" ht="18">
      <c r="A63" s="49">
        <v>1413</v>
      </c>
      <c r="B63" s="49" t="s">
        <v>324</v>
      </c>
      <c r="C63" s="49">
        <v>0</v>
      </c>
      <c r="D63" s="49">
        <v>0</v>
      </c>
      <c r="E63" s="49">
        <v>0</v>
      </c>
      <c r="F63" s="49">
        <v>114.44</v>
      </c>
      <c r="G63" s="49">
        <v>20.83</v>
      </c>
      <c r="H63" s="49">
        <v>0</v>
      </c>
      <c r="I63" s="49">
        <v>0</v>
      </c>
      <c r="J63" s="49">
        <v>0</v>
      </c>
      <c r="K63" s="49">
        <v>0</v>
      </c>
      <c r="L63" s="49">
        <v>0</v>
      </c>
      <c r="M63" s="49">
        <v>29.32</v>
      </c>
      <c r="N63" s="49">
        <v>6.14</v>
      </c>
      <c r="O63" s="49">
        <v>8.5299999999999994</v>
      </c>
      <c r="P63" s="49">
        <v>0</v>
      </c>
      <c r="Q63" s="49">
        <v>37.24</v>
      </c>
      <c r="R63" s="49">
        <v>8.34</v>
      </c>
      <c r="S63" s="49">
        <v>0</v>
      </c>
    </row>
    <row r="64" spans="1:19" ht="18">
      <c r="A64" s="49">
        <v>1414</v>
      </c>
      <c r="B64" s="49" t="s">
        <v>325</v>
      </c>
      <c r="C64" s="49">
        <v>39.799999999999997</v>
      </c>
      <c r="D64" s="49">
        <v>0</v>
      </c>
      <c r="E64" s="49">
        <v>0</v>
      </c>
      <c r="F64" s="49">
        <v>12.28</v>
      </c>
      <c r="G64" s="49">
        <v>1.9</v>
      </c>
      <c r="H64" s="49">
        <v>49.37</v>
      </c>
      <c r="I64" s="49">
        <v>15.95</v>
      </c>
      <c r="J64" s="49">
        <v>44.11</v>
      </c>
      <c r="K64" s="49">
        <v>83.5</v>
      </c>
      <c r="L64" s="49">
        <v>152.25</v>
      </c>
      <c r="M64" s="49">
        <v>14.47</v>
      </c>
      <c r="N64" s="49">
        <v>78.78</v>
      </c>
      <c r="O64" s="49">
        <v>0</v>
      </c>
      <c r="P64" s="49">
        <v>32.61</v>
      </c>
      <c r="Q64" s="49">
        <v>35.36</v>
      </c>
      <c r="R64" s="49">
        <v>26.97</v>
      </c>
      <c r="S64" s="49">
        <v>254.29</v>
      </c>
    </row>
    <row r="65" spans="1:19" ht="18">
      <c r="A65" s="49">
        <v>1416</v>
      </c>
      <c r="B65" s="49" t="s">
        <v>326</v>
      </c>
      <c r="C65" s="49">
        <v>43.74</v>
      </c>
      <c r="D65" s="49">
        <v>0</v>
      </c>
      <c r="E65" s="49">
        <v>0</v>
      </c>
      <c r="F65" s="49">
        <v>25.08</v>
      </c>
      <c r="G65" s="49">
        <v>11.67</v>
      </c>
      <c r="H65" s="49">
        <v>7.32</v>
      </c>
      <c r="I65" s="49">
        <v>78.2</v>
      </c>
      <c r="J65" s="49">
        <v>11.84</v>
      </c>
      <c r="K65" s="49">
        <v>16.309999999999999</v>
      </c>
      <c r="L65" s="49">
        <v>4.32</v>
      </c>
      <c r="M65" s="49">
        <v>237.86</v>
      </c>
      <c r="N65" s="49">
        <v>22.98</v>
      </c>
      <c r="O65" s="49">
        <v>15.46</v>
      </c>
      <c r="P65" s="49">
        <v>0</v>
      </c>
      <c r="Q65" s="49">
        <v>0</v>
      </c>
      <c r="R65" s="49">
        <v>19.899999999999999</v>
      </c>
      <c r="S65" s="49">
        <v>19.920000000000002</v>
      </c>
    </row>
    <row r="66" spans="1:19" ht="18">
      <c r="A66" s="49">
        <v>1417</v>
      </c>
      <c r="B66" s="49" t="s">
        <v>327</v>
      </c>
      <c r="C66" s="49">
        <v>0</v>
      </c>
      <c r="D66" s="49">
        <v>15.3</v>
      </c>
      <c r="E66" s="49">
        <v>38.479999999999997</v>
      </c>
      <c r="F66" s="49">
        <v>50.65</v>
      </c>
      <c r="G66" s="49">
        <v>13.61</v>
      </c>
      <c r="H66" s="49">
        <v>15.66</v>
      </c>
      <c r="I66" s="49">
        <v>0</v>
      </c>
      <c r="J66" s="49">
        <v>25.94</v>
      </c>
      <c r="K66" s="49">
        <v>0</v>
      </c>
      <c r="L66" s="49">
        <v>0</v>
      </c>
      <c r="M66" s="49">
        <v>0</v>
      </c>
      <c r="N66" s="49">
        <v>0</v>
      </c>
      <c r="O66" s="49">
        <v>0</v>
      </c>
      <c r="P66" s="49">
        <v>39.82</v>
      </c>
      <c r="Q66" s="49">
        <v>13.17</v>
      </c>
      <c r="R66" s="49">
        <v>0</v>
      </c>
      <c r="S66" s="49">
        <v>37.340000000000003</v>
      </c>
    </row>
    <row r="67" spans="1:19" ht="18">
      <c r="A67" s="49">
        <v>1418</v>
      </c>
      <c r="B67" s="49" t="s">
        <v>328</v>
      </c>
      <c r="C67" s="49">
        <v>0</v>
      </c>
      <c r="D67" s="49">
        <v>0</v>
      </c>
      <c r="E67" s="49">
        <v>33.75</v>
      </c>
      <c r="F67" s="49">
        <v>11.69</v>
      </c>
      <c r="G67" s="49">
        <v>47</v>
      </c>
      <c r="H67" s="49">
        <v>0</v>
      </c>
      <c r="I67" s="49">
        <v>0</v>
      </c>
      <c r="J67" s="49">
        <v>0</v>
      </c>
      <c r="K67" s="49">
        <v>0</v>
      </c>
      <c r="L67" s="49">
        <v>0</v>
      </c>
      <c r="M67" s="49">
        <v>0</v>
      </c>
      <c r="N67" s="49">
        <v>0</v>
      </c>
      <c r="O67" s="49">
        <v>0</v>
      </c>
      <c r="P67" s="49">
        <v>0</v>
      </c>
      <c r="Q67" s="49">
        <v>0</v>
      </c>
      <c r="R67" s="49">
        <v>0</v>
      </c>
      <c r="S67" s="49">
        <v>38.770000000000003</v>
      </c>
    </row>
    <row r="68" spans="1:19" ht="18">
      <c r="A68" s="49">
        <v>1419</v>
      </c>
      <c r="B68" s="49" t="s">
        <v>329</v>
      </c>
      <c r="C68" s="49">
        <v>72.41</v>
      </c>
      <c r="D68" s="49">
        <v>273</v>
      </c>
      <c r="E68" s="49">
        <v>243.93</v>
      </c>
      <c r="F68" s="49">
        <v>55.5</v>
      </c>
      <c r="G68" s="49">
        <v>50</v>
      </c>
      <c r="H68" s="49">
        <v>65</v>
      </c>
      <c r="I68" s="49">
        <v>65.569999999999993</v>
      </c>
      <c r="J68" s="49">
        <v>92.05</v>
      </c>
      <c r="K68" s="49">
        <v>118.28</v>
      </c>
      <c r="L68" s="49">
        <v>96.59</v>
      </c>
      <c r="M68" s="49">
        <v>110</v>
      </c>
      <c r="N68" s="49">
        <v>9.6999999999999993</v>
      </c>
      <c r="O68" s="49">
        <v>33.9</v>
      </c>
      <c r="P68" s="49">
        <v>38.81</v>
      </c>
      <c r="Q68" s="49">
        <v>26.23</v>
      </c>
      <c r="R68" s="49">
        <v>5.92</v>
      </c>
      <c r="S68" s="49">
        <v>22.18</v>
      </c>
    </row>
    <row r="69" spans="1:19" ht="18">
      <c r="A69" s="49">
        <v>1423</v>
      </c>
      <c r="B69" s="49" t="s">
        <v>330</v>
      </c>
      <c r="C69" s="49">
        <v>11.77</v>
      </c>
      <c r="D69" s="49">
        <v>0</v>
      </c>
      <c r="E69" s="49">
        <v>0</v>
      </c>
      <c r="F69" s="49">
        <v>0</v>
      </c>
      <c r="G69" s="49">
        <v>17.95</v>
      </c>
      <c r="H69" s="49">
        <v>0</v>
      </c>
      <c r="I69" s="49">
        <v>0</v>
      </c>
      <c r="J69" s="49">
        <v>0</v>
      </c>
      <c r="K69" s="49">
        <v>0</v>
      </c>
      <c r="L69" s="49">
        <v>0</v>
      </c>
      <c r="M69" s="49">
        <v>39.9</v>
      </c>
      <c r="N69" s="49">
        <v>15.83</v>
      </c>
      <c r="O69" s="49">
        <v>0</v>
      </c>
      <c r="P69" s="49">
        <v>0</v>
      </c>
      <c r="Q69" s="49">
        <v>4.55</v>
      </c>
      <c r="R69" s="49">
        <v>36.64</v>
      </c>
      <c r="S69" s="49">
        <v>32.840000000000003</v>
      </c>
    </row>
    <row r="70" spans="1:19" ht="18">
      <c r="A70" s="49">
        <v>1432</v>
      </c>
      <c r="B70" s="49" t="s">
        <v>331</v>
      </c>
      <c r="C70" s="49">
        <v>1.35</v>
      </c>
      <c r="D70" s="49">
        <v>2.12</v>
      </c>
      <c r="E70" s="49">
        <v>0</v>
      </c>
      <c r="F70" s="49">
        <v>1.86</v>
      </c>
      <c r="G70" s="49">
        <v>1.57</v>
      </c>
      <c r="H70" s="49">
        <v>0</v>
      </c>
      <c r="I70" s="49">
        <v>4.93</v>
      </c>
      <c r="J70" s="49">
        <v>0</v>
      </c>
      <c r="K70" s="49">
        <v>0</v>
      </c>
      <c r="L70" s="49">
        <v>0</v>
      </c>
      <c r="M70" s="49">
        <v>0</v>
      </c>
      <c r="N70" s="49">
        <v>0</v>
      </c>
      <c r="O70" s="49">
        <v>0</v>
      </c>
      <c r="P70" s="49">
        <v>0</v>
      </c>
      <c r="Q70" s="49">
        <v>0</v>
      </c>
      <c r="R70" s="49">
        <v>0</v>
      </c>
      <c r="S70" s="49">
        <v>26.34</v>
      </c>
    </row>
    <row r="71" spans="1:19" ht="18">
      <c r="A71" s="49">
        <v>1434</v>
      </c>
      <c r="B71" s="49" t="s">
        <v>332</v>
      </c>
      <c r="C71" s="49">
        <v>7.22</v>
      </c>
      <c r="D71" s="49">
        <v>7.66</v>
      </c>
      <c r="E71" s="49">
        <v>0</v>
      </c>
      <c r="F71" s="49">
        <v>11.88</v>
      </c>
      <c r="G71" s="49">
        <v>20.78</v>
      </c>
      <c r="H71" s="49">
        <v>17.28</v>
      </c>
      <c r="I71" s="49">
        <v>33.380000000000003</v>
      </c>
      <c r="J71" s="49">
        <v>15.78</v>
      </c>
      <c r="K71" s="49">
        <v>17.54</v>
      </c>
      <c r="L71" s="49">
        <v>13.35</v>
      </c>
      <c r="M71" s="49">
        <v>12.47</v>
      </c>
      <c r="N71" s="49">
        <v>11.63</v>
      </c>
      <c r="O71" s="49">
        <v>16.850000000000001</v>
      </c>
      <c r="P71" s="49">
        <v>14.05</v>
      </c>
      <c r="Q71" s="49">
        <v>23.51</v>
      </c>
      <c r="R71" s="49">
        <v>12.74</v>
      </c>
      <c r="S71" s="49">
        <v>51.43</v>
      </c>
    </row>
    <row r="72" spans="1:19" ht="18">
      <c r="A72" s="49">
        <v>1436</v>
      </c>
      <c r="B72" s="49" t="s">
        <v>333</v>
      </c>
      <c r="C72" s="49">
        <v>53.16</v>
      </c>
      <c r="D72" s="49">
        <v>0</v>
      </c>
      <c r="E72" s="49">
        <v>0</v>
      </c>
      <c r="F72" s="49">
        <v>0</v>
      </c>
      <c r="G72" s="49">
        <v>0</v>
      </c>
      <c r="H72" s="49">
        <v>2.81</v>
      </c>
      <c r="I72" s="49">
        <v>0</v>
      </c>
      <c r="J72" s="49">
        <v>9.75</v>
      </c>
      <c r="K72" s="49">
        <v>0</v>
      </c>
      <c r="L72" s="49">
        <v>74.34</v>
      </c>
      <c r="M72" s="49">
        <v>19.899999999999999</v>
      </c>
      <c r="N72" s="49">
        <v>8.93</v>
      </c>
      <c r="O72" s="49">
        <v>25</v>
      </c>
      <c r="P72" s="49">
        <v>8.31</v>
      </c>
      <c r="Q72" s="49">
        <v>11.18</v>
      </c>
      <c r="R72" s="49">
        <v>10.7</v>
      </c>
      <c r="S72" s="49">
        <v>121.91</v>
      </c>
    </row>
    <row r="73" spans="1:19" ht="18">
      <c r="A73" s="49">
        <v>1437</v>
      </c>
      <c r="B73" s="49" t="s">
        <v>334</v>
      </c>
      <c r="C73" s="49">
        <v>11.84</v>
      </c>
      <c r="D73" s="49">
        <v>0</v>
      </c>
      <c r="E73" s="49">
        <v>0</v>
      </c>
      <c r="F73" s="49">
        <v>29.57</v>
      </c>
      <c r="G73" s="49">
        <v>0</v>
      </c>
      <c r="H73" s="49">
        <v>0</v>
      </c>
      <c r="I73" s="49">
        <v>0</v>
      </c>
      <c r="J73" s="49">
        <v>0</v>
      </c>
      <c r="K73" s="49">
        <v>29.76</v>
      </c>
      <c r="L73" s="49">
        <v>8.76</v>
      </c>
      <c r="M73" s="49">
        <v>11.62</v>
      </c>
      <c r="N73" s="49">
        <v>13.53</v>
      </c>
      <c r="O73" s="49">
        <v>5.97</v>
      </c>
      <c r="P73" s="49">
        <v>17.07</v>
      </c>
      <c r="Q73" s="49">
        <v>11.49</v>
      </c>
      <c r="R73" s="49">
        <v>12.81</v>
      </c>
      <c r="S73" s="49">
        <v>11.21</v>
      </c>
    </row>
    <row r="74" spans="1:19" ht="18">
      <c r="A74" s="49">
        <v>1438</v>
      </c>
      <c r="B74" s="49" t="s">
        <v>335</v>
      </c>
      <c r="C74" s="49">
        <v>0</v>
      </c>
      <c r="D74" s="49">
        <v>0</v>
      </c>
      <c r="E74" s="49">
        <v>0</v>
      </c>
      <c r="F74" s="49">
        <v>24.77</v>
      </c>
      <c r="G74" s="49">
        <v>0.31</v>
      </c>
      <c r="H74" s="49">
        <v>21.73</v>
      </c>
      <c r="I74" s="49">
        <v>26.79</v>
      </c>
      <c r="J74" s="49">
        <v>161.75</v>
      </c>
      <c r="K74" s="49">
        <v>20.91</v>
      </c>
      <c r="L74" s="49">
        <v>0</v>
      </c>
      <c r="M74" s="49">
        <v>0</v>
      </c>
      <c r="N74" s="49">
        <v>0</v>
      </c>
      <c r="O74" s="49">
        <v>0</v>
      </c>
      <c r="P74" s="49">
        <v>25.32</v>
      </c>
      <c r="Q74" s="49">
        <v>303</v>
      </c>
      <c r="R74" s="49">
        <v>5.61</v>
      </c>
      <c r="S74" s="49">
        <v>0</v>
      </c>
    </row>
    <row r="75" spans="1:19" ht="18">
      <c r="A75" s="49">
        <v>1439</v>
      </c>
      <c r="B75" s="49" t="s">
        <v>336</v>
      </c>
      <c r="C75" s="49">
        <v>43.93</v>
      </c>
      <c r="D75" s="49">
        <v>50.48</v>
      </c>
      <c r="E75" s="49">
        <v>87.9</v>
      </c>
      <c r="F75" s="49">
        <v>1.87</v>
      </c>
      <c r="G75" s="49">
        <v>0</v>
      </c>
      <c r="H75" s="49">
        <v>0</v>
      </c>
      <c r="I75" s="49">
        <v>0</v>
      </c>
      <c r="J75" s="49">
        <v>0</v>
      </c>
      <c r="K75" s="49">
        <v>448.33</v>
      </c>
      <c r="L75" s="49">
        <v>0</v>
      </c>
      <c r="M75" s="49">
        <v>86.04</v>
      </c>
      <c r="N75" s="49">
        <v>0</v>
      </c>
      <c r="O75" s="49">
        <v>3.45</v>
      </c>
      <c r="P75" s="49">
        <v>64.77</v>
      </c>
      <c r="Q75" s="49">
        <v>0</v>
      </c>
      <c r="R75" s="49">
        <v>11.86</v>
      </c>
      <c r="S75" s="49">
        <v>19.670000000000002</v>
      </c>
    </row>
    <row r="76" spans="1:19" ht="18">
      <c r="A76" s="49">
        <v>1440</v>
      </c>
      <c r="B76" s="49" t="s">
        <v>337</v>
      </c>
      <c r="C76" s="49">
        <v>12.52</v>
      </c>
      <c r="D76" s="49">
        <v>13.83</v>
      </c>
      <c r="E76" s="49">
        <v>0</v>
      </c>
      <c r="F76" s="49">
        <v>15.1</v>
      </c>
      <c r="G76" s="49">
        <v>15.94</v>
      </c>
      <c r="H76" s="49">
        <v>31.17</v>
      </c>
      <c r="I76" s="49">
        <v>25.06</v>
      </c>
      <c r="J76" s="49">
        <v>54.71</v>
      </c>
      <c r="K76" s="49">
        <v>21.52</v>
      </c>
      <c r="L76" s="49">
        <v>30.5</v>
      </c>
      <c r="M76" s="49">
        <v>30.22</v>
      </c>
      <c r="N76" s="49">
        <v>15.32</v>
      </c>
      <c r="O76" s="49">
        <v>0</v>
      </c>
      <c r="P76" s="49">
        <v>88.24</v>
      </c>
      <c r="Q76" s="49">
        <v>12.97</v>
      </c>
      <c r="R76" s="49">
        <v>15.27</v>
      </c>
      <c r="S76" s="49">
        <v>0</v>
      </c>
    </row>
    <row r="77" spans="1:19" ht="18">
      <c r="A77" s="49">
        <v>1441</v>
      </c>
      <c r="B77" s="49" t="s">
        <v>338</v>
      </c>
      <c r="C77" s="49">
        <v>117.25</v>
      </c>
      <c r="D77" s="49">
        <v>0</v>
      </c>
      <c r="E77" s="49">
        <v>0</v>
      </c>
      <c r="F77" s="49">
        <v>0</v>
      </c>
      <c r="G77" s="49">
        <v>2.71</v>
      </c>
      <c r="H77" s="49">
        <v>0</v>
      </c>
      <c r="I77" s="49">
        <v>41.88</v>
      </c>
      <c r="J77" s="49">
        <v>0</v>
      </c>
      <c r="K77" s="49">
        <v>0</v>
      </c>
      <c r="L77" s="49">
        <v>0</v>
      </c>
      <c r="M77" s="49">
        <v>0</v>
      </c>
      <c r="N77" s="49">
        <v>1.05</v>
      </c>
      <c r="O77" s="49">
        <v>0</v>
      </c>
      <c r="P77" s="49">
        <v>0</v>
      </c>
      <c r="Q77" s="49">
        <v>0</v>
      </c>
      <c r="R77" s="49">
        <v>0</v>
      </c>
      <c r="S77" s="49">
        <v>0</v>
      </c>
    </row>
    <row r="78" spans="1:19" ht="18">
      <c r="A78" s="49">
        <v>1442</v>
      </c>
      <c r="B78" s="49" t="s">
        <v>339</v>
      </c>
      <c r="C78" s="49">
        <v>41.23</v>
      </c>
      <c r="D78" s="49">
        <v>4.88</v>
      </c>
      <c r="E78" s="49">
        <v>14.26</v>
      </c>
      <c r="F78" s="49">
        <v>7.95</v>
      </c>
      <c r="G78" s="49">
        <v>8.07</v>
      </c>
      <c r="H78" s="49">
        <v>10.76</v>
      </c>
      <c r="I78" s="49">
        <v>5.81</v>
      </c>
      <c r="J78" s="49">
        <v>16.440000000000001</v>
      </c>
      <c r="K78" s="49">
        <v>7.19</v>
      </c>
      <c r="L78" s="49">
        <v>7.17</v>
      </c>
      <c r="M78" s="49">
        <v>11.91</v>
      </c>
      <c r="N78" s="49">
        <v>18.45</v>
      </c>
      <c r="O78" s="49">
        <v>76.150000000000006</v>
      </c>
      <c r="P78" s="49">
        <v>128.21</v>
      </c>
      <c r="Q78" s="49">
        <v>15.44</v>
      </c>
      <c r="R78" s="49">
        <v>82.86</v>
      </c>
      <c r="S78" s="49">
        <v>19.010000000000002</v>
      </c>
    </row>
    <row r="79" spans="1:19" ht="18">
      <c r="A79" s="49">
        <v>1443</v>
      </c>
      <c r="B79" s="49" t="s">
        <v>340</v>
      </c>
      <c r="C79" s="49">
        <v>0</v>
      </c>
      <c r="D79" s="49">
        <v>0</v>
      </c>
      <c r="E79" s="49">
        <v>0</v>
      </c>
      <c r="F79" s="49">
        <v>0</v>
      </c>
      <c r="G79" s="49">
        <v>13.33</v>
      </c>
      <c r="H79" s="49">
        <v>0</v>
      </c>
      <c r="I79" s="49">
        <v>0</v>
      </c>
      <c r="J79" s="49">
        <v>0</v>
      </c>
      <c r="K79" s="49">
        <v>27.63</v>
      </c>
      <c r="L79" s="49">
        <v>0</v>
      </c>
      <c r="M79" s="49">
        <v>0</v>
      </c>
      <c r="N79" s="49">
        <v>0</v>
      </c>
      <c r="O79" s="49">
        <v>0</v>
      </c>
      <c r="P79" s="49">
        <v>0</v>
      </c>
      <c r="Q79" s="49">
        <v>41.1</v>
      </c>
      <c r="R79" s="49">
        <v>7.36</v>
      </c>
      <c r="S79" s="49">
        <v>21.4</v>
      </c>
    </row>
    <row r="80" spans="1:19" ht="18">
      <c r="A80" s="49">
        <v>1444</v>
      </c>
      <c r="B80" s="49" t="s">
        <v>341</v>
      </c>
      <c r="C80" s="49">
        <v>18.559999999999999</v>
      </c>
      <c r="D80" s="49">
        <v>7.55</v>
      </c>
      <c r="E80" s="49">
        <v>0</v>
      </c>
      <c r="F80" s="49">
        <v>9.42</v>
      </c>
      <c r="G80" s="49">
        <v>5.49</v>
      </c>
      <c r="H80" s="49">
        <v>30.26</v>
      </c>
      <c r="I80" s="49">
        <v>12.76</v>
      </c>
      <c r="J80" s="49">
        <v>43.57</v>
      </c>
      <c r="K80" s="49">
        <v>21.98</v>
      </c>
      <c r="L80" s="49">
        <v>0</v>
      </c>
      <c r="M80" s="49">
        <v>61.58</v>
      </c>
      <c r="N80" s="49">
        <v>21</v>
      </c>
      <c r="O80" s="49">
        <v>27.34</v>
      </c>
      <c r="P80" s="49">
        <v>0</v>
      </c>
      <c r="Q80" s="49">
        <v>43.46</v>
      </c>
      <c r="R80" s="49">
        <v>7.79</v>
      </c>
      <c r="S80" s="49">
        <v>0</v>
      </c>
    </row>
    <row r="81" spans="1:19" ht="18">
      <c r="A81" s="49">
        <v>1445</v>
      </c>
      <c r="B81" s="49" t="s">
        <v>342</v>
      </c>
      <c r="C81" s="49">
        <v>0</v>
      </c>
      <c r="D81" s="49">
        <v>12.29</v>
      </c>
      <c r="E81" s="49">
        <v>43.45</v>
      </c>
      <c r="F81" s="49">
        <v>10.94</v>
      </c>
      <c r="G81" s="49">
        <v>12.24</v>
      </c>
      <c r="H81" s="49">
        <v>27.3</v>
      </c>
      <c r="I81" s="49">
        <v>25.83</v>
      </c>
      <c r="J81" s="49">
        <v>43.81</v>
      </c>
      <c r="K81" s="49">
        <v>16.68</v>
      </c>
      <c r="L81" s="49">
        <v>17.38</v>
      </c>
      <c r="M81" s="49">
        <v>64.23</v>
      </c>
      <c r="N81" s="49">
        <v>0</v>
      </c>
      <c r="O81" s="49">
        <v>0</v>
      </c>
      <c r="P81" s="49">
        <v>0</v>
      </c>
      <c r="Q81" s="49">
        <v>0</v>
      </c>
      <c r="R81" s="49">
        <v>0</v>
      </c>
      <c r="S81" s="49">
        <v>47.67</v>
      </c>
    </row>
    <row r="82" spans="1:19" ht="18">
      <c r="A82" s="49">
        <v>1446</v>
      </c>
      <c r="B82" s="49" t="s">
        <v>343</v>
      </c>
      <c r="C82" s="49">
        <v>0</v>
      </c>
      <c r="D82" s="49">
        <v>19.87</v>
      </c>
      <c r="E82" s="49">
        <v>38.700000000000003</v>
      </c>
      <c r="F82" s="49">
        <v>0</v>
      </c>
      <c r="G82" s="49">
        <v>6.51</v>
      </c>
      <c r="H82" s="49">
        <v>0</v>
      </c>
      <c r="I82" s="49">
        <v>0</v>
      </c>
      <c r="J82" s="49">
        <v>3000</v>
      </c>
      <c r="K82" s="49">
        <v>0</v>
      </c>
      <c r="L82" s="49">
        <v>179</v>
      </c>
      <c r="M82" s="49">
        <v>0</v>
      </c>
      <c r="N82" s="49">
        <v>0</v>
      </c>
      <c r="O82" s="49">
        <v>0</v>
      </c>
      <c r="P82" s="49">
        <v>397.5</v>
      </c>
      <c r="Q82" s="49">
        <v>0</v>
      </c>
      <c r="R82" s="49">
        <v>0</v>
      </c>
      <c r="S82" s="49">
        <v>0</v>
      </c>
    </row>
    <row r="83" spans="1:19" ht="18">
      <c r="A83" s="49">
        <v>1447</v>
      </c>
      <c r="B83" s="49" t="s">
        <v>344</v>
      </c>
      <c r="C83" s="49">
        <v>15.74</v>
      </c>
      <c r="D83" s="49">
        <v>0</v>
      </c>
      <c r="E83" s="49">
        <v>0</v>
      </c>
      <c r="F83" s="49">
        <v>12.62</v>
      </c>
      <c r="G83" s="49">
        <v>6.67</v>
      </c>
      <c r="H83" s="49">
        <v>0</v>
      </c>
      <c r="I83" s="49">
        <v>9.42</v>
      </c>
      <c r="J83" s="49">
        <v>16.88</v>
      </c>
      <c r="K83" s="49">
        <v>138.66999999999999</v>
      </c>
      <c r="L83" s="49">
        <v>0</v>
      </c>
      <c r="M83" s="49">
        <v>0</v>
      </c>
      <c r="N83" s="49">
        <v>11.3</v>
      </c>
      <c r="O83" s="49">
        <v>0</v>
      </c>
      <c r="P83" s="49">
        <v>0</v>
      </c>
      <c r="Q83" s="49">
        <v>27.84</v>
      </c>
      <c r="R83" s="49">
        <v>26.45</v>
      </c>
      <c r="S83" s="49">
        <v>0</v>
      </c>
    </row>
    <row r="84" spans="1:19" ht="18">
      <c r="A84" s="49">
        <v>1449</v>
      </c>
      <c r="B84" s="49" t="s">
        <v>345</v>
      </c>
      <c r="C84" s="49">
        <v>0</v>
      </c>
      <c r="D84" s="49">
        <v>0</v>
      </c>
      <c r="E84" s="49">
        <v>0</v>
      </c>
      <c r="F84" s="49">
        <v>0</v>
      </c>
      <c r="G84" s="49">
        <v>0</v>
      </c>
      <c r="H84" s="49">
        <v>0</v>
      </c>
      <c r="I84" s="49">
        <v>0</v>
      </c>
      <c r="J84" s="49">
        <v>0</v>
      </c>
      <c r="K84" s="49">
        <v>0</v>
      </c>
      <c r="L84" s="49">
        <v>0</v>
      </c>
      <c r="M84" s="49">
        <v>0</v>
      </c>
      <c r="N84" s="49">
        <v>166</v>
      </c>
      <c r="O84" s="49">
        <v>0</v>
      </c>
      <c r="P84" s="49">
        <v>0</v>
      </c>
      <c r="Q84" s="49">
        <v>11.04</v>
      </c>
      <c r="R84" s="49">
        <v>10.38</v>
      </c>
      <c r="S84" s="49">
        <v>38.020000000000003</v>
      </c>
    </row>
    <row r="85" spans="1:19" ht="18">
      <c r="A85" s="49">
        <v>1451</v>
      </c>
      <c r="B85" s="49" t="s">
        <v>346</v>
      </c>
      <c r="C85" s="49">
        <v>8.5299999999999994</v>
      </c>
      <c r="D85" s="49">
        <v>8.93</v>
      </c>
      <c r="E85" s="49">
        <v>14.96</v>
      </c>
      <c r="F85" s="49">
        <v>8.16</v>
      </c>
      <c r="G85" s="49">
        <v>8.68</v>
      </c>
      <c r="H85" s="49">
        <v>18.579999999999998</v>
      </c>
      <c r="I85" s="49">
        <v>18.489999999999998</v>
      </c>
      <c r="J85" s="49">
        <v>15.38</v>
      </c>
      <c r="K85" s="49">
        <v>16.29</v>
      </c>
      <c r="L85" s="49">
        <v>11.23</v>
      </c>
      <c r="M85" s="49">
        <v>19.440000000000001</v>
      </c>
      <c r="N85" s="49">
        <v>12.77</v>
      </c>
      <c r="O85" s="49">
        <v>38.89</v>
      </c>
      <c r="P85" s="49">
        <v>0</v>
      </c>
      <c r="Q85" s="49">
        <v>24.48</v>
      </c>
      <c r="R85" s="49">
        <v>8</v>
      </c>
      <c r="S85" s="49">
        <v>0</v>
      </c>
    </row>
    <row r="86" spans="1:19" ht="18">
      <c r="A86" s="49">
        <v>1452</v>
      </c>
      <c r="B86" s="49" t="s">
        <v>347</v>
      </c>
      <c r="C86" s="49">
        <v>8.83</v>
      </c>
      <c r="D86" s="49">
        <v>0</v>
      </c>
      <c r="E86" s="49">
        <v>73.75</v>
      </c>
      <c r="F86" s="49">
        <v>10.6</v>
      </c>
      <c r="G86" s="49">
        <v>7.58</v>
      </c>
      <c r="H86" s="49">
        <v>15.38</v>
      </c>
      <c r="I86" s="49">
        <v>18.079999999999998</v>
      </c>
      <c r="J86" s="49">
        <v>9.14</v>
      </c>
      <c r="K86" s="49">
        <v>8.14</v>
      </c>
      <c r="L86" s="49">
        <v>15.3</v>
      </c>
      <c r="M86" s="49">
        <v>12.98</v>
      </c>
      <c r="N86" s="49">
        <v>10.53</v>
      </c>
      <c r="O86" s="49">
        <v>14.65</v>
      </c>
      <c r="P86" s="49">
        <v>31.85</v>
      </c>
      <c r="Q86" s="49">
        <v>9.0299999999999994</v>
      </c>
      <c r="R86" s="49">
        <v>11.78</v>
      </c>
      <c r="S86" s="49">
        <v>124.29</v>
      </c>
    </row>
    <row r="87" spans="1:19" ht="18">
      <c r="A87" s="49">
        <v>1453</v>
      </c>
      <c r="B87" s="49" t="s">
        <v>348</v>
      </c>
      <c r="C87" s="49">
        <v>0</v>
      </c>
      <c r="D87" s="49">
        <v>1.87</v>
      </c>
      <c r="E87" s="49">
        <v>0</v>
      </c>
      <c r="F87" s="49">
        <v>18.52</v>
      </c>
      <c r="G87" s="49">
        <v>212.5</v>
      </c>
      <c r="H87" s="49">
        <v>15.77</v>
      </c>
      <c r="I87" s="49">
        <v>9.8000000000000007</v>
      </c>
      <c r="J87" s="49">
        <v>0</v>
      </c>
      <c r="K87" s="49">
        <v>15.33</v>
      </c>
      <c r="L87" s="49">
        <v>0</v>
      </c>
      <c r="M87" s="49">
        <v>0</v>
      </c>
      <c r="N87" s="49">
        <v>2.41</v>
      </c>
      <c r="O87" s="49">
        <v>0</v>
      </c>
      <c r="P87" s="49">
        <v>0</v>
      </c>
      <c r="Q87" s="49">
        <v>0</v>
      </c>
      <c r="R87" s="49">
        <v>16.57</v>
      </c>
      <c r="S87" s="49">
        <v>500</v>
      </c>
    </row>
    <row r="88" spans="1:19" ht="18">
      <c r="A88" s="49">
        <v>1454</v>
      </c>
      <c r="B88" s="49" t="s">
        <v>349</v>
      </c>
      <c r="C88" s="49">
        <v>0</v>
      </c>
      <c r="D88" s="49">
        <v>18.48</v>
      </c>
      <c r="E88" s="49">
        <v>0</v>
      </c>
      <c r="F88" s="49">
        <v>223.75</v>
      </c>
      <c r="G88" s="49">
        <v>5.37</v>
      </c>
      <c r="H88" s="49">
        <v>0</v>
      </c>
      <c r="I88" s="49">
        <v>49</v>
      </c>
      <c r="J88" s="49">
        <v>20</v>
      </c>
      <c r="K88" s="49">
        <v>11.54</v>
      </c>
      <c r="L88" s="49">
        <v>17.75</v>
      </c>
      <c r="M88" s="49">
        <v>44.63</v>
      </c>
      <c r="N88" s="49">
        <v>41.65</v>
      </c>
      <c r="O88" s="49">
        <v>32.5</v>
      </c>
      <c r="P88" s="49">
        <v>0</v>
      </c>
      <c r="Q88" s="49">
        <v>149.5</v>
      </c>
      <c r="R88" s="49">
        <v>37.86</v>
      </c>
      <c r="S88" s="49">
        <v>208.13</v>
      </c>
    </row>
    <row r="89" spans="1:19" ht="18">
      <c r="A89" s="49">
        <v>1455</v>
      </c>
      <c r="B89" s="49" t="s">
        <v>350</v>
      </c>
      <c r="C89" s="49">
        <v>25.63</v>
      </c>
      <c r="D89" s="49">
        <v>13.52</v>
      </c>
      <c r="E89" s="49">
        <v>0</v>
      </c>
      <c r="F89" s="49">
        <v>10.37</v>
      </c>
      <c r="G89" s="49">
        <v>5.34</v>
      </c>
      <c r="H89" s="49">
        <v>0</v>
      </c>
      <c r="I89" s="49">
        <v>19.899999999999999</v>
      </c>
      <c r="J89" s="49">
        <v>43.33</v>
      </c>
      <c r="K89" s="49">
        <v>36.35</v>
      </c>
      <c r="L89" s="49">
        <v>48.84</v>
      </c>
      <c r="M89" s="49">
        <v>26.67</v>
      </c>
      <c r="N89" s="49">
        <v>10.47</v>
      </c>
      <c r="O89" s="49">
        <v>0</v>
      </c>
      <c r="P89" s="49">
        <v>0</v>
      </c>
      <c r="Q89" s="49">
        <v>7.76</v>
      </c>
      <c r="R89" s="49">
        <v>0</v>
      </c>
      <c r="S89" s="49">
        <v>0</v>
      </c>
    </row>
    <row r="90" spans="1:19" ht="18">
      <c r="A90" s="49">
        <v>1456</v>
      </c>
      <c r="B90" s="49" t="s">
        <v>351</v>
      </c>
      <c r="C90" s="49">
        <v>0</v>
      </c>
      <c r="D90" s="49">
        <v>2.59</v>
      </c>
      <c r="E90" s="49">
        <v>0</v>
      </c>
      <c r="F90" s="49">
        <v>0</v>
      </c>
      <c r="G90" s="49">
        <v>0</v>
      </c>
      <c r="H90" s="49">
        <v>0</v>
      </c>
      <c r="I90" s="49">
        <v>0</v>
      </c>
      <c r="J90" s="49">
        <v>0</v>
      </c>
      <c r="K90" s="49">
        <v>0</v>
      </c>
      <c r="L90" s="49">
        <v>5.67</v>
      </c>
      <c r="M90" s="49">
        <v>15.92</v>
      </c>
      <c r="N90" s="49">
        <v>17.63</v>
      </c>
      <c r="O90" s="49">
        <v>37.19</v>
      </c>
      <c r="P90" s="49">
        <v>0</v>
      </c>
      <c r="Q90" s="49">
        <v>4.71</v>
      </c>
      <c r="R90" s="49">
        <v>76.75</v>
      </c>
      <c r="S90" s="49">
        <v>20.059999999999999</v>
      </c>
    </row>
    <row r="91" spans="1:19" ht="18">
      <c r="A91" s="49">
        <v>1457</v>
      </c>
      <c r="B91" s="49" t="s">
        <v>352</v>
      </c>
      <c r="C91" s="49">
        <v>0</v>
      </c>
      <c r="D91" s="49">
        <v>14.38</v>
      </c>
      <c r="E91" s="49">
        <v>0</v>
      </c>
      <c r="F91" s="49">
        <v>20.079999999999998</v>
      </c>
      <c r="G91" s="49">
        <v>0</v>
      </c>
      <c r="H91" s="49">
        <v>0</v>
      </c>
      <c r="I91" s="49">
        <v>31.08</v>
      </c>
      <c r="J91" s="49">
        <v>11.76</v>
      </c>
      <c r="K91" s="49">
        <v>6.9</v>
      </c>
      <c r="L91" s="49">
        <v>32.42</v>
      </c>
      <c r="M91" s="49">
        <v>16.21</v>
      </c>
      <c r="N91" s="49">
        <v>3.47</v>
      </c>
      <c r="O91" s="49">
        <v>9.9700000000000006</v>
      </c>
      <c r="P91" s="49">
        <v>5.85</v>
      </c>
      <c r="Q91" s="49">
        <v>25.06</v>
      </c>
      <c r="R91" s="49">
        <v>4.2</v>
      </c>
      <c r="S91" s="49">
        <v>84.55</v>
      </c>
    </row>
    <row r="92" spans="1:19" ht="18">
      <c r="A92" s="49">
        <v>1459</v>
      </c>
      <c r="B92" s="49" t="s">
        <v>353</v>
      </c>
      <c r="C92" s="49">
        <v>10.27</v>
      </c>
      <c r="D92" s="49">
        <v>0</v>
      </c>
      <c r="E92" s="49">
        <v>0</v>
      </c>
      <c r="F92" s="49">
        <v>14.7</v>
      </c>
      <c r="G92" s="49">
        <v>5.95</v>
      </c>
      <c r="H92" s="49">
        <v>0</v>
      </c>
      <c r="I92" s="49">
        <v>79.58</v>
      </c>
      <c r="J92" s="49">
        <v>10.88</v>
      </c>
      <c r="K92" s="49">
        <v>12.61</v>
      </c>
      <c r="L92" s="49">
        <v>0</v>
      </c>
      <c r="M92" s="49">
        <v>0</v>
      </c>
      <c r="N92" s="49">
        <v>17.98</v>
      </c>
      <c r="O92" s="49">
        <v>0</v>
      </c>
      <c r="P92" s="49">
        <v>0</v>
      </c>
      <c r="Q92" s="49">
        <v>5.87</v>
      </c>
      <c r="R92" s="49">
        <v>0</v>
      </c>
      <c r="S92" s="49">
        <v>31.56</v>
      </c>
    </row>
    <row r="93" spans="1:19" ht="18">
      <c r="A93" s="49">
        <v>1460</v>
      </c>
      <c r="B93" s="49" t="s">
        <v>354</v>
      </c>
      <c r="C93" s="49">
        <v>27.17</v>
      </c>
      <c r="D93" s="49">
        <v>0</v>
      </c>
      <c r="E93" s="49">
        <v>0</v>
      </c>
      <c r="F93" s="49">
        <v>0</v>
      </c>
      <c r="G93" s="49">
        <v>0</v>
      </c>
      <c r="H93" s="49">
        <v>5.0599999999999996</v>
      </c>
      <c r="I93" s="49">
        <v>29.13</v>
      </c>
      <c r="J93" s="49">
        <v>22.57</v>
      </c>
      <c r="K93" s="49">
        <v>15.46</v>
      </c>
      <c r="L93" s="49">
        <v>15.18</v>
      </c>
      <c r="M93" s="49">
        <v>18.38</v>
      </c>
      <c r="N93" s="49">
        <v>24.17</v>
      </c>
      <c r="O93" s="49">
        <v>0</v>
      </c>
      <c r="P93" s="49">
        <v>0</v>
      </c>
      <c r="Q93" s="49">
        <v>0</v>
      </c>
      <c r="R93" s="49">
        <v>0</v>
      </c>
      <c r="S93" s="49">
        <v>0</v>
      </c>
    </row>
    <row r="94" spans="1:19" ht="18">
      <c r="A94" s="49">
        <v>1463</v>
      </c>
      <c r="B94" s="49" t="s">
        <v>355</v>
      </c>
      <c r="C94" s="49">
        <v>0</v>
      </c>
      <c r="D94" s="49">
        <v>0</v>
      </c>
      <c r="E94" s="49">
        <v>0</v>
      </c>
      <c r="F94" s="49">
        <v>16.36</v>
      </c>
      <c r="G94" s="49">
        <v>0</v>
      </c>
      <c r="H94" s="49">
        <v>240</v>
      </c>
      <c r="I94" s="49">
        <v>1755</v>
      </c>
      <c r="J94" s="49">
        <v>28.68</v>
      </c>
      <c r="K94" s="49">
        <v>24</v>
      </c>
      <c r="L94" s="49">
        <v>25.85</v>
      </c>
      <c r="M94" s="49">
        <v>3.63</v>
      </c>
      <c r="N94" s="49">
        <v>8.75</v>
      </c>
      <c r="O94" s="49">
        <v>15.12</v>
      </c>
      <c r="P94" s="49">
        <v>65.239999999999995</v>
      </c>
      <c r="Q94" s="49">
        <v>40.57</v>
      </c>
      <c r="R94" s="49">
        <v>37.630000000000003</v>
      </c>
      <c r="S94" s="49">
        <v>22.78</v>
      </c>
    </row>
    <row r="95" spans="1:19" ht="18">
      <c r="A95" s="49">
        <v>1464</v>
      </c>
      <c r="B95" s="49" t="s">
        <v>356</v>
      </c>
      <c r="C95" s="49">
        <v>104.86</v>
      </c>
      <c r="D95" s="49">
        <v>0</v>
      </c>
      <c r="E95" s="49">
        <v>0</v>
      </c>
      <c r="F95" s="49">
        <v>83.13</v>
      </c>
      <c r="G95" s="49">
        <v>103.33</v>
      </c>
      <c r="H95" s="49">
        <v>35.35</v>
      </c>
      <c r="I95" s="49">
        <v>85.31</v>
      </c>
      <c r="J95" s="49">
        <v>130.5</v>
      </c>
      <c r="K95" s="49">
        <v>7.05</v>
      </c>
      <c r="L95" s="49">
        <v>20.2</v>
      </c>
      <c r="M95" s="49">
        <v>20.83</v>
      </c>
      <c r="N95" s="49">
        <v>26.69</v>
      </c>
      <c r="O95" s="49">
        <v>21.35</v>
      </c>
      <c r="P95" s="49">
        <v>372</v>
      </c>
      <c r="Q95" s="49">
        <v>92.35</v>
      </c>
      <c r="R95" s="49">
        <v>12.89</v>
      </c>
      <c r="S95" s="49">
        <v>222.5</v>
      </c>
    </row>
    <row r="96" spans="1:19" ht="18">
      <c r="A96" s="49">
        <v>1465</v>
      </c>
      <c r="B96" s="49" t="s">
        <v>357</v>
      </c>
      <c r="C96" s="49">
        <v>47.6</v>
      </c>
      <c r="D96" s="49">
        <v>8.58</v>
      </c>
      <c r="E96" s="49">
        <v>0</v>
      </c>
      <c r="F96" s="49">
        <v>5.53</v>
      </c>
      <c r="G96" s="49">
        <v>10.44</v>
      </c>
      <c r="H96" s="49">
        <v>21.72</v>
      </c>
      <c r="I96" s="49">
        <v>14.59</v>
      </c>
      <c r="J96" s="49">
        <v>16.04</v>
      </c>
      <c r="K96" s="49">
        <v>13.58</v>
      </c>
      <c r="L96" s="49">
        <v>24.8</v>
      </c>
      <c r="M96" s="49">
        <v>22.03</v>
      </c>
      <c r="N96" s="49">
        <v>0</v>
      </c>
      <c r="O96" s="49">
        <v>4.28</v>
      </c>
      <c r="P96" s="49">
        <v>0</v>
      </c>
      <c r="Q96" s="49">
        <v>0</v>
      </c>
      <c r="R96" s="49">
        <v>13.99</v>
      </c>
      <c r="S96" s="49">
        <v>21.06</v>
      </c>
    </row>
    <row r="97" spans="1:19" ht="18">
      <c r="A97" s="49">
        <v>1466</v>
      </c>
      <c r="B97" s="49" t="s">
        <v>358</v>
      </c>
      <c r="C97" s="49">
        <v>7.16</v>
      </c>
      <c r="D97" s="49">
        <v>279</v>
      </c>
      <c r="E97" s="49">
        <v>0</v>
      </c>
      <c r="F97" s="49">
        <v>16.5</v>
      </c>
      <c r="G97" s="49">
        <v>4.42</v>
      </c>
      <c r="H97" s="49">
        <v>54.74</v>
      </c>
      <c r="I97" s="49">
        <v>18.36</v>
      </c>
      <c r="J97" s="49">
        <v>34.81</v>
      </c>
      <c r="K97" s="49">
        <v>55.31</v>
      </c>
      <c r="L97" s="49">
        <v>0</v>
      </c>
      <c r="M97" s="49">
        <v>0</v>
      </c>
      <c r="N97" s="49">
        <v>0</v>
      </c>
      <c r="O97" s="49">
        <v>0</v>
      </c>
      <c r="P97" s="49">
        <v>0</v>
      </c>
      <c r="Q97" s="49">
        <v>9.36</v>
      </c>
      <c r="R97" s="49">
        <v>34.57</v>
      </c>
      <c r="S97" s="49">
        <v>0</v>
      </c>
    </row>
    <row r="98" spans="1:19" ht="18">
      <c r="A98" s="49">
        <v>1467</v>
      </c>
      <c r="B98" s="49" t="s">
        <v>359</v>
      </c>
      <c r="C98" s="49">
        <v>9.92</v>
      </c>
      <c r="D98" s="49">
        <v>0</v>
      </c>
      <c r="E98" s="49">
        <v>0</v>
      </c>
      <c r="F98" s="49">
        <v>9.11</v>
      </c>
      <c r="G98" s="49">
        <v>11.48</v>
      </c>
      <c r="H98" s="49">
        <v>10.88</v>
      </c>
      <c r="I98" s="49">
        <v>13.6</v>
      </c>
      <c r="J98" s="49">
        <v>27.86</v>
      </c>
      <c r="K98" s="49">
        <v>64.23</v>
      </c>
      <c r="L98" s="49">
        <v>60.59</v>
      </c>
      <c r="M98" s="49">
        <v>0</v>
      </c>
      <c r="N98" s="49">
        <v>0</v>
      </c>
      <c r="O98" s="49">
        <v>40.76</v>
      </c>
      <c r="P98" s="49">
        <v>0</v>
      </c>
      <c r="Q98" s="49">
        <v>710</v>
      </c>
      <c r="R98" s="49">
        <v>37</v>
      </c>
      <c r="S98" s="49">
        <v>0</v>
      </c>
    </row>
    <row r="99" spans="1:19" ht="18">
      <c r="A99" s="49">
        <v>1468</v>
      </c>
      <c r="B99" s="49" t="s">
        <v>360</v>
      </c>
      <c r="C99" s="49">
        <v>0</v>
      </c>
      <c r="D99" s="49">
        <v>0</v>
      </c>
      <c r="E99" s="49">
        <v>0</v>
      </c>
      <c r="F99" s="49">
        <v>0</v>
      </c>
      <c r="G99" s="49">
        <v>0</v>
      </c>
      <c r="H99" s="49">
        <v>19.55</v>
      </c>
      <c r="I99" s="49">
        <v>0</v>
      </c>
      <c r="J99" s="49">
        <v>0</v>
      </c>
      <c r="K99" s="49">
        <v>0</v>
      </c>
      <c r="L99" s="49">
        <v>0</v>
      </c>
      <c r="M99" s="49">
        <v>0</v>
      </c>
      <c r="N99" s="49">
        <v>256.25</v>
      </c>
      <c r="O99" s="49">
        <v>37.22</v>
      </c>
      <c r="P99" s="49">
        <v>50</v>
      </c>
      <c r="Q99" s="49">
        <v>219.17</v>
      </c>
      <c r="R99" s="49">
        <v>14.16</v>
      </c>
      <c r="S99" s="49">
        <v>0</v>
      </c>
    </row>
    <row r="100" spans="1:19" ht="18">
      <c r="A100" s="49">
        <v>1470</v>
      </c>
      <c r="B100" s="49" t="s">
        <v>361</v>
      </c>
      <c r="C100" s="49">
        <v>0</v>
      </c>
      <c r="D100" s="49">
        <v>21.11</v>
      </c>
      <c r="E100" s="49">
        <v>15.94</v>
      </c>
      <c r="F100" s="49">
        <v>20.09</v>
      </c>
      <c r="G100" s="49">
        <v>19.43</v>
      </c>
      <c r="H100" s="49">
        <v>96.15</v>
      </c>
      <c r="I100" s="49">
        <v>57.59</v>
      </c>
      <c r="J100" s="49">
        <v>27.69</v>
      </c>
      <c r="K100" s="49">
        <v>25.07</v>
      </c>
      <c r="L100" s="49">
        <v>32.76</v>
      </c>
      <c r="M100" s="49">
        <v>36.22</v>
      </c>
      <c r="N100" s="49">
        <v>31.82</v>
      </c>
      <c r="O100" s="49">
        <v>22.61</v>
      </c>
      <c r="P100" s="49">
        <v>48.92</v>
      </c>
      <c r="Q100" s="49">
        <v>22.76</v>
      </c>
      <c r="R100" s="49">
        <v>31.38</v>
      </c>
      <c r="S100" s="49">
        <v>33.86</v>
      </c>
    </row>
    <row r="101" spans="1:19" ht="18">
      <c r="A101" s="49">
        <v>1471</v>
      </c>
      <c r="B101" s="49" t="s">
        <v>362</v>
      </c>
      <c r="C101" s="49">
        <v>0</v>
      </c>
      <c r="D101" s="49">
        <v>0</v>
      </c>
      <c r="E101" s="49">
        <v>0</v>
      </c>
      <c r="F101" s="49">
        <v>55.83</v>
      </c>
      <c r="G101" s="49">
        <v>0</v>
      </c>
      <c r="H101" s="49">
        <v>0</v>
      </c>
      <c r="I101" s="49">
        <v>0</v>
      </c>
      <c r="J101" s="49">
        <v>0</v>
      </c>
      <c r="K101" s="49">
        <v>0</v>
      </c>
      <c r="L101" s="49">
        <v>0</v>
      </c>
      <c r="M101" s="49">
        <v>0</v>
      </c>
      <c r="N101" s="49">
        <v>0</v>
      </c>
      <c r="O101" s="49">
        <v>0</v>
      </c>
      <c r="P101" s="49">
        <v>3.46</v>
      </c>
      <c r="Q101" s="49">
        <v>52.41</v>
      </c>
      <c r="R101" s="49">
        <v>0</v>
      </c>
      <c r="S101" s="49">
        <v>0</v>
      </c>
    </row>
    <row r="102" spans="1:19" ht="18">
      <c r="A102" s="49">
        <v>1472</v>
      </c>
      <c r="B102" s="49" t="s">
        <v>363</v>
      </c>
      <c r="C102" s="49">
        <v>0</v>
      </c>
      <c r="D102" s="49">
        <v>0</v>
      </c>
      <c r="E102" s="49">
        <v>0</v>
      </c>
      <c r="F102" s="49">
        <v>0</v>
      </c>
      <c r="G102" s="49">
        <v>11.61</v>
      </c>
      <c r="H102" s="49">
        <v>0</v>
      </c>
      <c r="I102" s="49">
        <v>0</v>
      </c>
      <c r="J102" s="49">
        <v>0</v>
      </c>
      <c r="K102" s="49">
        <v>0</v>
      </c>
      <c r="L102" s="49">
        <v>22.88</v>
      </c>
      <c r="M102" s="49">
        <v>0</v>
      </c>
      <c r="N102" s="49">
        <v>0</v>
      </c>
      <c r="O102" s="49">
        <v>16.059999999999999</v>
      </c>
      <c r="P102" s="49">
        <v>0</v>
      </c>
      <c r="Q102" s="49">
        <v>0</v>
      </c>
      <c r="R102" s="49">
        <v>0</v>
      </c>
      <c r="S102" s="49">
        <v>26.67</v>
      </c>
    </row>
    <row r="103" spans="1:19" ht="18">
      <c r="A103" s="49">
        <v>1473</v>
      </c>
      <c r="B103" s="49" t="s">
        <v>364</v>
      </c>
      <c r="C103" s="49">
        <v>9.65</v>
      </c>
      <c r="D103" s="49">
        <v>7.53</v>
      </c>
      <c r="E103" s="49">
        <v>30.83</v>
      </c>
      <c r="F103" s="49">
        <v>13.33</v>
      </c>
      <c r="G103" s="49">
        <v>9.6199999999999992</v>
      </c>
      <c r="H103" s="49">
        <v>25.64</v>
      </c>
      <c r="I103" s="49">
        <v>16.22</v>
      </c>
      <c r="J103" s="49">
        <v>36.32</v>
      </c>
      <c r="K103" s="49">
        <v>26.53</v>
      </c>
      <c r="L103" s="49">
        <v>15.66</v>
      </c>
      <c r="M103" s="49">
        <v>55.47</v>
      </c>
      <c r="N103" s="49">
        <v>0</v>
      </c>
      <c r="O103" s="49">
        <v>19.559999999999999</v>
      </c>
      <c r="P103" s="49">
        <v>0</v>
      </c>
      <c r="Q103" s="49">
        <v>0</v>
      </c>
      <c r="R103" s="49">
        <v>12.9</v>
      </c>
      <c r="S103" s="49">
        <v>14.2</v>
      </c>
    </row>
    <row r="104" spans="1:19" ht="18">
      <c r="A104" s="49">
        <v>1474</v>
      </c>
      <c r="B104" s="49" t="s">
        <v>365</v>
      </c>
      <c r="C104" s="49">
        <v>14.12</v>
      </c>
      <c r="D104" s="49">
        <v>29</v>
      </c>
      <c r="E104" s="49">
        <v>50.21</v>
      </c>
      <c r="F104" s="49">
        <v>16.87</v>
      </c>
      <c r="G104" s="49">
        <v>8.3000000000000007</v>
      </c>
      <c r="H104" s="49">
        <v>0</v>
      </c>
      <c r="I104" s="49">
        <v>0</v>
      </c>
      <c r="J104" s="49">
        <v>15.96</v>
      </c>
      <c r="K104" s="49">
        <v>10.56</v>
      </c>
      <c r="L104" s="49">
        <v>15.2</v>
      </c>
      <c r="M104" s="49">
        <v>13.26</v>
      </c>
      <c r="N104" s="49">
        <v>13.02</v>
      </c>
      <c r="O104" s="49">
        <v>40.380000000000003</v>
      </c>
      <c r="P104" s="49">
        <v>15.76</v>
      </c>
      <c r="Q104" s="49">
        <v>10.99</v>
      </c>
      <c r="R104" s="49">
        <v>15.13</v>
      </c>
      <c r="S104" s="49">
        <v>0</v>
      </c>
    </row>
    <row r="105" spans="1:19" ht="18">
      <c r="A105" s="49">
        <v>1475</v>
      </c>
      <c r="B105" s="49" t="s">
        <v>366</v>
      </c>
      <c r="C105" s="49">
        <v>0</v>
      </c>
      <c r="D105" s="49">
        <v>0</v>
      </c>
      <c r="E105" s="49">
        <v>0</v>
      </c>
      <c r="F105" s="49">
        <v>0</v>
      </c>
      <c r="G105" s="49">
        <v>0</v>
      </c>
      <c r="H105" s="49">
        <v>0</v>
      </c>
      <c r="I105" s="49">
        <v>0</v>
      </c>
      <c r="J105" s="49">
        <v>0</v>
      </c>
      <c r="K105" s="49">
        <v>0</v>
      </c>
      <c r="L105" s="49">
        <v>4.67</v>
      </c>
      <c r="M105" s="49">
        <v>0</v>
      </c>
      <c r="N105" s="49">
        <v>0</v>
      </c>
      <c r="O105" s="49">
        <v>0</v>
      </c>
      <c r="P105" s="49">
        <v>0</v>
      </c>
      <c r="Q105" s="49">
        <v>72.290000000000006</v>
      </c>
      <c r="R105" s="49">
        <v>13.19</v>
      </c>
      <c r="S105" s="49">
        <v>10.45</v>
      </c>
    </row>
    <row r="106" spans="1:19" ht="18">
      <c r="A106" s="49">
        <v>1476</v>
      </c>
      <c r="B106" s="49" t="s">
        <v>367</v>
      </c>
      <c r="C106" s="49">
        <v>9.89</v>
      </c>
      <c r="D106" s="49">
        <v>7.87</v>
      </c>
      <c r="E106" s="49">
        <v>9.9499999999999993</v>
      </c>
      <c r="F106" s="49">
        <v>11.34</v>
      </c>
      <c r="G106" s="49">
        <v>9.89</v>
      </c>
      <c r="H106" s="49">
        <v>16.989999999999998</v>
      </c>
      <c r="I106" s="49">
        <v>33.200000000000003</v>
      </c>
      <c r="J106" s="49">
        <v>29.18</v>
      </c>
      <c r="K106" s="49">
        <v>30.35</v>
      </c>
      <c r="L106" s="49">
        <v>25.96</v>
      </c>
      <c r="M106" s="49">
        <v>24.43</v>
      </c>
      <c r="N106" s="49">
        <v>22.7</v>
      </c>
      <c r="O106" s="49">
        <v>25.09</v>
      </c>
      <c r="P106" s="49">
        <v>30.53</v>
      </c>
      <c r="Q106" s="49">
        <v>31.82</v>
      </c>
      <c r="R106" s="49">
        <v>18.62</v>
      </c>
      <c r="S106" s="49">
        <v>33.75</v>
      </c>
    </row>
    <row r="107" spans="1:19" ht="18">
      <c r="A107" s="49">
        <v>1477</v>
      </c>
      <c r="B107" s="49" t="s">
        <v>368</v>
      </c>
      <c r="C107" s="49">
        <v>9.0399999999999991</v>
      </c>
      <c r="D107" s="49">
        <v>6.39</v>
      </c>
      <c r="E107" s="49">
        <v>17.46</v>
      </c>
      <c r="F107" s="49">
        <v>9.9700000000000006</v>
      </c>
      <c r="G107" s="49">
        <v>12.43</v>
      </c>
      <c r="H107" s="49">
        <v>11.97</v>
      </c>
      <c r="I107" s="49">
        <v>21.7</v>
      </c>
      <c r="J107" s="49">
        <v>20.22</v>
      </c>
      <c r="K107" s="49">
        <v>21.92</v>
      </c>
      <c r="L107" s="49">
        <v>14.44</v>
      </c>
      <c r="M107" s="49">
        <v>21.51</v>
      </c>
      <c r="N107" s="49">
        <v>25.53</v>
      </c>
      <c r="O107" s="49">
        <v>18.440000000000001</v>
      </c>
      <c r="P107" s="49">
        <v>21.11</v>
      </c>
      <c r="Q107" s="49">
        <v>24.24</v>
      </c>
      <c r="R107" s="49">
        <v>16.54</v>
      </c>
      <c r="S107" s="49">
        <v>22.25</v>
      </c>
    </row>
    <row r="108" spans="1:19" ht="18">
      <c r="A108" s="49">
        <v>1503</v>
      </c>
      <c r="B108" s="49" t="s">
        <v>369</v>
      </c>
      <c r="C108" s="49">
        <v>20</v>
      </c>
      <c r="D108" s="49">
        <v>16</v>
      </c>
      <c r="E108" s="49">
        <v>6.69</v>
      </c>
      <c r="F108" s="49">
        <v>37.08</v>
      </c>
      <c r="G108" s="49">
        <v>13.85</v>
      </c>
      <c r="H108" s="49">
        <v>20.93</v>
      </c>
      <c r="I108" s="49">
        <v>20.32</v>
      </c>
      <c r="J108" s="49">
        <v>15.8</v>
      </c>
      <c r="K108" s="49">
        <v>17.97</v>
      </c>
      <c r="L108" s="49">
        <v>15.58</v>
      </c>
      <c r="M108" s="49">
        <v>16.649999999999999</v>
      </c>
      <c r="N108" s="49">
        <v>15.17</v>
      </c>
      <c r="O108" s="49">
        <v>15.08</v>
      </c>
      <c r="P108" s="49">
        <v>15.78</v>
      </c>
      <c r="Q108" s="49">
        <v>16.48</v>
      </c>
      <c r="R108" s="49">
        <v>15.32</v>
      </c>
      <c r="S108" s="49">
        <v>26.57</v>
      </c>
    </row>
    <row r="109" spans="1:19" ht="18">
      <c r="A109" s="49">
        <v>1504</v>
      </c>
      <c r="B109" s="49" t="s">
        <v>370</v>
      </c>
      <c r="C109" s="49">
        <v>9.76</v>
      </c>
      <c r="D109" s="49">
        <v>9.7100000000000009</v>
      </c>
      <c r="E109" s="49">
        <v>19.72</v>
      </c>
      <c r="F109" s="49">
        <v>13.18</v>
      </c>
      <c r="G109" s="49">
        <v>11.98</v>
      </c>
      <c r="H109" s="49">
        <v>14.64</v>
      </c>
      <c r="I109" s="49">
        <v>18.260000000000002</v>
      </c>
      <c r="J109" s="49">
        <v>14.15</v>
      </c>
      <c r="K109" s="49">
        <v>15.75</v>
      </c>
      <c r="L109" s="49">
        <v>17.329999999999998</v>
      </c>
      <c r="M109" s="49">
        <v>16.86</v>
      </c>
      <c r="N109" s="49">
        <v>11.26</v>
      </c>
      <c r="O109" s="49">
        <v>15.6</v>
      </c>
      <c r="P109" s="49">
        <v>15.98</v>
      </c>
      <c r="Q109" s="49">
        <v>13.64</v>
      </c>
      <c r="R109" s="49">
        <v>17.329999999999998</v>
      </c>
      <c r="S109" s="49">
        <v>17.21</v>
      </c>
    </row>
    <row r="110" spans="1:19" ht="18">
      <c r="A110" s="49">
        <v>1506</v>
      </c>
      <c r="B110" s="49" t="s">
        <v>371</v>
      </c>
      <c r="C110" s="49">
        <v>0</v>
      </c>
      <c r="D110" s="49">
        <v>0</v>
      </c>
      <c r="E110" s="49">
        <v>0</v>
      </c>
      <c r="F110" s="49">
        <v>0</v>
      </c>
      <c r="G110" s="49">
        <v>0</v>
      </c>
      <c r="H110" s="49">
        <v>0</v>
      </c>
      <c r="I110" s="49">
        <v>0</v>
      </c>
      <c r="J110" s="49">
        <v>0</v>
      </c>
      <c r="K110" s="49">
        <v>50.34</v>
      </c>
      <c r="L110" s="49">
        <v>121.25</v>
      </c>
      <c r="M110" s="49">
        <v>176.25</v>
      </c>
      <c r="N110" s="49">
        <v>0</v>
      </c>
      <c r="O110" s="49">
        <v>0</v>
      </c>
      <c r="P110" s="49">
        <v>0</v>
      </c>
      <c r="Q110" s="49">
        <v>0</v>
      </c>
      <c r="R110" s="49">
        <v>34.4</v>
      </c>
      <c r="S110" s="49">
        <v>50.44</v>
      </c>
    </row>
    <row r="111" spans="1:19" ht="18">
      <c r="A111" s="49">
        <v>1512</v>
      </c>
      <c r="B111" s="49" t="s">
        <v>372</v>
      </c>
      <c r="C111" s="49">
        <v>10.98</v>
      </c>
      <c r="D111" s="49">
        <v>13.82</v>
      </c>
      <c r="E111" s="49">
        <v>0</v>
      </c>
      <c r="F111" s="49">
        <v>15.53</v>
      </c>
      <c r="G111" s="49">
        <v>54.62</v>
      </c>
      <c r="H111" s="49">
        <v>15.53</v>
      </c>
      <c r="I111" s="49">
        <v>0</v>
      </c>
      <c r="J111" s="49">
        <v>0</v>
      </c>
      <c r="K111" s="49">
        <v>0</v>
      </c>
      <c r="L111" s="49">
        <v>0</v>
      </c>
      <c r="M111" s="49">
        <v>0</v>
      </c>
      <c r="N111" s="49">
        <v>0</v>
      </c>
      <c r="O111" s="49">
        <v>0</v>
      </c>
      <c r="P111" s="49">
        <v>0</v>
      </c>
      <c r="Q111" s="49">
        <v>0</v>
      </c>
      <c r="R111" s="49">
        <v>0</v>
      </c>
      <c r="S111" s="49">
        <v>0</v>
      </c>
    </row>
    <row r="112" spans="1:19" ht="18">
      <c r="A112" s="49">
        <v>1513</v>
      </c>
      <c r="B112" s="49" t="s">
        <v>373</v>
      </c>
      <c r="C112" s="49">
        <v>10.74</v>
      </c>
      <c r="D112" s="49">
        <v>12.5</v>
      </c>
      <c r="E112" s="49">
        <v>23.76</v>
      </c>
      <c r="F112" s="49">
        <v>15.57</v>
      </c>
      <c r="G112" s="49">
        <v>12.48</v>
      </c>
      <c r="H112" s="49">
        <v>14.01</v>
      </c>
      <c r="I112" s="49">
        <v>23.79</v>
      </c>
      <c r="J112" s="49">
        <v>13.1</v>
      </c>
      <c r="K112" s="49">
        <v>8.33</v>
      </c>
      <c r="L112" s="49">
        <v>16.13</v>
      </c>
      <c r="M112" s="49">
        <v>22.25</v>
      </c>
      <c r="N112" s="49">
        <v>15.08</v>
      </c>
      <c r="O112" s="49">
        <v>16.420000000000002</v>
      </c>
      <c r="P112" s="49">
        <v>26.4</v>
      </c>
      <c r="Q112" s="49">
        <v>9.6300000000000008</v>
      </c>
      <c r="R112" s="49">
        <v>13.8</v>
      </c>
      <c r="S112" s="49">
        <v>37.22</v>
      </c>
    </row>
    <row r="113" spans="1:19" ht="18">
      <c r="A113" s="49">
        <v>1514</v>
      </c>
      <c r="B113" s="49" t="s">
        <v>374</v>
      </c>
      <c r="C113" s="49">
        <v>28.27</v>
      </c>
      <c r="D113" s="49">
        <v>81.33</v>
      </c>
      <c r="E113" s="49">
        <v>0</v>
      </c>
      <c r="F113" s="49">
        <v>83.21</v>
      </c>
      <c r="G113" s="49">
        <v>15.74</v>
      </c>
      <c r="H113" s="49">
        <v>12.13</v>
      </c>
      <c r="I113" s="49">
        <v>29.43</v>
      </c>
      <c r="J113" s="49">
        <v>26.94</v>
      </c>
      <c r="K113" s="49">
        <v>9.75</v>
      </c>
      <c r="L113" s="49">
        <v>16.86</v>
      </c>
      <c r="M113" s="49">
        <v>37.03</v>
      </c>
      <c r="N113" s="49">
        <v>13.84</v>
      </c>
      <c r="O113" s="49">
        <v>12.43</v>
      </c>
      <c r="P113" s="49">
        <v>16.52</v>
      </c>
      <c r="Q113" s="49">
        <v>17.11</v>
      </c>
      <c r="R113" s="49">
        <v>14.53</v>
      </c>
      <c r="S113" s="49">
        <v>32.229999999999997</v>
      </c>
    </row>
    <row r="114" spans="1:19" ht="18">
      <c r="A114" s="49">
        <v>1515</v>
      </c>
      <c r="B114" s="49" t="s">
        <v>375</v>
      </c>
      <c r="C114" s="49">
        <v>26.67</v>
      </c>
      <c r="D114" s="49">
        <v>0</v>
      </c>
      <c r="E114" s="49">
        <v>0</v>
      </c>
      <c r="F114" s="49">
        <v>12.16</v>
      </c>
      <c r="G114" s="49">
        <v>0</v>
      </c>
      <c r="H114" s="49">
        <v>0</v>
      </c>
      <c r="I114" s="49">
        <v>14.59</v>
      </c>
      <c r="J114" s="49">
        <v>14.46</v>
      </c>
      <c r="K114" s="49">
        <v>9.01</v>
      </c>
      <c r="L114" s="49">
        <v>27.36</v>
      </c>
      <c r="M114" s="49">
        <v>56.92</v>
      </c>
      <c r="N114" s="49">
        <v>48.64</v>
      </c>
      <c r="O114" s="49">
        <v>9.6999999999999993</v>
      </c>
      <c r="P114" s="49">
        <v>20.170000000000002</v>
      </c>
      <c r="Q114" s="49">
        <v>8.9</v>
      </c>
      <c r="R114" s="49">
        <v>87.94</v>
      </c>
      <c r="S114" s="49">
        <v>344</v>
      </c>
    </row>
    <row r="115" spans="1:19" ht="18">
      <c r="A115" s="49">
        <v>1516</v>
      </c>
      <c r="B115" s="49" t="s">
        <v>376</v>
      </c>
      <c r="C115" s="49">
        <v>0</v>
      </c>
      <c r="D115" s="49">
        <v>0</v>
      </c>
      <c r="E115" s="49">
        <v>0</v>
      </c>
      <c r="F115" s="49">
        <v>0</v>
      </c>
      <c r="G115" s="49">
        <v>0</v>
      </c>
      <c r="H115" s="49">
        <v>0</v>
      </c>
      <c r="I115" s="49">
        <v>0</v>
      </c>
      <c r="J115" s="49">
        <v>21.21</v>
      </c>
      <c r="K115" s="49">
        <v>5.23</v>
      </c>
      <c r="L115" s="49">
        <v>38.520000000000003</v>
      </c>
      <c r="M115" s="49">
        <v>28.11</v>
      </c>
      <c r="N115" s="49">
        <v>23.01</v>
      </c>
      <c r="O115" s="49">
        <v>73.33</v>
      </c>
      <c r="P115" s="49">
        <v>31.1</v>
      </c>
      <c r="Q115" s="49">
        <v>23.09</v>
      </c>
      <c r="R115" s="49">
        <v>10.59</v>
      </c>
      <c r="S115" s="49">
        <v>24.29</v>
      </c>
    </row>
    <row r="116" spans="1:19" ht="18">
      <c r="A116" s="49">
        <v>1517</v>
      </c>
      <c r="B116" s="49" t="s">
        <v>377</v>
      </c>
      <c r="C116" s="49">
        <v>13.38</v>
      </c>
      <c r="D116" s="49">
        <v>9.26</v>
      </c>
      <c r="E116" s="49">
        <v>13.77</v>
      </c>
      <c r="F116" s="49">
        <v>8.66</v>
      </c>
      <c r="G116" s="49">
        <v>8.81</v>
      </c>
      <c r="H116" s="49">
        <v>13.6</v>
      </c>
      <c r="I116" s="49">
        <v>11.02</v>
      </c>
      <c r="J116" s="49">
        <v>11.21</v>
      </c>
      <c r="K116" s="49">
        <v>13.89</v>
      </c>
      <c r="L116" s="49">
        <v>45.22</v>
      </c>
      <c r="M116" s="49">
        <v>0</v>
      </c>
      <c r="N116" s="49">
        <v>30</v>
      </c>
      <c r="O116" s="49">
        <v>454.5</v>
      </c>
      <c r="P116" s="49">
        <v>95</v>
      </c>
      <c r="Q116" s="49">
        <v>13.29</v>
      </c>
      <c r="R116" s="49">
        <v>6.92</v>
      </c>
      <c r="S116" s="49">
        <v>0</v>
      </c>
    </row>
    <row r="117" spans="1:19" ht="18">
      <c r="A117" s="49">
        <v>1519</v>
      </c>
      <c r="B117" s="49" t="s">
        <v>378</v>
      </c>
      <c r="C117" s="49">
        <v>20.5</v>
      </c>
      <c r="D117" s="49">
        <v>9.8699999999999992</v>
      </c>
      <c r="E117" s="49">
        <v>15.45</v>
      </c>
      <c r="F117" s="49">
        <v>53.18</v>
      </c>
      <c r="G117" s="49">
        <v>13.49</v>
      </c>
      <c r="H117" s="49">
        <v>0</v>
      </c>
      <c r="I117" s="49">
        <v>21.41</v>
      </c>
      <c r="J117" s="49">
        <v>28.04</v>
      </c>
      <c r="K117" s="49">
        <v>13.58</v>
      </c>
      <c r="L117" s="49">
        <v>14.44</v>
      </c>
      <c r="M117" s="49">
        <v>67.260000000000005</v>
      </c>
      <c r="N117" s="49">
        <v>0</v>
      </c>
      <c r="O117" s="49">
        <v>20.07</v>
      </c>
      <c r="P117" s="49">
        <v>26.02</v>
      </c>
      <c r="Q117" s="49">
        <v>35.57</v>
      </c>
      <c r="R117" s="49">
        <v>23.79</v>
      </c>
      <c r="S117" s="49">
        <v>44.01</v>
      </c>
    </row>
    <row r="118" spans="1:19" ht="18">
      <c r="A118" s="49">
        <v>1521</v>
      </c>
      <c r="B118" s="49" t="s">
        <v>379</v>
      </c>
      <c r="C118" s="49">
        <v>14.05</v>
      </c>
      <c r="D118" s="49">
        <v>8.49</v>
      </c>
      <c r="E118" s="49">
        <v>24.63</v>
      </c>
      <c r="F118" s="49">
        <v>12.55</v>
      </c>
      <c r="G118" s="49">
        <v>13.17</v>
      </c>
      <c r="H118" s="49">
        <v>11.28</v>
      </c>
      <c r="I118" s="49">
        <v>17.47</v>
      </c>
      <c r="J118" s="49">
        <v>13.47</v>
      </c>
      <c r="K118" s="49">
        <v>14.91</v>
      </c>
      <c r="L118" s="49">
        <v>14.75</v>
      </c>
      <c r="M118" s="49">
        <v>11.37</v>
      </c>
      <c r="N118" s="49">
        <v>11.09</v>
      </c>
      <c r="O118" s="49">
        <v>12.93</v>
      </c>
      <c r="P118" s="49">
        <v>28.78</v>
      </c>
      <c r="Q118" s="49">
        <v>24.25</v>
      </c>
      <c r="R118" s="49">
        <v>23.11</v>
      </c>
      <c r="S118" s="49">
        <v>40.270000000000003</v>
      </c>
    </row>
    <row r="119" spans="1:19" ht="18">
      <c r="A119" s="49">
        <v>1522</v>
      </c>
      <c r="B119" s="49" t="s">
        <v>380</v>
      </c>
      <c r="C119" s="49">
        <v>15.82</v>
      </c>
      <c r="D119" s="49">
        <v>7.45</v>
      </c>
      <c r="E119" s="49">
        <v>28.27</v>
      </c>
      <c r="F119" s="49">
        <v>20.100000000000001</v>
      </c>
      <c r="G119" s="49">
        <v>51.3</v>
      </c>
      <c r="H119" s="49">
        <v>0</v>
      </c>
      <c r="I119" s="49">
        <v>67.8</v>
      </c>
      <c r="J119" s="49">
        <v>29.03</v>
      </c>
      <c r="K119" s="49">
        <v>10.220000000000001</v>
      </c>
      <c r="L119" s="49">
        <v>11.39</v>
      </c>
      <c r="M119" s="49">
        <v>11.94</v>
      </c>
      <c r="N119" s="49">
        <v>14.09</v>
      </c>
      <c r="O119" s="49">
        <v>12.85</v>
      </c>
      <c r="P119" s="49">
        <v>29.14</v>
      </c>
      <c r="Q119" s="49">
        <v>35.270000000000003</v>
      </c>
      <c r="R119" s="49">
        <v>10.35</v>
      </c>
      <c r="S119" s="49">
        <v>14.16</v>
      </c>
    </row>
    <row r="120" spans="1:19" ht="18">
      <c r="A120" s="49">
        <v>1524</v>
      </c>
      <c r="B120" s="49" t="s">
        <v>381</v>
      </c>
      <c r="C120" s="49">
        <v>19.670000000000002</v>
      </c>
      <c r="D120" s="49">
        <v>15.11</v>
      </c>
      <c r="E120" s="49">
        <v>0</v>
      </c>
      <c r="F120" s="49">
        <v>114.44</v>
      </c>
      <c r="G120" s="49">
        <v>0</v>
      </c>
      <c r="H120" s="49">
        <v>0</v>
      </c>
      <c r="I120" s="49">
        <v>0</v>
      </c>
      <c r="J120" s="49">
        <v>0</v>
      </c>
      <c r="K120" s="49">
        <v>0</v>
      </c>
      <c r="L120" s="49">
        <v>9.91</v>
      </c>
      <c r="M120" s="49">
        <v>11.18</v>
      </c>
      <c r="N120" s="49">
        <v>9.0500000000000007</v>
      </c>
      <c r="O120" s="49">
        <v>10.59</v>
      </c>
      <c r="P120" s="49">
        <v>25.88</v>
      </c>
      <c r="Q120" s="49">
        <v>36.61</v>
      </c>
      <c r="R120" s="49">
        <v>13.43</v>
      </c>
      <c r="S120" s="49">
        <v>17.89</v>
      </c>
    </row>
    <row r="121" spans="1:19" ht="18">
      <c r="A121" s="49">
        <v>1525</v>
      </c>
      <c r="B121" s="49" t="s">
        <v>382</v>
      </c>
      <c r="C121" s="49">
        <v>14.46</v>
      </c>
      <c r="D121" s="49">
        <v>6.24</v>
      </c>
      <c r="E121" s="49">
        <v>26.32</v>
      </c>
      <c r="F121" s="49">
        <v>11.07</v>
      </c>
      <c r="G121" s="49">
        <v>9.56</v>
      </c>
      <c r="H121" s="49">
        <v>9.2899999999999991</v>
      </c>
      <c r="I121" s="49">
        <v>23.22</v>
      </c>
      <c r="J121" s="49">
        <v>13.48</v>
      </c>
      <c r="K121" s="49">
        <v>14.93</v>
      </c>
      <c r="L121" s="49">
        <v>14.83</v>
      </c>
      <c r="M121" s="49">
        <v>12.18</v>
      </c>
      <c r="N121" s="49">
        <v>9.6999999999999993</v>
      </c>
      <c r="O121" s="49">
        <v>11.64</v>
      </c>
      <c r="P121" s="49">
        <v>17.14</v>
      </c>
      <c r="Q121" s="49">
        <v>13.7</v>
      </c>
      <c r="R121" s="49">
        <v>12.95</v>
      </c>
      <c r="S121" s="49">
        <v>15.11</v>
      </c>
    </row>
    <row r="122" spans="1:19" ht="18">
      <c r="A122" s="49">
        <v>1526</v>
      </c>
      <c r="B122" s="49" t="s">
        <v>383</v>
      </c>
      <c r="C122" s="49">
        <v>0</v>
      </c>
      <c r="D122" s="49">
        <v>11.81</v>
      </c>
      <c r="E122" s="49">
        <v>0</v>
      </c>
      <c r="F122" s="49">
        <v>28.33</v>
      </c>
      <c r="G122" s="49">
        <v>10.5</v>
      </c>
      <c r="H122" s="49">
        <v>0</v>
      </c>
      <c r="I122" s="49">
        <v>16</v>
      </c>
      <c r="J122" s="49">
        <v>13.91</v>
      </c>
      <c r="K122" s="49">
        <v>8.0399999999999991</v>
      </c>
      <c r="L122" s="49">
        <v>13.7</v>
      </c>
      <c r="M122" s="49">
        <v>22.17</v>
      </c>
      <c r="N122" s="49">
        <v>12.78</v>
      </c>
      <c r="O122" s="49">
        <v>15.22</v>
      </c>
      <c r="P122" s="49">
        <v>15.87</v>
      </c>
      <c r="Q122" s="49">
        <v>13.4</v>
      </c>
      <c r="R122" s="49">
        <v>6.29</v>
      </c>
      <c r="S122" s="49">
        <v>13.87</v>
      </c>
    </row>
    <row r="123" spans="1:19" ht="18">
      <c r="A123" s="49">
        <v>1527</v>
      </c>
      <c r="B123" s="49" t="s">
        <v>384</v>
      </c>
      <c r="C123" s="49">
        <v>12.16</v>
      </c>
      <c r="D123" s="49">
        <v>0</v>
      </c>
      <c r="E123" s="49">
        <v>18.38</v>
      </c>
      <c r="F123" s="49">
        <v>16.59</v>
      </c>
      <c r="G123" s="49">
        <v>21.96</v>
      </c>
      <c r="H123" s="49">
        <v>45.51</v>
      </c>
      <c r="I123" s="49">
        <v>12.4</v>
      </c>
      <c r="J123" s="49">
        <v>9.6999999999999993</v>
      </c>
      <c r="K123" s="49">
        <v>7.71</v>
      </c>
      <c r="L123" s="49">
        <v>15.66</v>
      </c>
      <c r="M123" s="49">
        <v>16.43</v>
      </c>
      <c r="N123" s="49">
        <v>7.83</v>
      </c>
      <c r="O123" s="49">
        <v>7.37</v>
      </c>
      <c r="P123" s="49">
        <v>25.87</v>
      </c>
      <c r="Q123" s="49">
        <v>12.82</v>
      </c>
      <c r="R123" s="49">
        <v>7.38</v>
      </c>
      <c r="S123" s="49">
        <v>14.24</v>
      </c>
    </row>
    <row r="124" spans="1:19" ht="18">
      <c r="A124" s="49">
        <v>1528</v>
      </c>
      <c r="B124" s="49" t="s">
        <v>385</v>
      </c>
      <c r="C124" s="49">
        <v>8.76</v>
      </c>
      <c r="D124" s="49">
        <v>9.3699999999999992</v>
      </c>
      <c r="E124" s="49">
        <v>0</v>
      </c>
      <c r="F124" s="49">
        <v>11.54</v>
      </c>
      <c r="G124" s="49">
        <v>9.16</v>
      </c>
      <c r="H124" s="49">
        <v>30.76</v>
      </c>
      <c r="I124" s="49">
        <v>20.99</v>
      </c>
      <c r="J124" s="49">
        <v>53.57</v>
      </c>
      <c r="K124" s="49">
        <v>69.77</v>
      </c>
      <c r="L124" s="49">
        <v>165.33</v>
      </c>
      <c r="M124" s="49">
        <v>19.34</v>
      </c>
      <c r="N124" s="49">
        <v>31.25</v>
      </c>
      <c r="O124" s="49">
        <v>0</v>
      </c>
      <c r="P124" s="49">
        <v>0</v>
      </c>
      <c r="Q124" s="49">
        <v>12.99</v>
      </c>
      <c r="R124" s="49">
        <v>14.71</v>
      </c>
      <c r="S124" s="49">
        <v>34.85</v>
      </c>
    </row>
    <row r="125" spans="1:19" ht="18">
      <c r="A125" s="49">
        <v>1529</v>
      </c>
      <c r="B125" s="49" t="s">
        <v>386</v>
      </c>
      <c r="C125" s="49">
        <v>0</v>
      </c>
      <c r="D125" s="49">
        <v>0</v>
      </c>
      <c r="E125" s="49">
        <v>0</v>
      </c>
      <c r="F125" s="49">
        <v>0</v>
      </c>
      <c r="G125" s="49">
        <v>0</v>
      </c>
      <c r="H125" s="49">
        <v>0</v>
      </c>
      <c r="I125" s="49">
        <v>0</v>
      </c>
      <c r="J125" s="49">
        <v>0</v>
      </c>
      <c r="K125" s="49">
        <v>0</v>
      </c>
      <c r="L125" s="49">
        <v>0</v>
      </c>
      <c r="M125" s="49">
        <v>0</v>
      </c>
      <c r="N125" s="49">
        <v>159.09</v>
      </c>
      <c r="O125" s="49">
        <v>67.88</v>
      </c>
      <c r="P125" s="49">
        <v>18.48</v>
      </c>
      <c r="Q125" s="49">
        <v>31.38</v>
      </c>
      <c r="R125" s="49">
        <v>50.5</v>
      </c>
      <c r="S125" s="49">
        <v>51.75</v>
      </c>
    </row>
    <row r="126" spans="1:19" ht="18">
      <c r="A126" s="49">
        <v>1530</v>
      </c>
      <c r="B126" s="49" t="s">
        <v>387</v>
      </c>
      <c r="C126" s="49">
        <v>8.91</v>
      </c>
      <c r="D126" s="49">
        <v>4.18</v>
      </c>
      <c r="E126" s="49">
        <v>55.38</v>
      </c>
      <c r="F126" s="49">
        <v>19.440000000000001</v>
      </c>
      <c r="G126" s="49">
        <v>10.73</v>
      </c>
      <c r="H126" s="49">
        <v>9.19</v>
      </c>
      <c r="I126" s="49">
        <v>16.86</v>
      </c>
      <c r="J126" s="49">
        <v>14.79</v>
      </c>
      <c r="K126" s="49">
        <v>8.81</v>
      </c>
      <c r="L126" s="49">
        <v>22.03</v>
      </c>
      <c r="M126" s="49">
        <v>19.329999999999998</v>
      </c>
      <c r="N126" s="49">
        <v>9.42</v>
      </c>
      <c r="O126" s="49">
        <v>12.38</v>
      </c>
      <c r="P126" s="49">
        <v>9.41</v>
      </c>
      <c r="Q126" s="49">
        <v>28.38</v>
      </c>
      <c r="R126" s="49">
        <v>8.2899999999999991</v>
      </c>
      <c r="S126" s="49">
        <v>13.95</v>
      </c>
    </row>
    <row r="127" spans="1:19" ht="18">
      <c r="A127" s="49">
        <v>1531</v>
      </c>
      <c r="B127" s="49" t="s">
        <v>388</v>
      </c>
      <c r="C127" s="49">
        <v>8.7200000000000006</v>
      </c>
      <c r="D127" s="49">
        <v>5.97</v>
      </c>
      <c r="E127" s="49">
        <v>67.78</v>
      </c>
      <c r="F127" s="49">
        <v>9.2100000000000009</v>
      </c>
      <c r="G127" s="49">
        <v>6.99</v>
      </c>
      <c r="H127" s="49">
        <v>18.37</v>
      </c>
      <c r="I127" s="49">
        <v>12.43</v>
      </c>
      <c r="J127" s="49">
        <v>25</v>
      </c>
      <c r="K127" s="49">
        <v>16.78</v>
      </c>
      <c r="L127" s="49">
        <v>36.14</v>
      </c>
      <c r="M127" s="49">
        <v>26.59</v>
      </c>
      <c r="N127" s="49">
        <v>21.82</v>
      </c>
      <c r="O127" s="49">
        <v>33.04</v>
      </c>
      <c r="P127" s="49">
        <v>0</v>
      </c>
      <c r="Q127" s="49">
        <v>20.99</v>
      </c>
      <c r="R127" s="49">
        <v>10.85</v>
      </c>
      <c r="S127" s="49">
        <v>114.17</v>
      </c>
    </row>
    <row r="128" spans="1:19" ht="18">
      <c r="A128" s="49">
        <v>1532</v>
      </c>
      <c r="B128" s="49" t="s">
        <v>389</v>
      </c>
      <c r="C128" s="49">
        <v>14.68</v>
      </c>
      <c r="D128" s="49">
        <v>5.3</v>
      </c>
      <c r="E128" s="49">
        <v>4.75</v>
      </c>
      <c r="F128" s="49">
        <v>32.75</v>
      </c>
      <c r="G128" s="49">
        <v>8.2100000000000009</v>
      </c>
      <c r="H128" s="49">
        <v>20.67</v>
      </c>
      <c r="I128" s="49">
        <v>18.41</v>
      </c>
      <c r="J128" s="49">
        <v>4.41</v>
      </c>
      <c r="K128" s="49">
        <v>9.18</v>
      </c>
      <c r="L128" s="49">
        <v>11.52</v>
      </c>
      <c r="M128" s="49">
        <v>15.78</v>
      </c>
      <c r="N128" s="49">
        <v>9.4499999999999993</v>
      </c>
      <c r="O128" s="49">
        <v>13.57</v>
      </c>
      <c r="P128" s="49">
        <v>50.48</v>
      </c>
      <c r="Q128" s="49">
        <v>13.06</v>
      </c>
      <c r="R128" s="49">
        <v>8.2200000000000006</v>
      </c>
      <c r="S128" s="49">
        <v>18.559999999999999</v>
      </c>
    </row>
    <row r="129" spans="1:19" ht="18">
      <c r="A129" s="49">
        <v>1533</v>
      </c>
      <c r="B129" s="49" t="s">
        <v>390</v>
      </c>
      <c r="C129" s="49">
        <v>13.85</v>
      </c>
      <c r="D129" s="49">
        <v>14.44</v>
      </c>
      <c r="E129" s="49">
        <v>0</v>
      </c>
      <c r="F129" s="49">
        <v>188.75</v>
      </c>
      <c r="G129" s="49">
        <v>101.25</v>
      </c>
      <c r="H129" s="49">
        <v>8.5399999999999991</v>
      </c>
      <c r="I129" s="49">
        <v>41.59</v>
      </c>
      <c r="J129" s="49">
        <v>25.6</v>
      </c>
      <c r="K129" s="49">
        <v>20.76</v>
      </c>
      <c r="L129" s="49">
        <v>41.98</v>
      </c>
      <c r="M129" s="49">
        <v>36.1</v>
      </c>
      <c r="N129" s="49">
        <v>16.829999999999998</v>
      </c>
      <c r="O129" s="49">
        <v>15.1</v>
      </c>
      <c r="P129" s="49">
        <v>64.319999999999993</v>
      </c>
      <c r="Q129" s="49">
        <v>40.409999999999997</v>
      </c>
      <c r="R129" s="49">
        <v>64.28</v>
      </c>
      <c r="S129" s="49">
        <v>0</v>
      </c>
    </row>
    <row r="130" spans="1:19" ht="18">
      <c r="A130" s="49">
        <v>1535</v>
      </c>
      <c r="B130" s="49" t="s">
        <v>391</v>
      </c>
      <c r="C130" s="49">
        <v>13.71</v>
      </c>
      <c r="D130" s="49">
        <v>8.44</v>
      </c>
      <c r="E130" s="49">
        <v>13.78</v>
      </c>
      <c r="F130" s="49">
        <v>11.2</v>
      </c>
      <c r="G130" s="49">
        <v>11.07</v>
      </c>
      <c r="H130" s="49">
        <v>11.78</v>
      </c>
      <c r="I130" s="49">
        <v>16.87</v>
      </c>
      <c r="J130" s="49">
        <v>13.69</v>
      </c>
      <c r="K130" s="49">
        <v>12.3</v>
      </c>
      <c r="L130" s="49">
        <v>17.45</v>
      </c>
      <c r="M130" s="49">
        <v>31.87</v>
      </c>
      <c r="N130" s="49">
        <v>28.56</v>
      </c>
      <c r="O130" s="49">
        <v>34.409999999999997</v>
      </c>
      <c r="P130" s="49">
        <v>25.4</v>
      </c>
      <c r="Q130" s="49">
        <v>13.23</v>
      </c>
      <c r="R130" s="49">
        <v>9.85</v>
      </c>
      <c r="S130" s="49">
        <v>15.2</v>
      </c>
    </row>
    <row r="131" spans="1:19" ht="18">
      <c r="A131" s="49">
        <v>1536</v>
      </c>
      <c r="B131" s="49" t="s">
        <v>392</v>
      </c>
      <c r="C131" s="49">
        <v>17.82</v>
      </c>
      <c r="D131" s="49">
        <v>9.11</v>
      </c>
      <c r="E131" s="49">
        <v>0</v>
      </c>
      <c r="F131" s="49">
        <v>24.27</v>
      </c>
      <c r="G131" s="49">
        <v>10.66</v>
      </c>
      <c r="H131" s="49">
        <v>10.61</v>
      </c>
      <c r="I131" s="49">
        <v>27.22</v>
      </c>
      <c r="J131" s="49">
        <v>20.82</v>
      </c>
      <c r="K131" s="49">
        <v>28.07</v>
      </c>
      <c r="L131" s="49">
        <v>27.06</v>
      </c>
      <c r="M131" s="49">
        <v>30.12</v>
      </c>
      <c r="N131" s="49">
        <v>24.2</v>
      </c>
      <c r="O131" s="49">
        <v>35.6</v>
      </c>
      <c r="P131" s="49">
        <v>106.63</v>
      </c>
      <c r="Q131" s="49">
        <v>56.71</v>
      </c>
      <c r="R131" s="49">
        <v>33.840000000000003</v>
      </c>
      <c r="S131" s="49">
        <v>33.729999999999997</v>
      </c>
    </row>
    <row r="132" spans="1:19" ht="18">
      <c r="A132" s="49">
        <v>1537</v>
      </c>
      <c r="B132" s="49" t="s">
        <v>393</v>
      </c>
      <c r="C132" s="49">
        <v>20.16</v>
      </c>
      <c r="D132" s="49">
        <v>4.03</v>
      </c>
      <c r="E132" s="49">
        <v>20.27</v>
      </c>
      <c r="F132" s="49">
        <v>8.66</v>
      </c>
      <c r="G132" s="49">
        <v>8.61</v>
      </c>
      <c r="H132" s="49">
        <v>9.3000000000000007</v>
      </c>
      <c r="I132" s="49">
        <v>10.26</v>
      </c>
      <c r="J132" s="49">
        <v>12.94</v>
      </c>
      <c r="K132" s="49">
        <v>14.27</v>
      </c>
      <c r="L132" s="49">
        <v>15.01</v>
      </c>
      <c r="M132" s="49">
        <v>12.57</v>
      </c>
      <c r="N132" s="49">
        <v>11.6</v>
      </c>
      <c r="O132" s="49">
        <v>12.64</v>
      </c>
      <c r="P132" s="49">
        <v>13</v>
      </c>
      <c r="Q132" s="49">
        <v>15.92</v>
      </c>
      <c r="R132" s="49">
        <v>12.29</v>
      </c>
      <c r="S132" s="49">
        <v>18.78</v>
      </c>
    </row>
    <row r="133" spans="1:19" ht="18">
      <c r="A133" s="49">
        <v>1538</v>
      </c>
      <c r="B133" s="49" t="s">
        <v>394</v>
      </c>
      <c r="C133" s="49">
        <v>0</v>
      </c>
      <c r="D133" s="49">
        <v>8.11</v>
      </c>
      <c r="E133" s="49">
        <v>0</v>
      </c>
      <c r="F133" s="49">
        <v>0</v>
      </c>
      <c r="G133" s="49">
        <v>0</v>
      </c>
      <c r="H133" s="49">
        <v>0</v>
      </c>
      <c r="I133" s="49">
        <v>0</v>
      </c>
      <c r="J133" s="49">
        <v>0</v>
      </c>
      <c r="K133" s="49">
        <v>0</v>
      </c>
      <c r="L133" s="49">
        <v>0</v>
      </c>
      <c r="M133" s="49">
        <v>0</v>
      </c>
      <c r="N133" s="49">
        <v>0</v>
      </c>
      <c r="O133" s="49">
        <v>0</v>
      </c>
      <c r="P133" s="49">
        <v>0</v>
      </c>
      <c r="Q133" s="49">
        <v>0</v>
      </c>
      <c r="R133" s="49">
        <v>0</v>
      </c>
      <c r="S133" s="49">
        <v>0</v>
      </c>
    </row>
    <row r="134" spans="1:19" ht="18">
      <c r="A134" s="49">
        <v>1539</v>
      </c>
      <c r="B134" s="49" t="s">
        <v>395</v>
      </c>
      <c r="C134" s="49">
        <v>9.8000000000000007</v>
      </c>
      <c r="D134" s="49">
        <v>57.75</v>
      </c>
      <c r="E134" s="49">
        <v>0</v>
      </c>
      <c r="F134" s="49">
        <v>0</v>
      </c>
      <c r="G134" s="49">
        <v>0</v>
      </c>
      <c r="H134" s="49">
        <v>0</v>
      </c>
      <c r="I134" s="49">
        <v>17.059999999999999</v>
      </c>
      <c r="J134" s="49">
        <v>10.44</v>
      </c>
      <c r="K134" s="49">
        <v>8.2899999999999991</v>
      </c>
      <c r="L134" s="49">
        <v>13.64</v>
      </c>
      <c r="M134" s="49">
        <v>9.98</v>
      </c>
      <c r="N134" s="49">
        <v>11.62</v>
      </c>
      <c r="O134" s="49">
        <v>4.05</v>
      </c>
      <c r="P134" s="49">
        <v>0</v>
      </c>
      <c r="Q134" s="49">
        <v>30</v>
      </c>
      <c r="R134" s="49">
        <v>4.37</v>
      </c>
      <c r="S134" s="49">
        <v>37.46</v>
      </c>
    </row>
    <row r="135" spans="1:19" ht="18">
      <c r="A135" s="49">
        <v>1540</v>
      </c>
      <c r="B135" s="49" t="s">
        <v>396</v>
      </c>
      <c r="C135" s="49">
        <v>9.43</v>
      </c>
      <c r="D135" s="49">
        <v>5.25</v>
      </c>
      <c r="E135" s="49">
        <v>10.48</v>
      </c>
      <c r="F135" s="49">
        <v>12.21</v>
      </c>
      <c r="G135" s="49">
        <v>16.170000000000002</v>
      </c>
      <c r="H135" s="49">
        <v>9.57</v>
      </c>
      <c r="I135" s="49">
        <v>29.77</v>
      </c>
      <c r="J135" s="49">
        <v>11.73</v>
      </c>
      <c r="K135" s="49">
        <v>7.51</v>
      </c>
      <c r="L135" s="49">
        <v>0</v>
      </c>
      <c r="M135" s="49">
        <v>21</v>
      </c>
      <c r="N135" s="49">
        <v>13.59</v>
      </c>
      <c r="O135" s="49">
        <v>9.15</v>
      </c>
      <c r="P135" s="49">
        <v>0</v>
      </c>
      <c r="Q135" s="49">
        <v>83.89</v>
      </c>
      <c r="R135" s="49">
        <v>12.5</v>
      </c>
      <c r="S135" s="49">
        <v>16.73</v>
      </c>
    </row>
    <row r="136" spans="1:19" ht="18">
      <c r="A136" s="49">
        <v>1541</v>
      </c>
      <c r="B136" s="49" t="s">
        <v>397</v>
      </c>
      <c r="C136" s="49">
        <v>12.01</v>
      </c>
      <c r="D136" s="49">
        <v>18.47</v>
      </c>
      <c r="E136" s="49">
        <v>10.39</v>
      </c>
      <c r="F136" s="49">
        <v>14</v>
      </c>
      <c r="G136" s="49">
        <v>0</v>
      </c>
      <c r="H136" s="49">
        <v>0</v>
      </c>
      <c r="I136" s="49">
        <v>0</v>
      </c>
      <c r="J136" s="49">
        <v>17.260000000000002</v>
      </c>
      <c r="K136" s="49">
        <v>11.79</v>
      </c>
      <c r="L136" s="49">
        <v>14.4</v>
      </c>
      <c r="M136" s="49">
        <v>17.829999999999998</v>
      </c>
      <c r="N136" s="49">
        <v>17.93</v>
      </c>
      <c r="O136" s="49">
        <v>16.850000000000001</v>
      </c>
      <c r="P136" s="49">
        <v>10.97</v>
      </c>
      <c r="Q136" s="49">
        <v>10.39</v>
      </c>
      <c r="R136" s="49">
        <v>5.63</v>
      </c>
      <c r="S136" s="49">
        <v>0</v>
      </c>
    </row>
    <row r="137" spans="1:19" ht="18">
      <c r="A137" s="49">
        <v>1558</v>
      </c>
      <c r="B137" s="49" t="s">
        <v>398</v>
      </c>
      <c r="C137" s="49">
        <v>6.98</v>
      </c>
      <c r="D137" s="49">
        <v>5.29</v>
      </c>
      <c r="E137" s="49">
        <v>9.25</v>
      </c>
      <c r="F137" s="49">
        <v>7.28</v>
      </c>
      <c r="G137" s="49">
        <v>9.14</v>
      </c>
      <c r="H137" s="49">
        <v>8.8000000000000007</v>
      </c>
      <c r="I137" s="49">
        <v>12.91</v>
      </c>
      <c r="J137" s="49">
        <v>12.93</v>
      </c>
      <c r="K137" s="49">
        <v>9.2799999999999994</v>
      </c>
      <c r="L137" s="49">
        <v>12.45</v>
      </c>
      <c r="M137" s="49">
        <v>12.18</v>
      </c>
      <c r="N137" s="49">
        <v>9.07</v>
      </c>
      <c r="O137" s="49">
        <v>11.26</v>
      </c>
      <c r="P137" s="49">
        <v>11.59</v>
      </c>
      <c r="Q137" s="49">
        <v>11.57</v>
      </c>
      <c r="R137" s="49">
        <v>15.54</v>
      </c>
      <c r="S137" s="49">
        <v>31.89</v>
      </c>
    </row>
    <row r="138" spans="1:19" ht="18">
      <c r="A138" s="49">
        <v>1560</v>
      </c>
      <c r="B138" s="49" t="s">
        <v>399</v>
      </c>
      <c r="C138" s="49">
        <v>18.8</v>
      </c>
      <c r="D138" s="49">
        <v>8</v>
      </c>
      <c r="E138" s="49">
        <v>0</v>
      </c>
      <c r="F138" s="49">
        <v>34.94</v>
      </c>
      <c r="G138" s="49">
        <v>10.84</v>
      </c>
      <c r="H138" s="49">
        <v>14.3</v>
      </c>
      <c r="I138" s="49">
        <v>20.079999999999998</v>
      </c>
      <c r="J138" s="49">
        <v>14.56</v>
      </c>
      <c r="K138" s="49">
        <v>11.51</v>
      </c>
      <c r="L138" s="49">
        <v>19.28</v>
      </c>
      <c r="M138" s="49">
        <v>16.57</v>
      </c>
      <c r="N138" s="49">
        <v>12.42</v>
      </c>
      <c r="O138" s="49">
        <v>16.72</v>
      </c>
      <c r="P138" s="49">
        <v>16.850000000000001</v>
      </c>
      <c r="Q138" s="49">
        <v>30.25</v>
      </c>
      <c r="R138" s="49">
        <v>11.84</v>
      </c>
      <c r="S138" s="49">
        <v>31.27</v>
      </c>
    </row>
    <row r="139" spans="1:19" ht="18">
      <c r="A139" s="49">
        <v>1565</v>
      </c>
      <c r="B139" s="49" t="s">
        <v>1246</v>
      </c>
      <c r="C139" s="49">
        <v>14.6</v>
      </c>
      <c r="D139" s="49">
        <v>9.4700000000000006</v>
      </c>
      <c r="E139" s="49">
        <v>16.420000000000002</v>
      </c>
      <c r="F139" s="49">
        <v>23.12</v>
      </c>
      <c r="G139" s="49">
        <v>15.74</v>
      </c>
      <c r="H139" s="49">
        <v>20.12</v>
      </c>
      <c r="I139" s="49">
        <v>28.5</v>
      </c>
      <c r="J139" s="49">
        <v>16</v>
      </c>
      <c r="K139" s="49">
        <v>23.57</v>
      </c>
      <c r="L139" s="49">
        <v>18.2</v>
      </c>
      <c r="M139" s="49">
        <v>29.31</v>
      </c>
      <c r="N139" s="49">
        <v>16.5</v>
      </c>
      <c r="O139" s="49">
        <v>16.41</v>
      </c>
      <c r="P139" s="49">
        <v>17.11</v>
      </c>
      <c r="Q139" s="49">
        <v>16.600000000000001</v>
      </c>
      <c r="R139" s="49">
        <v>11.65</v>
      </c>
      <c r="S139" s="49">
        <v>15.51</v>
      </c>
    </row>
    <row r="140" spans="1:19" ht="18">
      <c r="A140" s="49">
        <v>1568</v>
      </c>
      <c r="B140" s="49" t="s">
        <v>400</v>
      </c>
      <c r="C140" s="49">
        <v>0</v>
      </c>
      <c r="D140" s="49">
        <v>0</v>
      </c>
      <c r="E140" s="49">
        <v>0</v>
      </c>
      <c r="F140" s="49">
        <v>0</v>
      </c>
      <c r="G140" s="49">
        <v>0</v>
      </c>
      <c r="H140" s="49">
        <v>0</v>
      </c>
      <c r="I140" s="49">
        <v>0</v>
      </c>
      <c r="J140" s="49">
        <v>20.45</v>
      </c>
      <c r="K140" s="49">
        <v>16.02</v>
      </c>
      <c r="L140" s="49">
        <v>21.6</v>
      </c>
      <c r="M140" s="49">
        <v>18.21</v>
      </c>
      <c r="N140" s="49">
        <v>13.66</v>
      </c>
      <c r="O140" s="49">
        <v>80.42</v>
      </c>
      <c r="P140" s="49">
        <v>306.43</v>
      </c>
      <c r="Q140" s="49">
        <v>299.38</v>
      </c>
      <c r="R140" s="49">
        <v>14.01</v>
      </c>
      <c r="S140" s="49">
        <v>9.9700000000000006</v>
      </c>
    </row>
    <row r="141" spans="1:19" ht="18">
      <c r="A141" s="49">
        <v>1569</v>
      </c>
      <c r="B141" s="49" t="s">
        <v>1247</v>
      </c>
      <c r="C141" s="49">
        <v>12.24</v>
      </c>
      <c r="D141" s="49">
        <v>5.87</v>
      </c>
      <c r="E141" s="49">
        <v>17.420000000000002</v>
      </c>
      <c r="F141" s="49">
        <v>13.79</v>
      </c>
      <c r="G141" s="49">
        <v>28.88</v>
      </c>
      <c r="H141" s="49">
        <v>16.190000000000001</v>
      </c>
      <c r="I141" s="49">
        <v>0</v>
      </c>
      <c r="J141" s="49">
        <v>0</v>
      </c>
      <c r="K141" s="49">
        <v>0</v>
      </c>
      <c r="L141" s="49">
        <v>23.96</v>
      </c>
      <c r="M141" s="49">
        <v>14.19</v>
      </c>
      <c r="N141" s="49">
        <v>15.37</v>
      </c>
      <c r="O141" s="49">
        <v>44.4</v>
      </c>
      <c r="P141" s="49">
        <v>9.16</v>
      </c>
      <c r="Q141" s="49">
        <v>10.76</v>
      </c>
      <c r="R141" s="49">
        <v>4.95</v>
      </c>
      <c r="S141" s="49">
        <v>0</v>
      </c>
    </row>
    <row r="142" spans="1:19" ht="18">
      <c r="A142" s="49">
        <v>1570</v>
      </c>
      <c r="B142" s="49" t="s">
        <v>1248</v>
      </c>
      <c r="C142" s="49">
        <v>12.08</v>
      </c>
      <c r="D142" s="49">
        <v>0</v>
      </c>
      <c r="E142" s="49">
        <v>0</v>
      </c>
      <c r="F142" s="49">
        <v>0</v>
      </c>
      <c r="G142" s="49">
        <v>0</v>
      </c>
      <c r="H142" s="49">
        <v>0</v>
      </c>
      <c r="I142" s="49">
        <v>12.52</v>
      </c>
      <c r="J142" s="49">
        <v>8.0399999999999991</v>
      </c>
      <c r="K142" s="49">
        <v>9.64</v>
      </c>
      <c r="L142" s="49">
        <v>20.59</v>
      </c>
      <c r="M142" s="49">
        <v>7.68</v>
      </c>
      <c r="N142" s="49">
        <v>8.84</v>
      </c>
      <c r="O142" s="49">
        <v>9.76</v>
      </c>
      <c r="P142" s="49">
        <v>11.95</v>
      </c>
      <c r="Q142" s="49">
        <v>10.02</v>
      </c>
      <c r="R142" s="49">
        <v>7.52</v>
      </c>
      <c r="S142" s="49">
        <v>28.65</v>
      </c>
    </row>
    <row r="143" spans="1:19" ht="18">
      <c r="A143" s="49">
        <v>1580</v>
      </c>
      <c r="B143" s="49" t="s">
        <v>1249</v>
      </c>
      <c r="C143" s="49">
        <v>9.4700000000000006</v>
      </c>
      <c r="D143" s="49">
        <v>6.89</v>
      </c>
      <c r="E143" s="49">
        <v>11.93</v>
      </c>
      <c r="F143" s="49">
        <v>12.74</v>
      </c>
      <c r="G143" s="49">
        <v>9.66</v>
      </c>
      <c r="H143" s="49">
        <v>13.63</v>
      </c>
      <c r="I143" s="49">
        <v>15.32</v>
      </c>
      <c r="J143" s="49">
        <v>17.670000000000002</v>
      </c>
      <c r="K143" s="49">
        <v>10.38</v>
      </c>
      <c r="L143" s="49">
        <v>12.69</v>
      </c>
      <c r="M143" s="49">
        <v>14.95</v>
      </c>
      <c r="N143" s="49">
        <v>12.08</v>
      </c>
      <c r="O143" s="49">
        <v>11.39</v>
      </c>
      <c r="P143" s="49">
        <v>11.83</v>
      </c>
      <c r="Q143" s="49">
        <v>11.8</v>
      </c>
      <c r="R143" s="49">
        <v>9.86</v>
      </c>
      <c r="S143" s="49">
        <v>14.29</v>
      </c>
    </row>
    <row r="144" spans="1:19" ht="18">
      <c r="A144" s="49">
        <v>1582</v>
      </c>
      <c r="B144" s="49" t="s">
        <v>401</v>
      </c>
      <c r="C144" s="49">
        <v>13.5</v>
      </c>
      <c r="D144" s="49">
        <v>5.4</v>
      </c>
      <c r="E144" s="49">
        <v>16.13</v>
      </c>
      <c r="F144" s="49">
        <v>10.85</v>
      </c>
      <c r="G144" s="49">
        <v>9.9700000000000006</v>
      </c>
      <c r="H144" s="49">
        <v>9.66</v>
      </c>
      <c r="I144" s="49">
        <v>11.42</v>
      </c>
      <c r="J144" s="49">
        <v>12.5</v>
      </c>
      <c r="K144" s="49">
        <v>8.3699999999999992</v>
      </c>
      <c r="L144" s="49">
        <v>11.25</v>
      </c>
      <c r="M144" s="49">
        <v>10.69</v>
      </c>
      <c r="N144" s="49">
        <v>9.8000000000000007</v>
      </c>
      <c r="O144" s="49">
        <v>12.01</v>
      </c>
      <c r="P144" s="49">
        <v>10.8</v>
      </c>
      <c r="Q144" s="49">
        <v>20.11</v>
      </c>
      <c r="R144" s="49">
        <v>19.73</v>
      </c>
      <c r="S144" s="49">
        <v>20.28</v>
      </c>
    </row>
    <row r="145" spans="1:19" ht="18">
      <c r="A145" s="49">
        <v>1583</v>
      </c>
      <c r="B145" s="49" t="s">
        <v>402</v>
      </c>
      <c r="C145" s="49">
        <v>0</v>
      </c>
      <c r="D145" s="49">
        <v>4.57</v>
      </c>
      <c r="E145" s="49">
        <v>0</v>
      </c>
      <c r="F145" s="49">
        <v>19.690000000000001</v>
      </c>
      <c r="G145" s="49">
        <v>9.51</v>
      </c>
      <c r="H145" s="49">
        <v>8.58</v>
      </c>
      <c r="I145" s="49">
        <v>13.88</v>
      </c>
      <c r="J145" s="49">
        <v>15.3</v>
      </c>
      <c r="K145" s="49">
        <v>8.4499999999999993</v>
      </c>
      <c r="L145" s="49">
        <v>23.35</v>
      </c>
      <c r="M145" s="49">
        <v>18.690000000000001</v>
      </c>
      <c r="N145" s="49">
        <v>10.18</v>
      </c>
      <c r="O145" s="49">
        <v>15.22</v>
      </c>
      <c r="P145" s="49">
        <v>15.59</v>
      </c>
      <c r="Q145" s="49">
        <v>21.34</v>
      </c>
      <c r="R145" s="49">
        <v>10.11</v>
      </c>
      <c r="S145" s="49">
        <v>11.78</v>
      </c>
    </row>
    <row r="146" spans="1:19" ht="18">
      <c r="A146" s="49">
        <v>1584</v>
      </c>
      <c r="B146" s="49" t="s">
        <v>1250</v>
      </c>
      <c r="C146" s="49">
        <v>12.71</v>
      </c>
      <c r="D146" s="49">
        <v>0</v>
      </c>
      <c r="E146" s="49">
        <v>0</v>
      </c>
      <c r="F146" s="49">
        <v>581.66999999999996</v>
      </c>
      <c r="G146" s="49">
        <v>15.25</v>
      </c>
      <c r="H146" s="49">
        <v>0</v>
      </c>
      <c r="I146" s="49">
        <v>0</v>
      </c>
      <c r="J146" s="49">
        <v>0</v>
      </c>
      <c r="K146" s="49">
        <v>0</v>
      </c>
      <c r="L146" s="49">
        <v>0</v>
      </c>
      <c r="M146" s="49">
        <v>0</v>
      </c>
      <c r="N146" s="49">
        <v>0</v>
      </c>
      <c r="O146" s="49">
        <v>0</v>
      </c>
      <c r="P146" s="49">
        <v>237</v>
      </c>
      <c r="Q146" s="49">
        <v>67.88</v>
      </c>
      <c r="R146" s="49">
        <v>24.29</v>
      </c>
      <c r="S146" s="49">
        <v>27.46</v>
      </c>
    </row>
    <row r="147" spans="1:19" ht="18">
      <c r="A147" s="49">
        <v>1586</v>
      </c>
      <c r="B147" s="49" t="s">
        <v>1251</v>
      </c>
      <c r="C147" s="49">
        <v>0</v>
      </c>
      <c r="D147" s="49">
        <v>0</v>
      </c>
      <c r="E147" s="49">
        <v>0</v>
      </c>
      <c r="F147" s="49">
        <v>0</v>
      </c>
      <c r="G147" s="49">
        <v>0</v>
      </c>
      <c r="H147" s="49">
        <v>0</v>
      </c>
      <c r="I147" s="49">
        <v>50.81</v>
      </c>
      <c r="J147" s="49">
        <v>23.28</v>
      </c>
      <c r="K147" s="49">
        <v>0</v>
      </c>
      <c r="L147" s="49">
        <v>0</v>
      </c>
      <c r="M147" s="49">
        <v>98.88</v>
      </c>
      <c r="N147" s="49">
        <v>24.22</v>
      </c>
      <c r="O147" s="49">
        <v>1163.33</v>
      </c>
      <c r="P147" s="49">
        <v>31.17</v>
      </c>
      <c r="Q147" s="49">
        <v>25.36</v>
      </c>
      <c r="R147" s="49">
        <v>40.85</v>
      </c>
      <c r="S147" s="49">
        <v>0</v>
      </c>
    </row>
    <row r="148" spans="1:19" ht="18">
      <c r="A148" s="49">
        <v>1587</v>
      </c>
      <c r="B148" s="49" t="s">
        <v>403</v>
      </c>
      <c r="C148" s="49">
        <v>0</v>
      </c>
      <c r="D148" s="49">
        <v>0</v>
      </c>
      <c r="E148" s="49">
        <v>0</v>
      </c>
      <c r="F148" s="49">
        <v>0</v>
      </c>
      <c r="G148" s="49">
        <v>0</v>
      </c>
      <c r="H148" s="49">
        <v>0</v>
      </c>
      <c r="I148" s="49">
        <v>0</v>
      </c>
      <c r="J148" s="49">
        <v>0</v>
      </c>
      <c r="K148" s="49">
        <v>0</v>
      </c>
      <c r="L148" s="49">
        <v>0</v>
      </c>
      <c r="M148" s="49">
        <v>0</v>
      </c>
      <c r="N148" s="49">
        <v>0</v>
      </c>
      <c r="O148" s="49">
        <v>22.09</v>
      </c>
      <c r="P148" s="49">
        <v>11.92</v>
      </c>
      <c r="Q148" s="49">
        <v>14.86</v>
      </c>
      <c r="R148" s="49">
        <v>10.88</v>
      </c>
      <c r="S148" s="49">
        <v>27</v>
      </c>
    </row>
    <row r="149" spans="1:19" ht="18">
      <c r="A149" s="49">
        <v>1589</v>
      </c>
      <c r="B149" s="49" t="s">
        <v>404</v>
      </c>
      <c r="C149" s="49">
        <v>0</v>
      </c>
      <c r="D149" s="49">
        <v>0</v>
      </c>
      <c r="E149" s="49">
        <v>0</v>
      </c>
      <c r="F149" s="49">
        <v>0</v>
      </c>
      <c r="G149" s="49">
        <v>0</v>
      </c>
      <c r="H149" s="49">
        <v>11.58</v>
      </c>
      <c r="I149" s="49">
        <v>21.63</v>
      </c>
      <c r="J149" s="49">
        <v>15.91</v>
      </c>
      <c r="K149" s="49">
        <v>17.32</v>
      </c>
      <c r="L149" s="49">
        <v>9.99</v>
      </c>
      <c r="M149" s="49">
        <v>13.6</v>
      </c>
      <c r="N149" s="49">
        <v>0</v>
      </c>
      <c r="O149" s="49">
        <v>0</v>
      </c>
      <c r="P149" s="49">
        <v>19.07</v>
      </c>
      <c r="Q149" s="49">
        <v>13.29</v>
      </c>
      <c r="R149" s="49">
        <v>0</v>
      </c>
      <c r="S149" s="49">
        <v>0</v>
      </c>
    </row>
    <row r="150" spans="1:19" ht="18">
      <c r="A150" s="49">
        <v>1590</v>
      </c>
      <c r="B150" s="49" t="s">
        <v>405</v>
      </c>
      <c r="C150" s="49">
        <v>0</v>
      </c>
      <c r="D150" s="49">
        <v>0</v>
      </c>
      <c r="E150" s="49">
        <v>0</v>
      </c>
      <c r="F150" s="49">
        <v>40.33</v>
      </c>
      <c r="G150" s="49">
        <v>14.96</v>
      </c>
      <c r="H150" s="49">
        <v>22.4</v>
      </c>
      <c r="I150" s="49">
        <v>25.21</v>
      </c>
      <c r="J150" s="49">
        <v>27.21</v>
      </c>
      <c r="K150" s="49">
        <v>18.670000000000002</v>
      </c>
      <c r="L150" s="49">
        <v>24.29</v>
      </c>
      <c r="M150" s="49">
        <v>35.619999999999997</v>
      </c>
      <c r="N150" s="49">
        <v>19.25</v>
      </c>
      <c r="O150" s="49">
        <v>34.200000000000003</v>
      </c>
      <c r="P150" s="49">
        <v>41.57</v>
      </c>
      <c r="Q150" s="49">
        <v>30.04</v>
      </c>
      <c r="R150" s="49">
        <v>29.67</v>
      </c>
      <c r="S150" s="49">
        <v>30.57</v>
      </c>
    </row>
    <row r="151" spans="1:19" ht="18">
      <c r="A151" s="49">
        <v>1591</v>
      </c>
      <c r="B151" s="49" t="s">
        <v>1252</v>
      </c>
      <c r="C151" s="49">
        <v>0</v>
      </c>
      <c r="D151" s="49">
        <v>0</v>
      </c>
      <c r="E151" s="49">
        <v>0</v>
      </c>
      <c r="F151" s="49">
        <v>0</v>
      </c>
      <c r="G151" s="49">
        <v>0</v>
      </c>
      <c r="H151" s="49">
        <v>10.79</v>
      </c>
      <c r="I151" s="49">
        <v>14.35</v>
      </c>
      <c r="J151" s="49">
        <v>27.01</v>
      </c>
      <c r="K151" s="49">
        <v>17.73</v>
      </c>
      <c r="L151" s="49">
        <v>16.95</v>
      </c>
      <c r="M151" s="49">
        <v>42.93</v>
      </c>
      <c r="N151" s="49">
        <v>40.81</v>
      </c>
      <c r="O151" s="49">
        <v>21.76</v>
      </c>
      <c r="P151" s="49">
        <v>20.64</v>
      </c>
      <c r="Q151" s="49">
        <v>9.42</v>
      </c>
      <c r="R151" s="49">
        <v>6.91</v>
      </c>
      <c r="S151" s="49">
        <v>0</v>
      </c>
    </row>
    <row r="152" spans="1:19" ht="18">
      <c r="A152" s="49">
        <v>1593</v>
      </c>
      <c r="B152" s="49" t="s">
        <v>1253</v>
      </c>
      <c r="C152" s="49">
        <v>0</v>
      </c>
      <c r="D152" s="49">
        <v>0</v>
      </c>
      <c r="E152" s="49">
        <v>0</v>
      </c>
      <c r="F152" s="49">
        <v>0</v>
      </c>
      <c r="G152" s="49">
        <v>0</v>
      </c>
      <c r="H152" s="49">
        <v>15.23</v>
      </c>
      <c r="I152" s="49">
        <v>16.739999999999998</v>
      </c>
      <c r="J152" s="49">
        <v>19.8</v>
      </c>
      <c r="K152" s="49">
        <v>15.51</v>
      </c>
      <c r="L152" s="49">
        <v>11.25</v>
      </c>
      <c r="M152" s="49">
        <v>14.07</v>
      </c>
      <c r="N152" s="49">
        <v>11.04</v>
      </c>
      <c r="O152" s="49">
        <v>13.13</v>
      </c>
      <c r="P152" s="49">
        <v>19.13</v>
      </c>
      <c r="Q152" s="49">
        <v>16.46</v>
      </c>
      <c r="R152" s="49">
        <v>12.89</v>
      </c>
      <c r="S152" s="49">
        <v>27.03</v>
      </c>
    </row>
    <row r="153" spans="1:19" ht="18">
      <c r="A153" s="49">
        <v>1595</v>
      </c>
      <c r="B153" s="49" t="s">
        <v>1254</v>
      </c>
      <c r="C153" s="49">
        <v>0</v>
      </c>
      <c r="D153" s="49">
        <v>0</v>
      </c>
      <c r="E153" s="49">
        <v>0</v>
      </c>
      <c r="F153" s="49">
        <v>0</v>
      </c>
      <c r="G153" s="49">
        <v>8.15</v>
      </c>
      <c r="H153" s="49">
        <v>8.4</v>
      </c>
      <c r="I153" s="49">
        <v>10.039999999999999</v>
      </c>
      <c r="J153" s="49">
        <v>10.130000000000001</v>
      </c>
      <c r="K153" s="49">
        <v>12.01</v>
      </c>
      <c r="L153" s="49">
        <v>25.61</v>
      </c>
      <c r="M153" s="49">
        <v>33.86</v>
      </c>
      <c r="N153" s="49">
        <v>6.06</v>
      </c>
      <c r="O153" s="49">
        <v>18.329999999999998</v>
      </c>
      <c r="P153" s="49">
        <v>24.96</v>
      </c>
      <c r="Q153" s="49">
        <v>19.98</v>
      </c>
      <c r="R153" s="49">
        <v>6.16</v>
      </c>
      <c r="S153" s="49">
        <v>27.55</v>
      </c>
    </row>
    <row r="154" spans="1:19" ht="18">
      <c r="A154" s="49">
        <v>1597</v>
      </c>
      <c r="B154" s="49" t="s">
        <v>406</v>
      </c>
      <c r="C154" s="49">
        <v>0</v>
      </c>
      <c r="D154" s="49">
        <v>0</v>
      </c>
      <c r="E154" s="49">
        <v>0</v>
      </c>
      <c r="F154" s="49">
        <v>0</v>
      </c>
      <c r="G154" s="49">
        <v>0</v>
      </c>
      <c r="H154" s="49">
        <v>12.98</v>
      </c>
      <c r="I154" s="49">
        <v>55.87</v>
      </c>
      <c r="J154" s="49">
        <v>153.93</v>
      </c>
      <c r="K154" s="49">
        <v>30.17</v>
      </c>
      <c r="L154" s="49">
        <v>24.26</v>
      </c>
      <c r="M154" s="49">
        <v>30.78</v>
      </c>
      <c r="N154" s="49">
        <v>12.41</v>
      </c>
      <c r="O154" s="49">
        <v>33.659999999999997</v>
      </c>
      <c r="P154" s="49">
        <v>35.729999999999997</v>
      </c>
      <c r="Q154" s="49">
        <v>23.49</v>
      </c>
      <c r="R154" s="49">
        <v>19.829999999999998</v>
      </c>
      <c r="S154" s="49">
        <v>27.9</v>
      </c>
    </row>
    <row r="155" spans="1:19" ht="18">
      <c r="A155" s="49">
        <v>1598</v>
      </c>
      <c r="B155" s="49" t="s">
        <v>407</v>
      </c>
      <c r="C155" s="49">
        <v>0</v>
      </c>
      <c r="D155" s="49">
        <v>0</v>
      </c>
      <c r="E155" s="49">
        <v>0</v>
      </c>
      <c r="F155" s="49">
        <v>0</v>
      </c>
      <c r="G155" s="49">
        <v>0</v>
      </c>
      <c r="H155" s="49">
        <v>0</v>
      </c>
      <c r="I155" s="49">
        <v>0</v>
      </c>
      <c r="J155" s="49">
        <v>0</v>
      </c>
      <c r="K155" s="49">
        <v>0</v>
      </c>
      <c r="L155" s="49">
        <v>10.37</v>
      </c>
      <c r="M155" s="49">
        <v>172.31</v>
      </c>
      <c r="N155" s="49">
        <v>309.08999999999997</v>
      </c>
      <c r="O155" s="49">
        <v>17.84</v>
      </c>
      <c r="P155" s="49">
        <v>21.18</v>
      </c>
      <c r="Q155" s="49">
        <v>6.13</v>
      </c>
      <c r="R155" s="49">
        <v>0</v>
      </c>
      <c r="S155" s="49">
        <v>0</v>
      </c>
    </row>
    <row r="156" spans="1:19" ht="18">
      <c r="A156" s="49">
        <v>1599</v>
      </c>
      <c r="B156" s="49" t="s">
        <v>1255</v>
      </c>
      <c r="C156" s="49">
        <v>0</v>
      </c>
      <c r="D156" s="49">
        <v>0</v>
      </c>
      <c r="E156" s="49">
        <v>0</v>
      </c>
      <c r="F156" s="49">
        <v>0</v>
      </c>
      <c r="G156" s="49">
        <v>0</v>
      </c>
      <c r="H156" s="49">
        <v>17.39</v>
      </c>
      <c r="I156" s="49">
        <v>11.55</v>
      </c>
      <c r="J156" s="49">
        <v>27.1</v>
      </c>
      <c r="K156" s="49">
        <v>8.8000000000000007</v>
      </c>
      <c r="L156" s="49">
        <v>7.87</v>
      </c>
      <c r="M156" s="49">
        <v>21.04</v>
      </c>
      <c r="N156" s="49">
        <v>9.77</v>
      </c>
      <c r="O156" s="49">
        <v>15.08</v>
      </c>
      <c r="P156" s="49">
        <v>15.06</v>
      </c>
      <c r="Q156" s="49">
        <v>11.14</v>
      </c>
      <c r="R156" s="49">
        <v>9.6300000000000008</v>
      </c>
      <c r="S156" s="49">
        <v>28.78</v>
      </c>
    </row>
    <row r="157" spans="1:19" ht="18">
      <c r="A157" s="49">
        <v>1603</v>
      </c>
      <c r="B157" s="49" t="s">
        <v>408</v>
      </c>
      <c r="C157" s="49">
        <v>16.510000000000002</v>
      </c>
      <c r="D157" s="49">
        <v>7.72</v>
      </c>
      <c r="E157" s="49">
        <v>13.29</v>
      </c>
      <c r="F157" s="49">
        <v>14.25</v>
      </c>
      <c r="G157" s="49">
        <v>17.18</v>
      </c>
      <c r="H157" s="49">
        <v>10.9</v>
      </c>
      <c r="I157" s="49">
        <v>14.68</v>
      </c>
      <c r="J157" s="49">
        <v>16.329999999999998</v>
      </c>
      <c r="K157" s="49">
        <v>6.19</v>
      </c>
      <c r="L157" s="49">
        <v>7.02</v>
      </c>
      <c r="M157" s="49">
        <v>22</v>
      </c>
      <c r="N157" s="49">
        <v>24.43</v>
      </c>
      <c r="O157" s="49">
        <v>27.23</v>
      </c>
      <c r="P157" s="49">
        <v>11.43</v>
      </c>
      <c r="Q157" s="49">
        <v>17.52</v>
      </c>
      <c r="R157" s="49">
        <v>12.75</v>
      </c>
      <c r="S157" s="49">
        <v>14.98</v>
      </c>
    </row>
    <row r="158" spans="1:19" ht="18">
      <c r="A158" s="49">
        <v>1604</v>
      </c>
      <c r="B158" s="49" t="s">
        <v>409</v>
      </c>
      <c r="C158" s="49">
        <v>0</v>
      </c>
      <c r="D158" s="49">
        <v>10.38</v>
      </c>
      <c r="E158" s="49">
        <v>3</v>
      </c>
      <c r="F158" s="49">
        <v>80.36</v>
      </c>
      <c r="G158" s="49">
        <v>8.3000000000000007</v>
      </c>
      <c r="H158" s="49">
        <v>65.8</v>
      </c>
      <c r="I158" s="49">
        <v>12.22</v>
      </c>
      <c r="J158" s="49">
        <v>12.7</v>
      </c>
      <c r="K158" s="49">
        <v>11.23</v>
      </c>
      <c r="L158" s="49">
        <v>11.37</v>
      </c>
      <c r="M158" s="49">
        <v>13.89</v>
      </c>
      <c r="N158" s="49">
        <v>9.33</v>
      </c>
      <c r="O158" s="49">
        <v>10.08</v>
      </c>
      <c r="P158" s="49">
        <v>5.65</v>
      </c>
      <c r="Q158" s="49">
        <v>6.46</v>
      </c>
      <c r="R158" s="49">
        <v>14.56</v>
      </c>
      <c r="S158" s="49">
        <v>15.48</v>
      </c>
    </row>
    <row r="159" spans="1:19" ht="18">
      <c r="A159" s="49">
        <v>1605</v>
      </c>
      <c r="B159" s="49" t="s">
        <v>410</v>
      </c>
      <c r="C159" s="49">
        <v>15.23</v>
      </c>
      <c r="D159" s="49">
        <v>53</v>
      </c>
      <c r="E159" s="49">
        <v>0</v>
      </c>
      <c r="F159" s="49">
        <v>19.68</v>
      </c>
      <c r="G159" s="49">
        <v>15.03</v>
      </c>
      <c r="H159" s="49">
        <v>0</v>
      </c>
      <c r="I159" s="49">
        <v>29.88</v>
      </c>
      <c r="J159" s="49">
        <v>0</v>
      </c>
      <c r="K159" s="49">
        <v>18.82</v>
      </c>
      <c r="L159" s="49">
        <v>10.39</v>
      </c>
      <c r="M159" s="49">
        <v>9.41</v>
      </c>
      <c r="N159" s="49">
        <v>4.63</v>
      </c>
      <c r="O159" s="49">
        <v>14.81</v>
      </c>
      <c r="P159" s="49">
        <v>10.84</v>
      </c>
      <c r="Q159" s="49">
        <v>7.66</v>
      </c>
      <c r="R159" s="49">
        <v>7.53</v>
      </c>
      <c r="S159" s="49">
        <v>29.06</v>
      </c>
    </row>
    <row r="160" spans="1:19" ht="18">
      <c r="A160" s="49">
        <v>1608</v>
      </c>
      <c r="B160" s="49" t="s">
        <v>411</v>
      </c>
      <c r="C160" s="49">
        <v>12.82</v>
      </c>
      <c r="D160" s="49">
        <v>0</v>
      </c>
      <c r="E160" s="49">
        <v>0</v>
      </c>
      <c r="F160" s="49">
        <v>14.88</v>
      </c>
      <c r="G160" s="49">
        <v>51.93</v>
      </c>
      <c r="H160" s="49">
        <v>18.940000000000001</v>
      </c>
      <c r="I160" s="49">
        <v>89.23</v>
      </c>
      <c r="J160" s="49">
        <v>9.58</v>
      </c>
      <c r="K160" s="49">
        <v>0</v>
      </c>
      <c r="L160" s="49">
        <v>26.81</v>
      </c>
      <c r="M160" s="49">
        <v>14.33</v>
      </c>
      <c r="N160" s="49">
        <v>0</v>
      </c>
      <c r="O160" s="49">
        <v>43.26</v>
      </c>
      <c r="P160" s="49">
        <v>14.42</v>
      </c>
      <c r="Q160" s="49">
        <v>6.13</v>
      </c>
      <c r="R160" s="49">
        <v>59.57</v>
      </c>
      <c r="S160" s="49">
        <v>11</v>
      </c>
    </row>
    <row r="161" spans="1:19" ht="18">
      <c r="A161" s="49">
        <v>1609</v>
      </c>
      <c r="B161" s="49" t="s">
        <v>412</v>
      </c>
      <c r="C161" s="49">
        <v>0</v>
      </c>
      <c r="D161" s="49">
        <v>10.58</v>
      </c>
      <c r="E161" s="49">
        <v>0</v>
      </c>
      <c r="F161" s="49">
        <v>20.52</v>
      </c>
      <c r="G161" s="49">
        <v>7.35</v>
      </c>
      <c r="H161" s="49">
        <v>59.5</v>
      </c>
      <c r="I161" s="49">
        <v>0</v>
      </c>
      <c r="J161" s="49">
        <v>21.5</v>
      </c>
      <c r="K161" s="49">
        <v>0</v>
      </c>
      <c r="L161" s="49">
        <v>0</v>
      </c>
      <c r="M161" s="49">
        <v>19.579999999999998</v>
      </c>
      <c r="N161" s="49">
        <v>11.53</v>
      </c>
      <c r="O161" s="49">
        <v>17.27</v>
      </c>
      <c r="P161" s="49">
        <v>14.67</v>
      </c>
      <c r="Q161" s="49">
        <v>14.26</v>
      </c>
      <c r="R161" s="49">
        <v>13.1</v>
      </c>
      <c r="S161" s="49">
        <v>8.8000000000000007</v>
      </c>
    </row>
    <row r="162" spans="1:19" ht="18">
      <c r="A162" s="49">
        <v>1611</v>
      </c>
      <c r="B162" s="49" t="s">
        <v>413</v>
      </c>
      <c r="C162" s="49">
        <v>11.54</v>
      </c>
      <c r="D162" s="49">
        <v>7.84</v>
      </c>
      <c r="E162" s="49">
        <v>92.59</v>
      </c>
      <c r="F162" s="49">
        <v>15.22</v>
      </c>
      <c r="G162" s="49">
        <v>13.09</v>
      </c>
      <c r="H162" s="49">
        <v>39.770000000000003</v>
      </c>
      <c r="I162" s="49">
        <v>102.14</v>
      </c>
      <c r="J162" s="49">
        <v>0</v>
      </c>
      <c r="K162" s="49">
        <v>0</v>
      </c>
      <c r="L162" s="49">
        <v>0</v>
      </c>
      <c r="M162" s="49">
        <v>0</v>
      </c>
      <c r="N162" s="49">
        <v>5.05</v>
      </c>
      <c r="O162" s="49">
        <v>27.75</v>
      </c>
      <c r="P162" s="49">
        <v>5.58</v>
      </c>
      <c r="Q162" s="49">
        <v>157.5</v>
      </c>
      <c r="R162" s="49">
        <v>13.89</v>
      </c>
      <c r="S162" s="49">
        <v>39.520000000000003</v>
      </c>
    </row>
    <row r="163" spans="1:19" ht="18">
      <c r="A163" s="49">
        <v>1612</v>
      </c>
      <c r="B163" s="49" t="s">
        <v>414</v>
      </c>
      <c r="C163" s="49">
        <v>8.2100000000000009</v>
      </c>
      <c r="D163" s="49">
        <v>12.15</v>
      </c>
      <c r="E163" s="49">
        <v>108.85</v>
      </c>
      <c r="F163" s="49">
        <v>13.84</v>
      </c>
      <c r="G163" s="49">
        <v>13.39</v>
      </c>
      <c r="H163" s="49">
        <v>14.24</v>
      </c>
      <c r="I163" s="49">
        <v>0</v>
      </c>
      <c r="J163" s="49">
        <v>14.93</v>
      </c>
      <c r="K163" s="49">
        <v>35.46</v>
      </c>
      <c r="L163" s="49">
        <v>36.79</v>
      </c>
      <c r="M163" s="49">
        <v>16.18</v>
      </c>
      <c r="N163" s="49">
        <v>19.850000000000001</v>
      </c>
      <c r="O163" s="49">
        <v>22.71</v>
      </c>
      <c r="P163" s="49">
        <v>14.44</v>
      </c>
      <c r="Q163" s="49">
        <v>13.45</v>
      </c>
      <c r="R163" s="49">
        <v>2.1</v>
      </c>
      <c r="S163" s="49">
        <v>15.3</v>
      </c>
    </row>
    <row r="164" spans="1:19" ht="18">
      <c r="A164" s="49">
        <v>1614</v>
      </c>
      <c r="B164" s="49" t="s">
        <v>415</v>
      </c>
      <c r="C164" s="49">
        <v>26.84</v>
      </c>
      <c r="D164" s="49">
        <v>14.55</v>
      </c>
      <c r="E164" s="49">
        <v>45.47</v>
      </c>
      <c r="F164" s="49">
        <v>40</v>
      </c>
      <c r="G164" s="49">
        <v>22.02</v>
      </c>
      <c r="H164" s="49">
        <v>36.94</v>
      </c>
      <c r="I164" s="49">
        <v>45.99</v>
      </c>
      <c r="J164" s="49">
        <v>30.8</v>
      </c>
      <c r="K164" s="49">
        <v>25</v>
      </c>
      <c r="L164" s="49">
        <v>17.79</v>
      </c>
      <c r="M164" s="49">
        <v>33.119999999999997</v>
      </c>
      <c r="N164" s="49">
        <v>25.86</v>
      </c>
      <c r="O164" s="49">
        <v>40.65</v>
      </c>
      <c r="P164" s="49">
        <v>25.21</v>
      </c>
      <c r="Q164" s="49">
        <v>28.2</v>
      </c>
      <c r="R164" s="49">
        <v>28.59</v>
      </c>
      <c r="S164" s="49">
        <v>31.3</v>
      </c>
    </row>
    <row r="165" spans="1:19" ht="18">
      <c r="A165" s="49">
        <v>1615</v>
      </c>
      <c r="B165" s="49" t="s">
        <v>416</v>
      </c>
      <c r="C165" s="49">
        <v>5.78</v>
      </c>
      <c r="D165" s="49">
        <v>4.8099999999999996</v>
      </c>
      <c r="E165" s="49">
        <v>26.7</v>
      </c>
      <c r="F165" s="49">
        <v>8.42</v>
      </c>
      <c r="G165" s="49">
        <v>7.11</v>
      </c>
      <c r="H165" s="49">
        <v>32.58</v>
      </c>
      <c r="I165" s="49">
        <v>46.14</v>
      </c>
      <c r="J165" s="49">
        <v>14.5</v>
      </c>
      <c r="K165" s="49">
        <v>32.67</v>
      </c>
      <c r="L165" s="49">
        <v>24.29</v>
      </c>
      <c r="M165" s="49">
        <v>12.01</v>
      </c>
      <c r="N165" s="49">
        <v>9.0299999999999994</v>
      </c>
      <c r="O165" s="49">
        <v>10.5</v>
      </c>
      <c r="P165" s="49">
        <v>9.92</v>
      </c>
      <c r="Q165" s="49">
        <v>10.42</v>
      </c>
      <c r="R165" s="49">
        <v>10.63</v>
      </c>
      <c r="S165" s="49">
        <v>13.71</v>
      </c>
    </row>
    <row r="166" spans="1:19" ht="18">
      <c r="A166" s="49">
        <v>1616</v>
      </c>
      <c r="B166" s="49" t="s">
        <v>417</v>
      </c>
      <c r="C166" s="49">
        <v>0</v>
      </c>
      <c r="D166" s="49">
        <v>42.1</v>
      </c>
      <c r="E166" s="49">
        <v>0</v>
      </c>
      <c r="F166" s="49">
        <v>0</v>
      </c>
      <c r="G166" s="49">
        <v>0</v>
      </c>
      <c r="H166" s="49">
        <v>0</v>
      </c>
      <c r="I166" s="49">
        <v>0</v>
      </c>
      <c r="J166" s="49">
        <v>0</v>
      </c>
      <c r="K166" s="49">
        <v>5.81</v>
      </c>
      <c r="L166" s="49">
        <v>46</v>
      </c>
      <c r="M166" s="49">
        <v>0</v>
      </c>
      <c r="N166" s="49">
        <v>0</v>
      </c>
      <c r="O166" s="49">
        <v>0</v>
      </c>
      <c r="P166" s="49">
        <v>0</v>
      </c>
      <c r="Q166" s="49">
        <v>36.82</v>
      </c>
      <c r="R166" s="49">
        <v>0</v>
      </c>
      <c r="S166" s="49">
        <v>14.84</v>
      </c>
    </row>
    <row r="167" spans="1:19" ht="18">
      <c r="A167" s="49">
        <v>1617</v>
      </c>
      <c r="B167" s="49" t="s">
        <v>418</v>
      </c>
      <c r="C167" s="49">
        <v>0</v>
      </c>
      <c r="D167" s="49">
        <v>7.18</v>
      </c>
      <c r="E167" s="49">
        <v>0</v>
      </c>
      <c r="F167" s="49">
        <v>10.43</v>
      </c>
      <c r="G167" s="49">
        <v>130.56</v>
      </c>
      <c r="H167" s="49">
        <v>0</v>
      </c>
      <c r="I167" s="49">
        <v>107.89</v>
      </c>
      <c r="J167" s="49">
        <v>38.67</v>
      </c>
      <c r="K167" s="49">
        <v>24.44</v>
      </c>
      <c r="L167" s="49">
        <v>20.54</v>
      </c>
      <c r="M167" s="49">
        <v>15.05</v>
      </c>
      <c r="N167" s="49">
        <v>9.5500000000000007</v>
      </c>
      <c r="O167" s="49">
        <v>14.46</v>
      </c>
      <c r="P167" s="49">
        <v>15.26</v>
      </c>
      <c r="Q167" s="49">
        <v>12.97</v>
      </c>
      <c r="R167" s="49">
        <v>23.73</v>
      </c>
      <c r="S167" s="49">
        <v>50.15</v>
      </c>
    </row>
    <row r="168" spans="1:19" ht="18">
      <c r="A168" s="49">
        <v>1618</v>
      </c>
      <c r="B168" s="49" t="s">
        <v>419</v>
      </c>
      <c r="C168" s="49">
        <v>49.32</v>
      </c>
      <c r="D168" s="49">
        <v>9</v>
      </c>
      <c r="E168" s="49">
        <v>0</v>
      </c>
      <c r="F168" s="49">
        <v>7.25</v>
      </c>
      <c r="G168" s="49">
        <v>9.07</v>
      </c>
      <c r="H168" s="49">
        <v>12.47</v>
      </c>
      <c r="I168" s="49">
        <v>165.67</v>
      </c>
      <c r="J168" s="49">
        <v>0</v>
      </c>
      <c r="K168" s="49">
        <v>0</v>
      </c>
      <c r="L168" s="49">
        <v>11.36</v>
      </c>
      <c r="M168" s="49">
        <v>33.07</v>
      </c>
      <c r="N168" s="49">
        <v>23.08</v>
      </c>
      <c r="O168" s="49">
        <v>0</v>
      </c>
      <c r="P168" s="49">
        <v>13.35</v>
      </c>
      <c r="Q168" s="49">
        <v>13.43</v>
      </c>
      <c r="R168" s="49">
        <v>12.37</v>
      </c>
      <c r="S168" s="49">
        <v>20.149999999999999</v>
      </c>
    </row>
    <row r="169" spans="1:19" ht="18">
      <c r="A169" s="49">
        <v>1626</v>
      </c>
      <c r="B169" s="49" t="s">
        <v>420</v>
      </c>
      <c r="C169" s="49">
        <v>0</v>
      </c>
      <c r="D169" s="49">
        <v>0</v>
      </c>
      <c r="E169" s="49">
        <v>0</v>
      </c>
      <c r="F169" s="49">
        <v>0</v>
      </c>
      <c r="G169" s="49">
        <v>0</v>
      </c>
      <c r="H169" s="49">
        <v>0</v>
      </c>
      <c r="I169" s="49">
        <v>16.75</v>
      </c>
      <c r="J169" s="49">
        <v>0</v>
      </c>
      <c r="K169" s="49">
        <v>0</v>
      </c>
      <c r="L169" s="49">
        <v>30.06</v>
      </c>
      <c r="M169" s="49">
        <v>23.08</v>
      </c>
      <c r="N169" s="49">
        <v>0</v>
      </c>
      <c r="O169" s="49">
        <v>8.7799999999999994</v>
      </c>
      <c r="P169" s="49">
        <v>30</v>
      </c>
      <c r="Q169" s="49">
        <v>0</v>
      </c>
      <c r="R169" s="49">
        <v>4.4400000000000004</v>
      </c>
      <c r="S169" s="49">
        <v>0</v>
      </c>
    </row>
    <row r="170" spans="1:19" ht="18">
      <c r="A170" s="49">
        <v>1701</v>
      </c>
      <c r="B170" s="49" t="s">
        <v>421</v>
      </c>
      <c r="C170" s="49">
        <v>15.05</v>
      </c>
      <c r="D170" s="49">
        <v>18.510000000000002</v>
      </c>
      <c r="E170" s="49">
        <v>52.61</v>
      </c>
      <c r="F170" s="49">
        <v>21.22</v>
      </c>
      <c r="G170" s="49">
        <v>14.57</v>
      </c>
      <c r="H170" s="49">
        <v>20.100000000000001</v>
      </c>
      <c r="I170" s="49">
        <v>25.49</v>
      </c>
      <c r="J170" s="49">
        <v>24</v>
      </c>
      <c r="K170" s="49">
        <v>13.08</v>
      </c>
      <c r="L170" s="49">
        <v>17.329999999999998</v>
      </c>
      <c r="M170" s="49">
        <v>18.84</v>
      </c>
      <c r="N170" s="49">
        <v>14.37</v>
      </c>
      <c r="O170" s="49">
        <v>15.91</v>
      </c>
      <c r="P170" s="49">
        <v>13.18</v>
      </c>
      <c r="Q170" s="49">
        <v>14.71</v>
      </c>
      <c r="R170" s="49">
        <v>18.79</v>
      </c>
      <c r="S170" s="49">
        <v>22.76</v>
      </c>
    </row>
    <row r="171" spans="1:19" ht="18">
      <c r="A171" s="49">
        <v>1702</v>
      </c>
      <c r="B171" s="49" t="s">
        <v>422</v>
      </c>
      <c r="C171" s="49">
        <v>0</v>
      </c>
      <c r="D171" s="49">
        <v>163.66999999999999</v>
      </c>
      <c r="E171" s="49">
        <v>29.7</v>
      </c>
      <c r="F171" s="49">
        <v>23.7</v>
      </c>
      <c r="G171" s="49">
        <v>18.850000000000001</v>
      </c>
      <c r="H171" s="49">
        <v>20.5</v>
      </c>
      <c r="I171" s="49">
        <v>14.87</v>
      </c>
      <c r="J171" s="49">
        <v>14.4</v>
      </c>
      <c r="K171" s="49">
        <v>15.98</v>
      </c>
      <c r="L171" s="49">
        <v>12.34</v>
      </c>
      <c r="M171" s="49">
        <v>15.42</v>
      </c>
      <c r="N171" s="49">
        <v>12.68</v>
      </c>
      <c r="O171" s="49">
        <v>13.15</v>
      </c>
      <c r="P171" s="49">
        <v>11.84</v>
      </c>
      <c r="Q171" s="49">
        <v>11.28</v>
      </c>
      <c r="R171" s="49">
        <v>15.58</v>
      </c>
      <c r="S171" s="49">
        <v>16.440000000000001</v>
      </c>
    </row>
    <row r="172" spans="1:19" ht="18">
      <c r="A172" s="49">
        <v>1707</v>
      </c>
      <c r="B172" s="49" t="s">
        <v>423</v>
      </c>
      <c r="C172" s="49">
        <v>11.98</v>
      </c>
      <c r="D172" s="49">
        <v>13.9</v>
      </c>
      <c r="E172" s="49">
        <v>21.94</v>
      </c>
      <c r="F172" s="49">
        <v>14.01</v>
      </c>
      <c r="G172" s="49">
        <v>9.81</v>
      </c>
      <c r="H172" s="49">
        <v>17.71</v>
      </c>
      <c r="I172" s="49">
        <v>26.09</v>
      </c>
      <c r="J172" s="49">
        <v>18.25</v>
      </c>
      <c r="K172" s="49">
        <v>23.02</v>
      </c>
      <c r="L172" s="49">
        <v>20.55</v>
      </c>
      <c r="M172" s="49">
        <v>21.64</v>
      </c>
      <c r="N172" s="49">
        <v>19.440000000000001</v>
      </c>
      <c r="O172" s="49">
        <v>20.59</v>
      </c>
      <c r="P172" s="49">
        <v>18.899999999999999</v>
      </c>
      <c r="Q172" s="49">
        <v>18.5</v>
      </c>
      <c r="R172" s="49">
        <v>17.46</v>
      </c>
      <c r="S172" s="49">
        <v>15.87</v>
      </c>
    </row>
    <row r="173" spans="1:19" ht="18">
      <c r="A173" s="49">
        <v>1708</v>
      </c>
      <c r="B173" s="49" t="s">
        <v>424</v>
      </c>
      <c r="C173" s="49">
        <v>8.5299999999999994</v>
      </c>
      <c r="D173" s="49">
        <v>6.57</v>
      </c>
      <c r="E173" s="49">
        <v>27.63</v>
      </c>
      <c r="F173" s="49">
        <v>13.83</v>
      </c>
      <c r="G173" s="49">
        <v>11.47</v>
      </c>
      <c r="H173" s="49">
        <v>11.64</v>
      </c>
      <c r="I173" s="49">
        <v>11.49</v>
      </c>
      <c r="J173" s="49">
        <v>11.35</v>
      </c>
      <c r="K173" s="49">
        <v>7.66</v>
      </c>
      <c r="L173" s="49">
        <v>38.07</v>
      </c>
      <c r="M173" s="49">
        <v>9.5</v>
      </c>
      <c r="N173" s="49">
        <v>11.74</v>
      </c>
      <c r="O173" s="49">
        <v>21.17</v>
      </c>
      <c r="P173" s="49">
        <v>31.78</v>
      </c>
      <c r="Q173" s="49">
        <v>21.02</v>
      </c>
      <c r="R173" s="49">
        <v>6.65</v>
      </c>
      <c r="S173" s="49">
        <v>0</v>
      </c>
    </row>
    <row r="174" spans="1:19" ht="18">
      <c r="A174" s="49">
        <v>1709</v>
      </c>
      <c r="B174" s="49" t="s">
        <v>425</v>
      </c>
      <c r="C174" s="49">
        <v>20.95</v>
      </c>
      <c r="D174" s="49">
        <v>5.46</v>
      </c>
      <c r="E174" s="49">
        <v>34.19</v>
      </c>
      <c r="F174" s="49">
        <v>10.86</v>
      </c>
      <c r="G174" s="49">
        <v>11.15</v>
      </c>
      <c r="H174" s="49">
        <v>11.52</v>
      </c>
      <c r="I174" s="49">
        <v>24.66</v>
      </c>
      <c r="J174" s="49">
        <v>23.21</v>
      </c>
      <c r="K174" s="49">
        <v>11.49</v>
      </c>
      <c r="L174" s="49">
        <v>10.029999999999999</v>
      </c>
      <c r="M174" s="49">
        <v>12.1</v>
      </c>
      <c r="N174" s="49">
        <v>13.83</v>
      </c>
      <c r="O174" s="49">
        <v>49.42</v>
      </c>
      <c r="P174" s="49">
        <v>16.77</v>
      </c>
      <c r="Q174" s="49">
        <v>11.44</v>
      </c>
      <c r="R174" s="49">
        <v>9.89</v>
      </c>
      <c r="S174" s="49">
        <v>19.170000000000002</v>
      </c>
    </row>
    <row r="175" spans="1:19" ht="18">
      <c r="A175" s="49">
        <v>1710</v>
      </c>
      <c r="B175" s="49" t="s">
        <v>426</v>
      </c>
      <c r="C175" s="49">
        <v>17.47</v>
      </c>
      <c r="D175" s="49">
        <v>4.62</v>
      </c>
      <c r="E175" s="49">
        <v>47.41</v>
      </c>
      <c r="F175" s="49">
        <v>15.35</v>
      </c>
      <c r="G175" s="49">
        <v>10.16</v>
      </c>
      <c r="H175" s="49">
        <v>24.86</v>
      </c>
      <c r="I175" s="49">
        <v>22.4</v>
      </c>
      <c r="J175" s="49">
        <v>38.130000000000003</v>
      </c>
      <c r="K175" s="49">
        <v>261.88</v>
      </c>
      <c r="L175" s="49">
        <v>0</v>
      </c>
      <c r="M175" s="49">
        <v>18.09</v>
      </c>
      <c r="N175" s="49">
        <v>11.67</v>
      </c>
      <c r="O175" s="49">
        <v>95.45</v>
      </c>
      <c r="P175" s="49">
        <v>0</v>
      </c>
      <c r="Q175" s="49">
        <v>54.63</v>
      </c>
      <c r="R175" s="49">
        <v>0</v>
      </c>
      <c r="S175" s="49">
        <v>18.32</v>
      </c>
    </row>
    <row r="176" spans="1:19" ht="18">
      <c r="A176" s="49">
        <v>1711</v>
      </c>
      <c r="B176" s="49" t="s">
        <v>427</v>
      </c>
      <c r="C176" s="49">
        <v>1085</v>
      </c>
      <c r="D176" s="49">
        <v>19.46</v>
      </c>
      <c r="E176" s="49">
        <v>132.80000000000001</v>
      </c>
      <c r="F176" s="49">
        <v>15.65</v>
      </c>
      <c r="G176" s="49">
        <v>13.87</v>
      </c>
      <c r="H176" s="49">
        <v>21.23</v>
      </c>
      <c r="I176" s="49">
        <v>21.4</v>
      </c>
      <c r="J176" s="49">
        <v>18.920000000000002</v>
      </c>
      <c r="K176" s="49">
        <v>23.87</v>
      </c>
      <c r="L176" s="49">
        <v>20.149999999999999</v>
      </c>
      <c r="M176" s="49">
        <v>35.090000000000003</v>
      </c>
      <c r="N176" s="49">
        <v>19.82</v>
      </c>
      <c r="O176" s="49">
        <v>22.61</v>
      </c>
      <c r="P176" s="49">
        <v>53.28</v>
      </c>
      <c r="Q176" s="49">
        <v>30.97</v>
      </c>
      <c r="R176" s="49">
        <v>25.34</v>
      </c>
      <c r="S176" s="49">
        <v>72.59</v>
      </c>
    </row>
    <row r="177" spans="1:19" ht="18">
      <c r="A177" s="49">
        <v>1712</v>
      </c>
      <c r="B177" s="49" t="s">
        <v>428</v>
      </c>
      <c r="C177" s="49">
        <v>13.48</v>
      </c>
      <c r="D177" s="49">
        <v>6.69</v>
      </c>
      <c r="E177" s="49">
        <v>20.14</v>
      </c>
      <c r="F177" s="49">
        <v>13.76</v>
      </c>
      <c r="G177" s="49">
        <v>12.05</v>
      </c>
      <c r="H177" s="49">
        <v>13.06</v>
      </c>
      <c r="I177" s="49">
        <v>12.19</v>
      </c>
      <c r="J177" s="49">
        <v>10.49</v>
      </c>
      <c r="K177" s="49">
        <v>17.57</v>
      </c>
      <c r="L177" s="49">
        <v>8.9499999999999993</v>
      </c>
      <c r="M177" s="49">
        <v>10.5</v>
      </c>
      <c r="N177" s="49">
        <v>10.47</v>
      </c>
      <c r="O177" s="49">
        <v>12.34</v>
      </c>
      <c r="P177" s="49">
        <v>11.81</v>
      </c>
      <c r="Q177" s="49">
        <v>13.99</v>
      </c>
      <c r="R177" s="49">
        <v>9.52</v>
      </c>
      <c r="S177" s="49">
        <v>14.96</v>
      </c>
    </row>
    <row r="178" spans="1:19" ht="18">
      <c r="A178" s="49">
        <v>1713</v>
      </c>
      <c r="B178" s="49" t="s">
        <v>429</v>
      </c>
      <c r="C178" s="49">
        <v>36.56</v>
      </c>
      <c r="D178" s="49">
        <v>22.18</v>
      </c>
      <c r="E178" s="49">
        <v>0</v>
      </c>
      <c r="F178" s="49">
        <v>46.56</v>
      </c>
      <c r="G178" s="49">
        <v>26.67</v>
      </c>
      <c r="H178" s="49">
        <v>27.23</v>
      </c>
      <c r="I178" s="49">
        <v>36.130000000000003</v>
      </c>
      <c r="J178" s="49">
        <v>28.73</v>
      </c>
      <c r="K178" s="49">
        <v>28.52</v>
      </c>
      <c r="L178" s="49">
        <v>26.61</v>
      </c>
      <c r="M178" s="49">
        <v>29.14</v>
      </c>
      <c r="N178" s="49">
        <v>25</v>
      </c>
      <c r="O178" s="49">
        <v>34.06</v>
      </c>
      <c r="P178" s="49">
        <v>45.1</v>
      </c>
      <c r="Q178" s="49">
        <v>22.28</v>
      </c>
      <c r="R178" s="49">
        <v>15.27</v>
      </c>
      <c r="S178" s="49">
        <v>16.13</v>
      </c>
    </row>
    <row r="179" spans="1:19" ht="18">
      <c r="A179" s="49">
        <v>1714</v>
      </c>
      <c r="B179" s="49" t="s">
        <v>430</v>
      </c>
      <c r="C179" s="49">
        <v>18.72</v>
      </c>
      <c r="D179" s="49">
        <v>7.22</v>
      </c>
      <c r="E179" s="49">
        <v>20.329999999999998</v>
      </c>
      <c r="F179" s="49">
        <v>11.43</v>
      </c>
      <c r="G179" s="49">
        <v>8.98</v>
      </c>
      <c r="H179" s="49">
        <v>14.68</v>
      </c>
      <c r="I179" s="49">
        <v>31.3</v>
      </c>
      <c r="J179" s="49">
        <v>78.930000000000007</v>
      </c>
      <c r="K179" s="49">
        <v>81.33</v>
      </c>
      <c r="L179" s="49">
        <v>103.63</v>
      </c>
      <c r="M179" s="49">
        <v>20</v>
      </c>
      <c r="N179" s="49">
        <v>46.43</v>
      </c>
      <c r="O179" s="49">
        <v>31</v>
      </c>
      <c r="P179" s="49">
        <v>5.84</v>
      </c>
      <c r="Q179" s="49">
        <v>21.44</v>
      </c>
      <c r="R179" s="49">
        <v>25</v>
      </c>
      <c r="S179" s="49">
        <v>17.899999999999999</v>
      </c>
    </row>
    <row r="180" spans="1:19" ht="18">
      <c r="A180" s="49">
        <v>1717</v>
      </c>
      <c r="B180" s="49" t="s">
        <v>431</v>
      </c>
      <c r="C180" s="49">
        <v>13.04</v>
      </c>
      <c r="D180" s="49">
        <v>6.49</v>
      </c>
      <c r="E180" s="49">
        <v>10.78</v>
      </c>
      <c r="F180" s="49">
        <v>12.06</v>
      </c>
      <c r="G180" s="49">
        <v>18.84</v>
      </c>
      <c r="H180" s="49">
        <v>19.5</v>
      </c>
      <c r="I180" s="49">
        <v>18.239999999999998</v>
      </c>
      <c r="J180" s="49">
        <v>14.64</v>
      </c>
      <c r="K180" s="49">
        <v>12.41</v>
      </c>
      <c r="L180" s="49">
        <v>11.9</v>
      </c>
      <c r="M180" s="49">
        <v>21.1</v>
      </c>
      <c r="N180" s="49">
        <v>14.39</v>
      </c>
      <c r="O180" s="49">
        <v>15.56</v>
      </c>
      <c r="P180" s="49">
        <v>19.649999999999999</v>
      </c>
      <c r="Q180" s="49">
        <v>13.68</v>
      </c>
      <c r="R180" s="49">
        <v>12.55</v>
      </c>
      <c r="S180" s="49">
        <v>23.66</v>
      </c>
    </row>
    <row r="181" spans="1:19" ht="18">
      <c r="A181" s="49">
        <v>1718</v>
      </c>
      <c r="B181" s="49" t="s">
        <v>432</v>
      </c>
      <c r="C181" s="49">
        <v>21.18</v>
      </c>
      <c r="D181" s="49">
        <v>86</v>
      </c>
      <c r="E181" s="49">
        <v>0</v>
      </c>
      <c r="F181" s="49">
        <v>7.23</v>
      </c>
      <c r="G181" s="49">
        <v>19.52</v>
      </c>
      <c r="H181" s="49">
        <v>59.47</v>
      </c>
      <c r="I181" s="49">
        <v>11.67</v>
      </c>
      <c r="J181" s="49">
        <v>22.93</v>
      </c>
      <c r="K181" s="49">
        <v>7.03</v>
      </c>
      <c r="L181" s="49">
        <v>0</v>
      </c>
      <c r="M181" s="49">
        <v>16.920000000000002</v>
      </c>
      <c r="N181" s="49">
        <v>7.73</v>
      </c>
      <c r="O181" s="49">
        <v>0</v>
      </c>
      <c r="P181" s="49">
        <v>8.75</v>
      </c>
      <c r="Q181" s="49">
        <v>0</v>
      </c>
      <c r="R181" s="49">
        <v>0</v>
      </c>
      <c r="S181" s="49">
        <v>0</v>
      </c>
    </row>
    <row r="182" spans="1:19" ht="18">
      <c r="A182" s="49">
        <v>1720</v>
      </c>
      <c r="B182" s="49" t="s">
        <v>433</v>
      </c>
      <c r="C182" s="49">
        <v>12.59</v>
      </c>
      <c r="D182" s="49">
        <v>12.64</v>
      </c>
      <c r="E182" s="49">
        <v>16.2</v>
      </c>
      <c r="F182" s="49">
        <v>17.12</v>
      </c>
      <c r="G182" s="49">
        <v>20.350000000000001</v>
      </c>
      <c r="H182" s="49">
        <v>16.39</v>
      </c>
      <c r="I182" s="49">
        <v>23.63</v>
      </c>
      <c r="J182" s="49">
        <v>20.11</v>
      </c>
      <c r="K182" s="49">
        <v>19.84</v>
      </c>
      <c r="L182" s="49">
        <v>17.25</v>
      </c>
      <c r="M182" s="49">
        <v>16.32</v>
      </c>
      <c r="N182" s="49">
        <v>17.12</v>
      </c>
      <c r="O182" s="49">
        <v>16.12</v>
      </c>
      <c r="P182" s="49">
        <v>14.61</v>
      </c>
      <c r="Q182" s="49">
        <v>11.11</v>
      </c>
      <c r="R182" s="49">
        <v>13.52</v>
      </c>
      <c r="S182" s="49">
        <v>13.87</v>
      </c>
    </row>
    <row r="183" spans="1:19" ht="18">
      <c r="A183" s="49">
        <v>1721</v>
      </c>
      <c r="B183" s="49" t="s">
        <v>434</v>
      </c>
      <c r="C183" s="49">
        <v>0</v>
      </c>
      <c r="D183" s="49">
        <v>0</v>
      </c>
      <c r="E183" s="49">
        <v>0</v>
      </c>
      <c r="F183" s="49">
        <v>0</v>
      </c>
      <c r="G183" s="49">
        <v>0</v>
      </c>
      <c r="H183" s="49">
        <v>0</v>
      </c>
      <c r="I183" s="49">
        <v>106</v>
      </c>
      <c r="J183" s="49">
        <v>0</v>
      </c>
      <c r="K183" s="49">
        <v>21.23</v>
      </c>
      <c r="L183" s="49">
        <v>23.65</v>
      </c>
      <c r="M183" s="49">
        <v>24.82</v>
      </c>
      <c r="N183" s="49">
        <v>67</v>
      </c>
      <c r="O183" s="49">
        <v>175.4</v>
      </c>
      <c r="P183" s="49">
        <v>4.22</v>
      </c>
      <c r="Q183" s="49">
        <v>0</v>
      </c>
      <c r="R183" s="49">
        <v>22.09</v>
      </c>
      <c r="S183" s="49">
        <v>0</v>
      </c>
    </row>
    <row r="184" spans="1:19" ht="18">
      <c r="A184" s="49">
        <v>1722</v>
      </c>
      <c r="B184" s="49" t="s">
        <v>435</v>
      </c>
      <c r="C184" s="49">
        <v>16.760000000000002</v>
      </c>
      <c r="D184" s="49">
        <v>15.68</v>
      </c>
      <c r="E184" s="49">
        <v>175.38</v>
      </c>
      <c r="F184" s="49">
        <v>38.11</v>
      </c>
      <c r="G184" s="49">
        <v>20.38</v>
      </c>
      <c r="H184" s="49">
        <v>31.58</v>
      </c>
      <c r="I184" s="49">
        <v>16.829999999999998</v>
      </c>
      <c r="J184" s="49">
        <v>206.67</v>
      </c>
      <c r="K184" s="49">
        <v>10.130000000000001</v>
      </c>
      <c r="L184" s="49">
        <v>24.63</v>
      </c>
      <c r="M184" s="49">
        <v>53.26</v>
      </c>
      <c r="N184" s="49">
        <v>22.04</v>
      </c>
      <c r="O184" s="49">
        <v>22.22</v>
      </c>
      <c r="P184" s="49">
        <v>20.38</v>
      </c>
      <c r="Q184" s="49">
        <v>25.83</v>
      </c>
      <c r="R184" s="49">
        <v>17.95</v>
      </c>
      <c r="S184" s="49">
        <v>15.76</v>
      </c>
    </row>
    <row r="185" spans="1:19" ht="18">
      <c r="A185" s="49">
        <v>1723</v>
      </c>
      <c r="B185" s="49" t="s">
        <v>436</v>
      </c>
      <c r="C185" s="49">
        <v>12.76</v>
      </c>
      <c r="D185" s="49">
        <v>7.63</v>
      </c>
      <c r="E185" s="49">
        <v>17.43</v>
      </c>
      <c r="F185" s="49">
        <v>15.98</v>
      </c>
      <c r="G185" s="49">
        <v>12.06</v>
      </c>
      <c r="H185" s="49">
        <v>15.22</v>
      </c>
      <c r="I185" s="49">
        <v>17.579999999999998</v>
      </c>
      <c r="J185" s="49">
        <v>15.36</v>
      </c>
      <c r="K185" s="49">
        <v>17.52</v>
      </c>
      <c r="L185" s="49">
        <v>29.82</v>
      </c>
      <c r="M185" s="49">
        <v>26.02</v>
      </c>
      <c r="N185" s="49">
        <v>21.61</v>
      </c>
      <c r="O185" s="49">
        <v>18.96</v>
      </c>
      <c r="P185" s="49">
        <v>38.07</v>
      </c>
      <c r="Q185" s="49">
        <v>26.31</v>
      </c>
      <c r="R185" s="49">
        <v>15.36</v>
      </c>
      <c r="S185" s="49">
        <v>18.37</v>
      </c>
    </row>
    <row r="186" spans="1:19" ht="18">
      <c r="A186" s="49">
        <v>1725</v>
      </c>
      <c r="B186" s="49" t="s">
        <v>437</v>
      </c>
      <c r="C186" s="49">
        <v>10.199999999999999</v>
      </c>
      <c r="D186" s="49">
        <v>8.41</v>
      </c>
      <c r="E186" s="49">
        <v>22.98</v>
      </c>
      <c r="F186" s="49">
        <v>20</v>
      </c>
      <c r="G186" s="49">
        <v>10.88</v>
      </c>
      <c r="H186" s="49">
        <v>0</v>
      </c>
      <c r="I186" s="49">
        <v>0</v>
      </c>
      <c r="J186" s="49">
        <v>15.16</v>
      </c>
      <c r="K186" s="49">
        <v>12.41</v>
      </c>
      <c r="L186" s="49">
        <v>13.14</v>
      </c>
      <c r="M186" s="49">
        <v>11.91</v>
      </c>
      <c r="N186" s="49">
        <v>11.56</v>
      </c>
      <c r="O186" s="49">
        <v>13.35</v>
      </c>
      <c r="P186" s="49">
        <v>18.02</v>
      </c>
      <c r="Q186" s="49">
        <v>17.96</v>
      </c>
      <c r="R186" s="49">
        <v>11.62</v>
      </c>
      <c r="S186" s="49">
        <v>20.32</v>
      </c>
    </row>
    <row r="187" spans="1:19" ht="18">
      <c r="A187" s="49">
        <v>1726</v>
      </c>
      <c r="B187" s="49" t="s">
        <v>438</v>
      </c>
      <c r="C187" s="49">
        <v>10.15</v>
      </c>
      <c r="D187" s="49">
        <v>8.7899999999999991</v>
      </c>
      <c r="E187" s="49">
        <v>13.14</v>
      </c>
      <c r="F187" s="49">
        <v>10.3</v>
      </c>
      <c r="G187" s="49">
        <v>11.19</v>
      </c>
      <c r="H187" s="49">
        <v>10.17</v>
      </c>
      <c r="I187" s="49">
        <v>14.08</v>
      </c>
      <c r="J187" s="49">
        <v>12.63</v>
      </c>
      <c r="K187" s="49">
        <v>11.81</v>
      </c>
      <c r="L187" s="49">
        <v>12.86</v>
      </c>
      <c r="M187" s="49">
        <v>15.31</v>
      </c>
      <c r="N187" s="49">
        <v>14.13</v>
      </c>
      <c r="O187" s="49">
        <v>18.899999999999999</v>
      </c>
      <c r="P187" s="49">
        <v>14.01</v>
      </c>
      <c r="Q187" s="49">
        <v>12.79</v>
      </c>
      <c r="R187" s="49">
        <v>14.8</v>
      </c>
      <c r="S187" s="49">
        <v>14.62</v>
      </c>
    </row>
    <row r="188" spans="1:19" ht="18">
      <c r="A188" s="49">
        <v>1727</v>
      </c>
      <c r="B188" s="49" t="s">
        <v>439</v>
      </c>
      <c r="C188" s="49">
        <v>28.41</v>
      </c>
      <c r="D188" s="49">
        <v>7.53</v>
      </c>
      <c r="E188" s="49">
        <v>56.07</v>
      </c>
      <c r="F188" s="49">
        <v>19.059999999999999</v>
      </c>
      <c r="G188" s="49">
        <v>12.43</v>
      </c>
      <c r="H188" s="49">
        <v>15.21</v>
      </c>
      <c r="I188" s="49">
        <v>15.64</v>
      </c>
      <c r="J188" s="49">
        <v>19.149999999999999</v>
      </c>
      <c r="K188" s="49">
        <v>14.85</v>
      </c>
      <c r="L188" s="49">
        <v>15.98</v>
      </c>
      <c r="M188" s="49">
        <v>20.12</v>
      </c>
      <c r="N188" s="49">
        <v>13.73</v>
      </c>
      <c r="O188" s="49">
        <v>30.92</v>
      </c>
      <c r="P188" s="49">
        <v>0</v>
      </c>
      <c r="Q188" s="49">
        <v>34.79</v>
      </c>
      <c r="R188" s="49">
        <v>20.76</v>
      </c>
      <c r="S188" s="49">
        <v>31.7</v>
      </c>
    </row>
    <row r="189" spans="1:19" ht="18">
      <c r="A189" s="49">
        <v>1730</v>
      </c>
      <c r="B189" s="49" t="s">
        <v>440</v>
      </c>
      <c r="C189" s="49">
        <v>12.53</v>
      </c>
      <c r="D189" s="49">
        <v>13.44</v>
      </c>
      <c r="E189" s="49">
        <v>15.4</v>
      </c>
      <c r="F189" s="49">
        <v>11.82</v>
      </c>
      <c r="G189" s="49">
        <v>10.65</v>
      </c>
      <c r="H189" s="49">
        <v>9.81</v>
      </c>
      <c r="I189" s="49">
        <v>14.73</v>
      </c>
      <c r="J189" s="49">
        <v>7.49</v>
      </c>
      <c r="K189" s="49">
        <v>13.8</v>
      </c>
      <c r="L189" s="49">
        <v>12.62</v>
      </c>
      <c r="M189" s="49">
        <v>12.93</v>
      </c>
      <c r="N189" s="49">
        <v>15.85</v>
      </c>
      <c r="O189" s="49">
        <v>11.75</v>
      </c>
      <c r="P189" s="49">
        <v>12.62</v>
      </c>
      <c r="Q189" s="49">
        <v>16.28</v>
      </c>
      <c r="R189" s="49">
        <v>13.41</v>
      </c>
      <c r="S189" s="49">
        <v>16.39</v>
      </c>
    </row>
    <row r="190" spans="1:19" ht="18">
      <c r="A190" s="49">
        <v>1731</v>
      </c>
      <c r="B190" s="49" t="s">
        <v>441</v>
      </c>
      <c r="C190" s="49">
        <v>30.57</v>
      </c>
      <c r="D190" s="49">
        <v>28.2</v>
      </c>
      <c r="E190" s="49">
        <v>35.299999999999997</v>
      </c>
      <c r="F190" s="49">
        <v>28.97</v>
      </c>
      <c r="G190" s="49">
        <v>22.1</v>
      </c>
      <c r="H190" s="49">
        <v>67.5</v>
      </c>
      <c r="I190" s="49">
        <v>38.46</v>
      </c>
      <c r="J190" s="49">
        <v>23.2</v>
      </c>
      <c r="K190" s="49">
        <v>25.37</v>
      </c>
      <c r="L190" s="49">
        <v>21.41</v>
      </c>
      <c r="M190" s="49">
        <v>17.59</v>
      </c>
      <c r="N190" s="49">
        <v>17.39</v>
      </c>
      <c r="O190" s="49">
        <v>19.850000000000001</v>
      </c>
      <c r="P190" s="49">
        <v>14.91</v>
      </c>
      <c r="Q190" s="49">
        <v>15.89</v>
      </c>
      <c r="R190" s="49">
        <v>16.46</v>
      </c>
      <c r="S190" s="49">
        <v>18.399999999999999</v>
      </c>
    </row>
    <row r="191" spans="1:19" ht="18">
      <c r="A191" s="49">
        <v>1732</v>
      </c>
      <c r="B191" s="49" t="s">
        <v>442</v>
      </c>
      <c r="C191" s="49">
        <v>18.13</v>
      </c>
      <c r="D191" s="49">
        <v>34.76</v>
      </c>
      <c r="E191" s="49">
        <v>31.05</v>
      </c>
      <c r="F191" s="49">
        <v>32.83</v>
      </c>
      <c r="G191" s="49">
        <v>30.54</v>
      </c>
      <c r="H191" s="49">
        <v>0</v>
      </c>
      <c r="I191" s="49">
        <v>0</v>
      </c>
      <c r="J191" s="49">
        <v>0</v>
      </c>
      <c r="K191" s="49">
        <v>0</v>
      </c>
      <c r="L191" s="49">
        <v>0</v>
      </c>
      <c r="M191" s="49">
        <v>0</v>
      </c>
      <c r="N191" s="49">
        <v>74</v>
      </c>
      <c r="O191" s="49">
        <v>22.65</v>
      </c>
      <c r="P191" s="49">
        <v>29.82</v>
      </c>
      <c r="Q191" s="49">
        <v>49.14</v>
      </c>
      <c r="R191" s="49">
        <v>105.48</v>
      </c>
      <c r="S191" s="49">
        <v>0</v>
      </c>
    </row>
    <row r="192" spans="1:19" ht="18">
      <c r="A192" s="49">
        <v>1733</v>
      </c>
      <c r="B192" s="49" t="s">
        <v>443</v>
      </c>
      <c r="C192" s="49">
        <v>14.36</v>
      </c>
      <c r="D192" s="49">
        <v>13.72</v>
      </c>
      <c r="E192" s="49">
        <v>19.66</v>
      </c>
      <c r="F192" s="49">
        <v>13.91</v>
      </c>
      <c r="G192" s="49">
        <v>12.23</v>
      </c>
      <c r="H192" s="49">
        <v>13.64</v>
      </c>
      <c r="I192" s="49">
        <v>14.38</v>
      </c>
      <c r="J192" s="49">
        <v>26.19</v>
      </c>
      <c r="K192" s="49">
        <v>17.09</v>
      </c>
      <c r="L192" s="49">
        <v>19.760000000000002</v>
      </c>
      <c r="M192" s="49">
        <v>0</v>
      </c>
      <c r="N192" s="49">
        <v>16.690000000000001</v>
      </c>
      <c r="O192" s="49">
        <v>0</v>
      </c>
      <c r="P192" s="49">
        <v>16.46</v>
      </c>
      <c r="Q192" s="49">
        <v>16.88</v>
      </c>
      <c r="R192" s="49">
        <v>11.61</v>
      </c>
      <c r="S192" s="49">
        <v>27.99</v>
      </c>
    </row>
    <row r="193" spans="1:19" ht="18">
      <c r="A193" s="49">
        <v>1734</v>
      </c>
      <c r="B193" s="49" t="s">
        <v>444</v>
      </c>
      <c r="C193" s="49">
        <v>32.56</v>
      </c>
      <c r="D193" s="49">
        <v>48.57</v>
      </c>
      <c r="E193" s="49">
        <v>31.31</v>
      </c>
      <c r="F193" s="49">
        <v>38.229999999999997</v>
      </c>
      <c r="G193" s="49">
        <v>45</v>
      </c>
      <c r="H193" s="49">
        <v>37.24</v>
      </c>
      <c r="I193" s="49">
        <v>26.79</v>
      </c>
      <c r="J193" s="49">
        <v>47.61</v>
      </c>
      <c r="K193" s="49">
        <v>2855</v>
      </c>
      <c r="L193" s="49">
        <v>96.6</v>
      </c>
      <c r="M193" s="49">
        <v>65.61</v>
      </c>
      <c r="N193" s="49">
        <v>137.86000000000001</v>
      </c>
      <c r="O193" s="49">
        <v>0</v>
      </c>
      <c r="P193" s="49">
        <v>85.97</v>
      </c>
      <c r="Q193" s="49">
        <v>0</v>
      </c>
      <c r="R193" s="49">
        <v>28.09</v>
      </c>
      <c r="S193" s="49">
        <v>20.58</v>
      </c>
    </row>
    <row r="194" spans="1:19" ht="18">
      <c r="A194" s="49">
        <v>1735</v>
      </c>
      <c r="B194" s="49" t="s">
        <v>445</v>
      </c>
      <c r="C194" s="49">
        <v>23.21</v>
      </c>
      <c r="D194" s="49">
        <v>14.26</v>
      </c>
      <c r="E194" s="49">
        <v>21.57</v>
      </c>
      <c r="F194" s="49">
        <v>23.18</v>
      </c>
      <c r="G194" s="49">
        <v>45.42</v>
      </c>
      <c r="H194" s="49">
        <v>14.38</v>
      </c>
      <c r="I194" s="49">
        <v>18.190000000000001</v>
      </c>
      <c r="J194" s="49">
        <v>26.4</v>
      </c>
      <c r="K194" s="49">
        <v>8.56</v>
      </c>
      <c r="L194" s="49">
        <v>13</v>
      </c>
      <c r="M194" s="49">
        <v>37.75</v>
      </c>
      <c r="N194" s="49">
        <v>51.17</v>
      </c>
      <c r="O194" s="49">
        <v>17.21</v>
      </c>
      <c r="P194" s="49">
        <v>37.17</v>
      </c>
      <c r="Q194" s="49">
        <v>29.92</v>
      </c>
      <c r="R194" s="49">
        <v>116.54</v>
      </c>
      <c r="S194" s="49">
        <v>23.2</v>
      </c>
    </row>
    <row r="195" spans="1:19" ht="18">
      <c r="A195" s="49">
        <v>1736</v>
      </c>
      <c r="B195" s="49" t="s">
        <v>446</v>
      </c>
      <c r="C195" s="49">
        <v>14.43</v>
      </c>
      <c r="D195" s="49">
        <v>8.83</v>
      </c>
      <c r="E195" s="49">
        <v>0</v>
      </c>
      <c r="F195" s="49">
        <v>83.37</v>
      </c>
      <c r="G195" s="49">
        <v>16.059999999999999</v>
      </c>
      <c r="H195" s="49">
        <v>21.7</v>
      </c>
      <c r="I195" s="49">
        <v>28.29</v>
      </c>
      <c r="J195" s="49">
        <v>14.65</v>
      </c>
      <c r="K195" s="49">
        <v>8.2799999999999994</v>
      </c>
      <c r="L195" s="49">
        <v>19.850000000000001</v>
      </c>
      <c r="M195" s="49">
        <v>30.3</v>
      </c>
      <c r="N195" s="49">
        <v>52.26</v>
      </c>
      <c r="O195" s="49">
        <v>22.79</v>
      </c>
      <c r="P195" s="49">
        <v>31.28</v>
      </c>
      <c r="Q195" s="49">
        <v>331.18</v>
      </c>
      <c r="R195" s="49">
        <v>56.97</v>
      </c>
      <c r="S195" s="49">
        <v>35.229999999999997</v>
      </c>
    </row>
    <row r="196" spans="1:19" ht="18">
      <c r="A196" s="49">
        <v>1737</v>
      </c>
      <c r="B196" s="49" t="s">
        <v>447</v>
      </c>
      <c r="C196" s="49">
        <v>23.56</v>
      </c>
      <c r="D196" s="49">
        <v>0</v>
      </c>
      <c r="E196" s="49">
        <v>39.9</v>
      </c>
      <c r="F196" s="49">
        <v>38.630000000000003</v>
      </c>
      <c r="G196" s="49">
        <v>28.08</v>
      </c>
      <c r="H196" s="49">
        <v>92.17</v>
      </c>
      <c r="I196" s="49">
        <v>85.42</v>
      </c>
      <c r="J196" s="49">
        <v>23.57</v>
      </c>
      <c r="K196" s="49">
        <v>20.69</v>
      </c>
      <c r="L196" s="49">
        <v>18.43</v>
      </c>
      <c r="M196" s="49">
        <v>15.59</v>
      </c>
      <c r="N196" s="49">
        <v>13.19</v>
      </c>
      <c r="O196" s="49">
        <v>19.350000000000001</v>
      </c>
      <c r="P196" s="49">
        <v>20.57</v>
      </c>
      <c r="Q196" s="49">
        <v>15.37</v>
      </c>
      <c r="R196" s="49">
        <v>15.45</v>
      </c>
      <c r="S196" s="49">
        <v>17.63</v>
      </c>
    </row>
    <row r="197" spans="1:19" ht="18">
      <c r="A197" s="49">
        <v>1742</v>
      </c>
      <c r="B197" s="49" t="s">
        <v>1256</v>
      </c>
      <c r="C197" s="49">
        <v>9.58</v>
      </c>
      <c r="D197" s="49">
        <v>6.67</v>
      </c>
      <c r="E197" s="49">
        <v>13.28</v>
      </c>
      <c r="F197" s="49">
        <v>13.29</v>
      </c>
      <c r="G197" s="49">
        <v>19.64</v>
      </c>
      <c r="H197" s="49">
        <v>0</v>
      </c>
      <c r="I197" s="49">
        <v>62.5</v>
      </c>
      <c r="J197" s="49">
        <v>0</v>
      </c>
      <c r="K197" s="49">
        <v>0</v>
      </c>
      <c r="L197" s="49">
        <v>0</v>
      </c>
      <c r="M197" s="49">
        <v>0</v>
      </c>
      <c r="N197" s="49">
        <v>0</v>
      </c>
      <c r="O197" s="49">
        <v>35.53</v>
      </c>
      <c r="P197" s="49">
        <v>153.85</v>
      </c>
      <c r="Q197" s="49">
        <v>73.150000000000006</v>
      </c>
      <c r="R197" s="49">
        <v>3.18</v>
      </c>
      <c r="S197" s="49">
        <v>0</v>
      </c>
    </row>
    <row r="198" spans="1:19" ht="18">
      <c r="A198" s="49">
        <v>1752</v>
      </c>
      <c r="B198" s="49" t="s">
        <v>448</v>
      </c>
      <c r="C198" s="49">
        <v>0</v>
      </c>
      <c r="D198" s="49">
        <v>0</v>
      </c>
      <c r="E198" s="49">
        <v>45.85</v>
      </c>
      <c r="F198" s="49">
        <v>0</v>
      </c>
      <c r="G198" s="49">
        <v>2380</v>
      </c>
      <c r="H198" s="49">
        <v>36</v>
      </c>
      <c r="I198" s="49">
        <v>575</v>
      </c>
      <c r="J198" s="49">
        <v>164.32</v>
      </c>
      <c r="K198" s="49">
        <v>22.99</v>
      </c>
      <c r="L198" s="49">
        <v>19.809999999999999</v>
      </c>
      <c r="M198" s="49">
        <v>18.38</v>
      </c>
      <c r="N198" s="49">
        <v>24.1</v>
      </c>
      <c r="O198" s="49">
        <v>26.38</v>
      </c>
      <c r="P198" s="49">
        <v>18.5</v>
      </c>
      <c r="Q198" s="49">
        <v>20.260000000000002</v>
      </c>
      <c r="R198" s="49">
        <v>26.63</v>
      </c>
      <c r="S198" s="49">
        <v>13.63</v>
      </c>
    </row>
    <row r="199" spans="1:19" ht="18">
      <c r="A199" s="49">
        <v>1760</v>
      </c>
      <c r="B199" s="49" t="s">
        <v>449</v>
      </c>
      <c r="C199" s="49">
        <v>0</v>
      </c>
      <c r="D199" s="49">
        <v>0</v>
      </c>
      <c r="E199" s="49">
        <v>0</v>
      </c>
      <c r="F199" s="49">
        <v>0</v>
      </c>
      <c r="G199" s="49">
        <v>0</v>
      </c>
      <c r="H199" s="49">
        <v>0</v>
      </c>
      <c r="I199" s="49">
        <v>0</v>
      </c>
      <c r="J199" s="49">
        <v>0</v>
      </c>
      <c r="K199" s="49">
        <v>0</v>
      </c>
      <c r="L199" s="49">
        <v>0</v>
      </c>
      <c r="M199" s="49">
        <v>0</v>
      </c>
      <c r="N199" s="49">
        <v>78.77</v>
      </c>
      <c r="O199" s="49">
        <v>33.520000000000003</v>
      </c>
      <c r="P199" s="49">
        <v>137.26</v>
      </c>
      <c r="Q199" s="49">
        <v>43.72</v>
      </c>
      <c r="R199" s="49">
        <v>56.11</v>
      </c>
      <c r="S199" s="49">
        <v>0</v>
      </c>
    </row>
    <row r="200" spans="1:19" ht="18">
      <c r="A200" s="49">
        <v>1762</v>
      </c>
      <c r="B200" s="49" t="s">
        <v>450</v>
      </c>
      <c r="C200" s="49">
        <v>0</v>
      </c>
      <c r="D200" s="49">
        <v>0</v>
      </c>
      <c r="E200" s="49">
        <v>0</v>
      </c>
      <c r="F200" s="49">
        <v>28.1</v>
      </c>
      <c r="G200" s="49">
        <v>21.4</v>
      </c>
      <c r="H200" s="49">
        <v>19.45</v>
      </c>
      <c r="I200" s="49">
        <v>39.159999999999997</v>
      </c>
      <c r="J200" s="49">
        <v>156.36000000000001</v>
      </c>
      <c r="K200" s="49">
        <v>12.44</v>
      </c>
      <c r="L200" s="49">
        <v>22.36</v>
      </c>
      <c r="M200" s="49">
        <v>28.37</v>
      </c>
      <c r="N200" s="49">
        <v>6.18</v>
      </c>
      <c r="O200" s="49">
        <v>36.22</v>
      </c>
      <c r="P200" s="49">
        <v>10.15</v>
      </c>
      <c r="Q200" s="49">
        <v>12.34</v>
      </c>
      <c r="R200" s="49">
        <v>10.43</v>
      </c>
      <c r="S200" s="49">
        <v>15.35</v>
      </c>
    </row>
    <row r="201" spans="1:19" ht="18">
      <c r="A201" s="49">
        <v>1773</v>
      </c>
      <c r="B201" s="49" t="s">
        <v>451</v>
      </c>
      <c r="C201" s="49">
        <v>0</v>
      </c>
      <c r="D201" s="49">
        <v>0</v>
      </c>
      <c r="E201" s="49">
        <v>18</v>
      </c>
      <c r="F201" s="49">
        <v>10.67</v>
      </c>
      <c r="G201" s="49">
        <v>7.91</v>
      </c>
      <c r="H201" s="49">
        <v>10.79</v>
      </c>
      <c r="I201" s="49">
        <v>12.23</v>
      </c>
      <c r="J201" s="49">
        <v>12.93</v>
      </c>
      <c r="K201" s="49">
        <v>10.31</v>
      </c>
      <c r="L201" s="49">
        <v>10.94</v>
      </c>
      <c r="M201" s="49">
        <v>13.7</v>
      </c>
      <c r="N201" s="49">
        <v>13.45</v>
      </c>
      <c r="O201" s="49">
        <v>16.39</v>
      </c>
      <c r="P201" s="49">
        <v>17.73</v>
      </c>
      <c r="Q201" s="49">
        <v>22.97</v>
      </c>
      <c r="R201" s="49">
        <v>15.43</v>
      </c>
      <c r="S201" s="49">
        <v>21.69</v>
      </c>
    </row>
    <row r="202" spans="1:19" ht="18">
      <c r="A202" s="49">
        <v>1776</v>
      </c>
      <c r="B202" s="49" t="s">
        <v>452</v>
      </c>
      <c r="C202" s="49">
        <v>0</v>
      </c>
      <c r="D202" s="49">
        <v>0</v>
      </c>
      <c r="E202" s="49">
        <v>0</v>
      </c>
      <c r="F202" s="49">
        <v>0</v>
      </c>
      <c r="G202" s="49">
        <v>0</v>
      </c>
      <c r="H202" s="49">
        <v>0</v>
      </c>
      <c r="I202" s="49">
        <v>0</v>
      </c>
      <c r="J202" s="49">
        <v>0</v>
      </c>
      <c r="K202" s="49">
        <v>0</v>
      </c>
      <c r="L202" s="49">
        <v>11.59</v>
      </c>
      <c r="M202" s="49">
        <v>15</v>
      </c>
      <c r="N202" s="49">
        <v>61.6</v>
      </c>
      <c r="O202" s="49">
        <v>34.04</v>
      </c>
      <c r="P202" s="49">
        <v>30.18</v>
      </c>
      <c r="Q202" s="49">
        <v>8.6999999999999993</v>
      </c>
      <c r="R202" s="49">
        <v>165</v>
      </c>
      <c r="S202" s="49">
        <v>114</v>
      </c>
    </row>
    <row r="203" spans="1:19" ht="18">
      <c r="A203" s="49">
        <v>1777</v>
      </c>
      <c r="B203" s="49" t="s">
        <v>1257</v>
      </c>
      <c r="C203" s="49">
        <v>13.8</v>
      </c>
      <c r="D203" s="49">
        <v>9.41</v>
      </c>
      <c r="E203" s="49">
        <v>19.55</v>
      </c>
      <c r="F203" s="49">
        <v>17.45</v>
      </c>
      <c r="G203" s="49">
        <v>18.23</v>
      </c>
      <c r="H203" s="49">
        <v>21.85</v>
      </c>
      <c r="I203" s="49">
        <v>21.63</v>
      </c>
      <c r="J203" s="49">
        <v>16.32</v>
      </c>
      <c r="K203" s="49">
        <v>16.97</v>
      </c>
      <c r="L203" s="49">
        <v>18.13</v>
      </c>
      <c r="M203" s="49">
        <v>25.53</v>
      </c>
      <c r="N203" s="49">
        <v>18.079999999999998</v>
      </c>
      <c r="O203" s="49">
        <v>14.96</v>
      </c>
      <c r="P203" s="49">
        <v>12.68</v>
      </c>
      <c r="Q203" s="49">
        <v>14.29</v>
      </c>
      <c r="R203" s="49">
        <v>15.34</v>
      </c>
      <c r="S203" s="49">
        <v>15.27</v>
      </c>
    </row>
    <row r="204" spans="1:19" ht="18">
      <c r="A204" s="49">
        <v>1781</v>
      </c>
      <c r="B204" s="49" t="s">
        <v>1258</v>
      </c>
      <c r="C204" s="49">
        <v>0</v>
      </c>
      <c r="D204" s="49">
        <v>0</v>
      </c>
      <c r="E204" s="49">
        <v>0</v>
      </c>
      <c r="F204" s="49">
        <v>11.63</v>
      </c>
      <c r="G204" s="49">
        <v>0</v>
      </c>
      <c r="H204" s="49">
        <v>96.09</v>
      </c>
      <c r="I204" s="49">
        <v>22.3</v>
      </c>
      <c r="J204" s="49">
        <v>0</v>
      </c>
      <c r="K204" s="49">
        <v>0</v>
      </c>
      <c r="L204" s="49">
        <v>0</v>
      </c>
      <c r="M204" s="49">
        <v>0</v>
      </c>
      <c r="N204" s="49">
        <v>0</v>
      </c>
      <c r="O204" s="49">
        <v>0</v>
      </c>
      <c r="P204" s="49">
        <v>6.09</v>
      </c>
      <c r="Q204" s="49">
        <v>0</v>
      </c>
      <c r="R204" s="49">
        <v>0</v>
      </c>
      <c r="S204" s="49">
        <v>0</v>
      </c>
    </row>
    <row r="205" spans="1:19" ht="18">
      <c r="A205" s="49">
        <v>1783</v>
      </c>
      <c r="B205" s="49" t="s">
        <v>453</v>
      </c>
      <c r="C205" s="49">
        <v>0</v>
      </c>
      <c r="D205" s="49">
        <v>0</v>
      </c>
      <c r="E205" s="49">
        <v>0</v>
      </c>
      <c r="F205" s="49">
        <v>0</v>
      </c>
      <c r="G205" s="49">
        <v>0</v>
      </c>
      <c r="H205" s="49">
        <v>0</v>
      </c>
      <c r="I205" s="49">
        <v>0</v>
      </c>
      <c r="J205" s="49">
        <v>2040</v>
      </c>
      <c r="K205" s="49">
        <v>0</v>
      </c>
      <c r="L205" s="49">
        <v>0</v>
      </c>
      <c r="M205" s="49">
        <v>98.26</v>
      </c>
      <c r="N205" s="49">
        <v>30.06</v>
      </c>
      <c r="O205" s="49">
        <v>29.36</v>
      </c>
      <c r="P205" s="49">
        <v>31.37</v>
      </c>
      <c r="Q205" s="49">
        <v>42.54</v>
      </c>
      <c r="R205" s="49">
        <v>33.32</v>
      </c>
      <c r="S205" s="49">
        <v>22.51</v>
      </c>
    </row>
    <row r="206" spans="1:19" ht="18">
      <c r="A206" s="49">
        <v>1784</v>
      </c>
      <c r="B206" s="49" t="s">
        <v>1260</v>
      </c>
      <c r="C206" s="49">
        <v>40.82</v>
      </c>
      <c r="D206" s="49">
        <v>26.62</v>
      </c>
      <c r="E206" s="49">
        <v>22.37</v>
      </c>
      <c r="F206" s="49">
        <v>0</v>
      </c>
      <c r="G206" s="49">
        <v>92.68</v>
      </c>
      <c r="H206" s="49">
        <v>45.44</v>
      </c>
      <c r="I206" s="49">
        <v>33.99</v>
      </c>
      <c r="J206" s="49">
        <v>48.43</v>
      </c>
      <c r="K206" s="49">
        <v>94.62</v>
      </c>
      <c r="L206" s="49">
        <v>0</v>
      </c>
      <c r="M206" s="49">
        <v>0</v>
      </c>
      <c r="N206" s="49">
        <v>73.33</v>
      </c>
      <c r="O206" s="49">
        <v>139.83000000000001</v>
      </c>
      <c r="P206" s="49">
        <v>336.67</v>
      </c>
      <c r="Q206" s="49">
        <v>55.77</v>
      </c>
      <c r="R206" s="49">
        <v>86.08</v>
      </c>
      <c r="S206" s="49">
        <v>34.380000000000003</v>
      </c>
    </row>
    <row r="207" spans="1:19" ht="18">
      <c r="A207" s="49">
        <v>1785</v>
      </c>
      <c r="B207" s="49" t="s">
        <v>1261</v>
      </c>
      <c r="C207" s="49">
        <v>12.11</v>
      </c>
      <c r="D207" s="49">
        <v>5.39</v>
      </c>
      <c r="E207" s="49">
        <v>112.74</v>
      </c>
      <c r="F207" s="49">
        <v>11.68</v>
      </c>
      <c r="G207" s="49">
        <v>10.130000000000001</v>
      </c>
      <c r="H207" s="49">
        <v>17.27</v>
      </c>
      <c r="I207" s="49">
        <v>20.239999999999998</v>
      </c>
      <c r="J207" s="49">
        <v>24.42</v>
      </c>
      <c r="K207" s="49">
        <v>20.38</v>
      </c>
      <c r="L207" s="49">
        <v>0</v>
      </c>
      <c r="M207" s="49">
        <v>0</v>
      </c>
      <c r="N207" s="49">
        <v>12.85</v>
      </c>
      <c r="O207" s="49">
        <v>35.08</v>
      </c>
      <c r="P207" s="49">
        <v>18.350000000000001</v>
      </c>
      <c r="Q207" s="49">
        <v>25.17</v>
      </c>
      <c r="R207" s="49">
        <v>12.09</v>
      </c>
      <c r="S207" s="49">
        <v>20.13</v>
      </c>
    </row>
    <row r="208" spans="1:19" ht="18">
      <c r="A208" s="49">
        <v>1786</v>
      </c>
      <c r="B208" s="49" t="s">
        <v>454</v>
      </c>
      <c r="C208" s="49">
        <v>0</v>
      </c>
      <c r="D208" s="49">
        <v>0</v>
      </c>
      <c r="E208" s="49">
        <v>0</v>
      </c>
      <c r="F208" s="49">
        <v>0</v>
      </c>
      <c r="G208" s="49">
        <v>0</v>
      </c>
      <c r="H208" s="49">
        <v>0</v>
      </c>
      <c r="I208" s="49">
        <v>213.42</v>
      </c>
      <c r="J208" s="49">
        <v>894.55</v>
      </c>
      <c r="K208" s="49">
        <v>148.81</v>
      </c>
      <c r="L208" s="49">
        <v>0</v>
      </c>
      <c r="M208" s="49">
        <v>87.68</v>
      </c>
      <c r="N208" s="49">
        <v>47.81</v>
      </c>
      <c r="O208" s="49">
        <v>37.200000000000003</v>
      </c>
      <c r="P208" s="49">
        <v>28.43</v>
      </c>
      <c r="Q208" s="49">
        <v>27.1</v>
      </c>
      <c r="R208" s="49">
        <v>26.06</v>
      </c>
      <c r="S208" s="49">
        <v>31.04</v>
      </c>
    </row>
    <row r="209" spans="1:19" ht="18">
      <c r="A209" s="49">
        <v>1788</v>
      </c>
      <c r="B209" s="49" t="s">
        <v>1262</v>
      </c>
      <c r="C209" s="49">
        <v>0</v>
      </c>
      <c r="D209" s="49">
        <v>0</v>
      </c>
      <c r="E209" s="49">
        <v>23.72</v>
      </c>
      <c r="F209" s="49">
        <v>24.29</v>
      </c>
      <c r="G209" s="49">
        <v>13.9</v>
      </c>
      <c r="H209" s="49">
        <v>17.64</v>
      </c>
      <c r="I209" s="49">
        <v>13.54</v>
      </c>
      <c r="J209" s="49">
        <v>15.48</v>
      </c>
      <c r="K209" s="49">
        <v>16.88</v>
      </c>
      <c r="L209" s="49">
        <v>16.28</v>
      </c>
      <c r="M209" s="49">
        <v>13.76</v>
      </c>
      <c r="N209" s="49">
        <v>13.59</v>
      </c>
      <c r="O209" s="49">
        <v>15.86</v>
      </c>
      <c r="P209" s="49">
        <v>14.5</v>
      </c>
      <c r="Q209" s="49">
        <v>17.329999999999998</v>
      </c>
      <c r="R209" s="49">
        <v>15.7</v>
      </c>
      <c r="S209" s="49">
        <v>17.170000000000002</v>
      </c>
    </row>
    <row r="210" spans="1:19" ht="18">
      <c r="A210" s="49">
        <v>1789</v>
      </c>
      <c r="B210" s="49" t="s">
        <v>455</v>
      </c>
      <c r="C210" s="49">
        <v>0</v>
      </c>
      <c r="D210" s="49">
        <v>0</v>
      </c>
      <c r="E210" s="49">
        <v>0</v>
      </c>
      <c r="F210" s="49">
        <v>0</v>
      </c>
      <c r="G210" s="49">
        <v>26.24</v>
      </c>
      <c r="H210" s="49">
        <v>42.56</v>
      </c>
      <c r="I210" s="49">
        <v>41.32</v>
      </c>
      <c r="J210" s="49">
        <v>52.83</v>
      </c>
      <c r="K210" s="49">
        <v>88.2</v>
      </c>
      <c r="L210" s="49">
        <v>41.56</v>
      </c>
      <c r="M210" s="49">
        <v>55.39</v>
      </c>
      <c r="N210" s="49">
        <v>46.44</v>
      </c>
      <c r="O210" s="49">
        <v>80.61</v>
      </c>
      <c r="P210" s="49">
        <v>70.37</v>
      </c>
      <c r="Q210" s="49">
        <v>98.6</v>
      </c>
      <c r="R210" s="49">
        <v>65.260000000000005</v>
      </c>
      <c r="S210" s="49">
        <v>91.03</v>
      </c>
    </row>
    <row r="211" spans="1:19" ht="18">
      <c r="A211" s="49">
        <v>1795</v>
      </c>
      <c r="B211" s="49" t="s">
        <v>456</v>
      </c>
      <c r="C211" s="49">
        <v>0</v>
      </c>
      <c r="D211" s="49">
        <v>0</v>
      </c>
      <c r="E211" s="49">
        <v>0</v>
      </c>
      <c r="F211" s="49">
        <v>0</v>
      </c>
      <c r="G211" s="49">
        <v>0</v>
      </c>
      <c r="H211" s="49">
        <v>0</v>
      </c>
      <c r="I211" s="49">
        <v>0</v>
      </c>
      <c r="J211" s="49">
        <v>0</v>
      </c>
      <c r="K211" s="49">
        <v>0</v>
      </c>
      <c r="L211" s="49">
        <v>181.52</v>
      </c>
      <c r="M211" s="49">
        <v>0</v>
      </c>
      <c r="N211" s="49">
        <v>741</v>
      </c>
      <c r="O211" s="49">
        <v>46.94</v>
      </c>
      <c r="P211" s="49">
        <v>23.12</v>
      </c>
      <c r="Q211" s="49">
        <v>17.41</v>
      </c>
      <c r="R211" s="49">
        <v>20.76</v>
      </c>
      <c r="S211" s="49">
        <v>18.57</v>
      </c>
    </row>
    <row r="212" spans="1:19" ht="18">
      <c r="A212" s="49">
        <v>1796</v>
      </c>
      <c r="B212" s="49" t="s">
        <v>1263</v>
      </c>
      <c r="C212" s="49">
        <v>0</v>
      </c>
      <c r="D212" s="49">
        <v>0</v>
      </c>
      <c r="E212" s="49">
        <v>0</v>
      </c>
      <c r="F212" s="49">
        <v>0</v>
      </c>
      <c r="G212" s="49">
        <v>0</v>
      </c>
      <c r="H212" s="49">
        <v>0</v>
      </c>
      <c r="I212" s="49">
        <v>0</v>
      </c>
      <c r="J212" s="49">
        <v>0</v>
      </c>
      <c r="K212" s="49">
        <v>0</v>
      </c>
      <c r="L212" s="49">
        <v>0</v>
      </c>
      <c r="M212" s="49">
        <v>0</v>
      </c>
      <c r="N212" s="49">
        <v>155.56</v>
      </c>
      <c r="O212" s="49">
        <v>0</v>
      </c>
      <c r="P212" s="49">
        <v>0</v>
      </c>
      <c r="Q212" s="49">
        <v>39.25</v>
      </c>
      <c r="R212" s="49">
        <v>29.73</v>
      </c>
      <c r="S212" s="49">
        <v>24.03</v>
      </c>
    </row>
    <row r="213" spans="1:19" ht="18">
      <c r="A213" s="49">
        <v>1799</v>
      </c>
      <c r="B213" s="49" t="s">
        <v>1264</v>
      </c>
      <c r="C213" s="49">
        <v>0</v>
      </c>
      <c r="D213" s="49">
        <v>6.98</v>
      </c>
      <c r="E213" s="49">
        <v>59.56</v>
      </c>
      <c r="F213" s="49">
        <v>44</v>
      </c>
      <c r="G213" s="49">
        <v>0</v>
      </c>
      <c r="H213" s="49">
        <v>0</v>
      </c>
      <c r="I213" s="49">
        <v>0</v>
      </c>
      <c r="J213" s="49">
        <v>0</v>
      </c>
      <c r="K213" s="49">
        <v>0</v>
      </c>
      <c r="L213" s="49">
        <v>0</v>
      </c>
      <c r="M213" s="49">
        <v>0</v>
      </c>
      <c r="N213" s="49">
        <v>0</v>
      </c>
      <c r="O213" s="49">
        <v>0</v>
      </c>
      <c r="P213" s="49">
        <v>0</v>
      </c>
      <c r="Q213" s="49">
        <v>0</v>
      </c>
      <c r="R213" s="49">
        <v>0</v>
      </c>
      <c r="S213" s="49">
        <v>0</v>
      </c>
    </row>
    <row r="214" spans="1:19" ht="18">
      <c r="A214" s="49">
        <v>1802</v>
      </c>
      <c r="B214" s="49" t="s">
        <v>457</v>
      </c>
      <c r="C214" s="49">
        <v>20.29</v>
      </c>
      <c r="D214" s="49">
        <v>16.260000000000002</v>
      </c>
      <c r="E214" s="49">
        <v>0</v>
      </c>
      <c r="F214" s="49">
        <v>14.66</v>
      </c>
      <c r="G214" s="49">
        <v>16.600000000000001</v>
      </c>
      <c r="H214" s="49">
        <v>0</v>
      </c>
      <c r="I214" s="49">
        <v>0</v>
      </c>
      <c r="J214" s="49">
        <v>82.33</v>
      </c>
      <c r="K214" s="49">
        <v>0</v>
      </c>
      <c r="L214" s="49">
        <v>0</v>
      </c>
      <c r="M214" s="49">
        <v>77.069999999999993</v>
      </c>
      <c r="N214" s="49">
        <v>18.97</v>
      </c>
      <c r="O214" s="49">
        <v>0</v>
      </c>
      <c r="P214" s="49">
        <v>216.67</v>
      </c>
      <c r="Q214" s="49">
        <v>7.35</v>
      </c>
      <c r="R214" s="49">
        <v>18.32</v>
      </c>
      <c r="S214" s="49">
        <v>0</v>
      </c>
    </row>
    <row r="215" spans="1:19" ht="18">
      <c r="A215" s="49">
        <v>1805</v>
      </c>
      <c r="B215" s="49" t="s">
        <v>458</v>
      </c>
      <c r="C215" s="49">
        <v>0</v>
      </c>
      <c r="D215" s="49">
        <v>0</v>
      </c>
      <c r="E215" s="49">
        <v>0</v>
      </c>
      <c r="F215" s="49">
        <v>0</v>
      </c>
      <c r="G215" s="49">
        <v>22.77</v>
      </c>
      <c r="H215" s="49">
        <v>18.84</v>
      </c>
      <c r="I215" s="49">
        <v>0</v>
      </c>
      <c r="J215" s="49">
        <v>3.14</v>
      </c>
      <c r="K215" s="49">
        <v>0</v>
      </c>
      <c r="L215" s="49">
        <v>4.38</v>
      </c>
      <c r="M215" s="49">
        <v>0</v>
      </c>
      <c r="N215" s="49">
        <v>0</v>
      </c>
      <c r="O215" s="49">
        <v>0</v>
      </c>
      <c r="P215" s="49">
        <v>0</v>
      </c>
      <c r="Q215" s="49">
        <v>0</v>
      </c>
      <c r="R215" s="49">
        <v>0</v>
      </c>
      <c r="S215" s="49">
        <v>0</v>
      </c>
    </row>
    <row r="216" spans="1:19" ht="18">
      <c r="A216" s="49">
        <v>1806</v>
      </c>
      <c r="B216" s="49" t="s">
        <v>459</v>
      </c>
      <c r="C216" s="49">
        <v>9.9700000000000006</v>
      </c>
      <c r="D216" s="49">
        <v>6.52</v>
      </c>
      <c r="E216" s="49">
        <v>30.45</v>
      </c>
      <c r="F216" s="49">
        <v>12.18</v>
      </c>
      <c r="G216" s="49">
        <v>2.61</v>
      </c>
      <c r="H216" s="49">
        <v>0</v>
      </c>
      <c r="I216" s="49">
        <v>45.17</v>
      </c>
      <c r="J216" s="49">
        <v>0</v>
      </c>
      <c r="K216" s="49">
        <v>0</v>
      </c>
      <c r="L216" s="49">
        <v>0</v>
      </c>
      <c r="M216" s="49">
        <v>0</v>
      </c>
      <c r="N216" s="49">
        <v>0</v>
      </c>
      <c r="O216" s="49">
        <v>0</v>
      </c>
      <c r="P216" s="49">
        <v>0</v>
      </c>
      <c r="Q216" s="49">
        <v>5.14</v>
      </c>
      <c r="R216" s="49">
        <v>149.16999999999999</v>
      </c>
      <c r="S216" s="49">
        <v>0</v>
      </c>
    </row>
    <row r="217" spans="1:19" ht="18">
      <c r="A217" s="49">
        <v>1808</v>
      </c>
      <c r="B217" s="49" t="s">
        <v>460</v>
      </c>
      <c r="C217" s="49">
        <v>19.649999999999999</v>
      </c>
      <c r="D217" s="49">
        <v>8.24</v>
      </c>
      <c r="E217" s="49">
        <v>9.11</v>
      </c>
      <c r="F217" s="49">
        <v>12.78</v>
      </c>
      <c r="G217" s="49">
        <v>7.26</v>
      </c>
      <c r="H217" s="49">
        <v>5.32</v>
      </c>
      <c r="I217" s="49">
        <v>0</v>
      </c>
      <c r="J217" s="49">
        <v>15.68</v>
      </c>
      <c r="K217" s="49">
        <v>5.07</v>
      </c>
      <c r="L217" s="49">
        <v>8.8000000000000007</v>
      </c>
      <c r="M217" s="49">
        <v>18.78</v>
      </c>
      <c r="N217" s="49">
        <v>7.02</v>
      </c>
      <c r="O217" s="49">
        <v>1046.67</v>
      </c>
      <c r="P217" s="49">
        <v>21.87</v>
      </c>
      <c r="Q217" s="49">
        <v>17.48</v>
      </c>
      <c r="R217" s="49">
        <v>50.73</v>
      </c>
      <c r="S217" s="49">
        <v>6.86</v>
      </c>
    </row>
    <row r="218" spans="1:19" ht="18">
      <c r="A218" s="49">
        <v>1809</v>
      </c>
      <c r="B218" s="49" t="s">
        <v>461</v>
      </c>
      <c r="C218" s="49">
        <v>21.7</v>
      </c>
      <c r="D218" s="49">
        <v>12.63</v>
      </c>
      <c r="E218" s="49">
        <v>15.95</v>
      </c>
      <c r="F218" s="49">
        <v>24.58</v>
      </c>
      <c r="G218" s="49">
        <v>10.25</v>
      </c>
      <c r="H218" s="49">
        <v>16.57</v>
      </c>
      <c r="I218" s="49">
        <v>27.98</v>
      </c>
      <c r="J218" s="49">
        <v>17.47</v>
      </c>
      <c r="K218" s="49">
        <v>18.87</v>
      </c>
      <c r="L218" s="49">
        <v>16.27</v>
      </c>
      <c r="M218" s="49">
        <v>1255</v>
      </c>
      <c r="N218" s="49">
        <v>0</v>
      </c>
      <c r="O218" s="49">
        <v>0</v>
      </c>
      <c r="P218" s="49">
        <v>0</v>
      </c>
      <c r="Q218" s="49">
        <v>546.66999999999996</v>
      </c>
      <c r="R218" s="49">
        <v>20.25</v>
      </c>
      <c r="S218" s="49">
        <v>0</v>
      </c>
    </row>
    <row r="219" spans="1:19" ht="18">
      <c r="A219" s="49">
        <v>1810</v>
      </c>
      <c r="B219" s="49" t="s">
        <v>462</v>
      </c>
      <c r="C219" s="49">
        <v>42</v>
      </c>
      <c r="D219" s="49">
        <v>0</v>
      </c>
      <c r="E219" s="49">
        <v>0</v>
      </c>
      <c r="F219" s="49">
        <v>0</v>
      </c>
      <c r="G219" s="49">
        <v>37.32</v>
      </c>
      <c r="H219" s="49">
        <v>63.33</v>
      </c>
      <c r="I219" s="49">
        <v>42.6</v>
      </c>
      <c r="J219" s="49">
        <v>15.51</v>
      </c>
      <c r="K219" s="49">
        <v>27.6</v>
      </c>
      <c r="L219" s="49">
        <v>10.93</v>
      </c>
      <c r="M219" s="49">
        <v>35.29</v>
      </c>
      <c r="N219" s="49">
        <v>86.67</v>
      </c>
      <c r="O219" s="49">
        <v>0</v>
      </c>
      <c r="P219" s="49">
        <v>60</v>
      </c>
      <c r="Q219" s="49">
        <v>5.62</v>
      </c>
      <c r="R219" s="49">
        <v>21.26</v>
      </c>
      <c r="S219" s="49">
        <v>0</v>
      </c>
    </row>
    <row r="220" spans="1:19" ht="18">
      <c r="A220" s="49">
        <v>1813</v>
      </c>
      <c r="B220" s="49" t="s">
        <v>1265</v>
      </c>
      <c r="C220" s="49">
        <v>0</v>
      </c>
      <c r="D220" s="49">
        <v>0</v>
      </c>
      <c r="E220" s="49">
        <v>28.62</v>
      </c>
      <c r="F220" s="49">
        <v>21.82</v>
      </c>
      <c r="G220" s="49">
        <v>29.78</v>
      </c>
      <c r="H220" s="49">
        <v>13.18</v>
      </c>
      <c r="I220" s="49">
        <v>16.07</v>
      </c>
      <c r="J220" s="49">
        <v>17.72</v>
      </c>
      <c r="K220" s="49">
        <v>11.81</v>
      </c>
      <c r="L220" s="49">
        <v>15.84</v>
      </c>
      <c r="M220" s="49">
        <v>66.94</v>
      </c>
      <c r="N220" s="49">
        <v>20.99</v>
      </c>
      <c r="O220" s="49">
        <v>18.309999999999999</v>
      </c>
      <c r="P220" s="49">
        <v>0</v>
      </c>
      <c r="Q220" s="49">
        <v>165.45</v>
      </c>
      <c r="R220" s="49">
        <v>36.770000000000003</v>
      </c>
      <c r="S220" s="49">
        <v>0</v>
      </c>
    </row>
    <row r="221" spans="1:19" ht="18">
      <c r="A221" s="49">
        <v>1815</v>
      </c>
      <c r="B221" s="49" t="s">
        <v>1266</v>
      </c>
      <c r="C221" s="49">
        <v>11.03</v>
      </c>
      <c r="D221" s="49">
        <v>4.4000000000000004</v>
      </c>
      <c r="E221" s="49">
        <v>0</v>
      </c>
      <c r="F221" s="49">
        <v>14.8</v>
      </c>
      <c r="G221" s="49">
        <v>7.32</v>
      </c>
      <c r="H221" s="49">
        <v>43.06</v>
      </c>
      <c r="I221" s="49">
        <v>0</v>
      </c>
      <c r="J221" s="49">
        <v>0</v>
      </c>
      <c r="K221" s="49">
        <v>12.3</v>
      </c>
      <c r="L221" s="49">
        <v>13.17</v>
      </c>
      <c r="M221" s="49">
        <v>15.8</v>
      </c>
      <c r="N221" s="49">
        <v>17.61</v>
      </c>
      <c r="O221" s="49">
        <v>0</v>
      </c>
      <c r="P221" s="49">
        <v>0</v>
      </c>
      <c r="Q221" s="49">
        <v>19.72</v>
      </c>
      <c r="R221" s="49">
        <v>18.2</v>
      </c>
      <c r="S221" s="49">
        <v>0</v>
      </c>
    </row>
    <row r="222" spans="1:19" ht="18">
      <c r="A222" s="49">
        <v>1817</v>
      </c>
      <c r="B222" s="49" t="s">
        <v>463</v>
      </c>
      <c r="C222" s="49">
        <v>0</v>
      </c>
      <c r="D222" s="49">
        <v>0</v>
      </c>
      <c r="E222" s="49">
        <v>0</v>
      </c>
      <c r="F222" s="49">
        <v>0</v>
      </c>
      <c r="G222" s="49">
        <v>0</v>
      </c>
      <c r="H222" s="49">
        <v>0</v>
      </c>
      <c r="I222" s="49">
        <v>17.059999999999999</v>
      </c>
      <c r="J222" s="49">
        <v>13.25</v>
      </c>
      <c r="K222" s="49">
        <v>13.75</v>
      </c>
      <c r="L222" s="49">
        <v>11.44</v>
      </c>
      <c r="M222" s="49">
        <v>12.5</v>
      </c>
      <c r="N222" s="49">
        <v>10.56</v>
      </c>
      <c r="O222" s="49">
        <v>12.73</v>
      </c>
      <c r="P222" s="49">
        <v>11.59</v>
      </c>
      <c r="Q222" s="49">
        <v>12.02</v>
      </c>
      <c r="R222" s="49">
        <v>9.93</v>
      </c>
      <c r="S222" s="49">
        <v>12.22</v>
      </c>
    </row>
    <row r="223" spans="1:19" ht="18">
      <c r="A223" s="49">
        <v>1903</v>
      </c>
      <c r="B223" s="49" t="s">
        <v>464</v>
      </c>
      <c r="C223" s="49">
        <v>16.03</v>
      </c>
      <c r="D223" s="49">
        <v>0</v>
      </c>
      <c r="E223" s="49">
        <v>0</v>
      </c>
      <c r="F223" s="49">
        <v>0</v>
      </c>
      <c r="G223" s="49">
        <v>0</v>
      </c>
      <c r="H223" s="49">
        <v>0</v>
      </c>
      <c r="I223" s="49">
        <v>0</v>
      </c>
      <c r="J223" s="49">
        <v>0</v>
      </c>
      <c r="K223" s="49">
        <v>0</v>
      </c>
      <c r="L223" s="49">
        <v>0</v>
      </c>
      <c r="M223" s="49">
        <v>0</v>
      </c>
      <c r="N223" s="49">
        <v>0</v>
      </c>
      <c r="O223" s="49">
        <v>0</v>
      </c>
      <c r="P223" s="49">
        <v>0</v>
      </c>
      <c r="Q223" s="49">
        <v>223.79</v>
      </c>
      <c r="R223" s="49">
        <v>58.59</v>
      </c>
      <c r="S223" s="49">
        <v>221.15</v>
      </c>
    </row>
    <row r="224" spans="1:19" ht="18">
      <c r="A224" s="49">
        <v>1904</v>
      </c>
      <c r="B224" s="49" t="s">
        <v>465</v>
      </c>
      <c r="C224" s="49">
        <v>20.38</v>
      </c>
      <c r="D224" s="49">
        <v>8.4</v>
      </c>
      <c r="E224" s="49">
        <v>57.5</v>
      </c>
      <c r="F224" s="49">
        <v>9.86</v>
      </c>
      <c r="G224" s="49">
        <v>9.91</v>
      </c>
      <c r="H224" s="49">
        <v>13.09</v>
      </c>
      <c r="I224" s="49">
        <v>12.7</v>
      </c>
      <c r="J224" s="49">
        <v>19.329999999999998</v>
      </c>
      <c r="K224" s="49">
        <v>8.8000000000000007</v>
      </c>
      <c r="L224" s="49">
        <v>12.95</v>
      </c>
      <c r="M224" s="49">
        <v>14.3</v>
      </c>
      <c r="N224" s="49">
        <v>5.41</v>
      </c>
      <c r="O224" s="49">
        <v>11.35</v>
      </c>
      <c r="P224" s="49">
        <v>11.11</v>
      </c>
      <c r="Q224" s="49">
        <v>9.15</v>
      </c>
      <c r="R224" s="49">
        <v>10.09</v>
      </c>
      <c r="S224" s="49">
        <v>42.5</v>
      </c>
    </row>
    <row r="225" spans="1:19" ht="18">
      <c r="A225" s="49">
        <v>1905</v>
      </c>
      <c r="B225" s="49" t="s">
        <v>466</v>
      </c>
      <c r="C225" s="49">
        <v>13.88</v>
      </c>
      <c r="D225" s="49">
        <v>7.93</v>
      </c>
      <c r="E225" s="49">
        <v>0</v>
      </c>
      <c r="F225" s="49">
        <v>9.15</v>
      </c>
      <c r="G225" s="49">
        <v>28.59</v>
      </c>
      <c r="H225" s="49">
        <v>0</v>
      </c>
      <c r="I225" s="49">
        <v>0</v>
      </c>
      <c r="J225" s="49">
        <v>0</v>
      </c>
      <c r="K225" s="49">
        <v>13.34</v>
      </c>
      <c r="L225" s="49">
        <v>23.62</v>
      </c>
      <c r="M225" s="49">
        <v>20.53</v>
      </c>
      <c r="N225" s="49">
        <v>21.47</v>
      </c>
      <c r="O225" s="49">
        <v>149.66999999999999</v>
      </c>
      <c r="P225" s="49">
        <v>0</v>
      </c>
      <c r="Q225" s="49">
        <v>40</v>
      </c>
      <c r="R225" s="49">
        <v>80.75</v>
      </c>
      <c r="S225" s="49">
        <v>0</v>
      </c>
    </row>
    <row r="226" spans="1:19" ht="18">
      <c r="A226" s="49">
        <v>1906</v>
      </c>
      <c r="B226" s="49" t="s">
        <v>467</v>
      </c>
      <c r="C226" s="49">
        <v>19.41</v>
      </c>
      <c r="D226" s="49">
        <v>7.87</v>
      </c>
      <c r="E226" s="49">
        <v>0</v>
      </c>
      <c r="F226" s="49">
        <v>17.399999999999999</v>
      </c>
      <c r="G226" s="49">
        <v>17.97</v>
      </c>
      <c r="H226" s="49">
        <v>0</v>
      </c>
      <c r="I226" s="49">
        <v>490.5</v>
      </c>
      <c r="J226" s="49">
        <v>9.3699999999999992</v>
      </c>
      <c r="K226" s="49">
        <v>19.100000000000001</v>
      </c>
      <c r="L226" s="49">
        <v>24.57</v>
      </c>
      <c r="M226" s="49">
        <v>3.53</v>
      </c>
      <c r="N226" s="49">
        <v>4.6399999999999997</v>
      </c>
      <c r="O226" s="49">
        <v>10.4</v>
      </c>
      <c r="P226" s="49">
        <v>35.9</v>
      </c>
      <c r="Q226" s="49">
        <v>19.86</v>
      </c>
      <c r="R226" s="49">
        <v>5.23</v>
      </c>
      <c r="S226" s="49">
        <v>81.58</v>
      </c>
    </row>
    <row r="227" spans="1:19" ht="18">
      <c r="A227" s="49">
        <v>1907</v>
      </c>
      <c r="B227" s="49" t="s">
        <v>468</v>
      </c>
      <c r="C227" s="49">
        <v>20.25</v>
      </c>
      <c r="D227" s="49">
        <v>9.34</v>
      </c>
      <c r="E227" s="49">
        <v>0</v>
      </c>
      <c r="F227" s="49">
        <v>11.07</v>
      </c>
      <c r="G227" s="49">
        <v>7.86</v>
      </c>
      <c r="H227" s="49">
        <v>24.65</v>
      </c>
      <c r="I227" s="49">
        <v>45.15</v>
      </c>
      <c r="J227" s="49">
        <v>47.07</v>
      </c>
      <c r="K227" s="49">
        <v>17.46</v>
      </c>
      <c r="L227" s="49">
        <v>322.67</v>
      </c>
      <c r="M227" s="49">
        <v>15.16</v>
      </c>
      <c r="N227" s="49">
        <v>13.08</v>
      </c>
      <c r="O227" s="49">
        <v>11.5</v>
      </c>
      <c r="P227" s="49">
        <v>10.71</v>
      </c>
      <c r="Q227" s="49">
        <v>10.46</v>
      </c>
      <c r="R227" s="49">
        <v>14.13</v>
      </c>
      <c r="S227" s="49">
        <v>42.34</v>
      </c>
    </row>
    <row r="228" spans="1:19" ht="18">
      <c r="A228" s="49">
        <v>1909</v>
      </c>
      <c r="B228" s="49" t="s">
        <v>469</v>
      </c>
      <c r="C228" s="49">
        <v>18.97</v>
      </c>
      <c r="D228" s="49">
        <v>14.5</v>
      </c>
      <c r="E228" s="49">
        <v>0</v>
      </c>
      <c r="F228" s="49">
        <v>23.89</v>
      </c>
      <c r="G228" s="49">
        <v>10.9</v>
      </c>
      <c r="H228" s="49">
        <v>14.67</v>
      </c>
      <c r="I228" s="49">
        <v>11.2</v>
      </c>
      <c r="J228" s="49">
        <v>11.2</v>
      </c>
      <c r="K228" s="49">
        <v>11.45</v>
      </c>
      <c r="L228" s="49">
        <v>12.02</v>
      </c>
      <c r="M228" s="49">
        <v>10.73</v>
      </c>
      <c r="N228" s="49">
        <v>8.69</v>
      </c>
      <c r="O228" s="49">
        <v>0</v>
      </c>
      <c r="P228" s="49">
        <v>29.43</v>
      </c>
      <c r="Q228" s="49">
        <v>12.91</v>
      </c>
      <c r="R228" s="49">
        <v>77.86</v>
      </c>
      <c r="S228" s="49">
        <v>0</v>
      </c>
    </row>
    <row r="229" spans="1:19" ht="18">
      <c r="A229" s="49">
        <v>2002</v>
      </c>
      <c r="B229" s="49" t="s">
        <v>470</v>
      </c>
      <c r="C229" s="49">
        <v>9.89</v>
      </c>
      <c r="D229" s="49">
        <v>5.55</v>
      </c>
      <c r="E229" s="49">
        <v>0</v>
      </c>
      <c r="F229" s="49">
        <v>9.33</v>
      </c>
      <c r="G229" s="49">
        <v>17.670000000000002</v>
      </c>
      <c r="H229" s="49">
        <v>130.24</v>
      </c>
      <c r="I229" s="49">
        <v>28.42</v>
      </c>
      <c r="J229" s="49">
        <v>21.56</v>
      </c>
      <c r="K229" s="49">
        <v>17.43</v>
      </c>
      <c r="L229" s="49">
        <v>34.72</v>
      </c>
      <c r="M229" s="49">
        <v>26.9</v>
      </c>
      <c r="N229" s="49">
        <v>15.16</v>
      </c>
      <c r="O229" s="49">
        <v>23.9</v>
      </c>
      <c r="P229" s="49">
        <v>0</v>
      </c>
      <c r="Q229" s="49">
        <v>10.84</v>
      </c>
      <c r="R229" s="49">
        <v>11.29</v>
      </c>
      <c r="S229" s="49">
        <v>0</v>
      </c>
    </row>
    <row r="230" spans="1:19" ht="18">
      <c r="A230" s="49">
        <v>2006</v>
      </c>
      <c r="B230" s="49" t="s">
        <v>471</v>
      </c>
      <c r="C230" s="49">
        <v>11.68</v>
      </c>
      <c r="D230" s="49">
        <v>4.29</v>
      </c>
      <c r="E230" s="49">
        <v>0</v>
      </c>
      <c r="F230" s="49">
        <v>32.72</v>
      </c>
      <c r="G230" s="49">
        <v>9.11</v>
      </c>
      <c r="H230" s="49">
        <v>17.68</v>
      </c>
      <c r="I230" s="49">
        <v>13.51</v>
      </c>
      <c r="J230" s="49">
        <v>14.17</v>
      </c>
      <c r="K230" s="49">
        <v>20.239999999999998</v>
      </c>
      <c r="L230" s="49">
        <v>13.65</v>
      </c>
      <c r="M230" s="49">
        <v>17.670000000000002</v>
      </c>
      <c r="N230" s="49">
        <v>14.29</v>
      </c>
      <c r="O230" s="49">
        <v>19.329999999999998</v>
      </c>
      <c r="P230" s="49">
        <v>15.15</v>
      </c>
      <c r="Q230" s="49">
        <v>8.2100000000000009</v>
      </c>
      <c r="R230" s="49">
        <v>8.2100000000000009</v>
      </c>
      <c r="S230" s="49">
        <v>12.25</v>
      </c>
    </row>
    <row r="231" spans="1:19" ht="18">
      <c r="A231" s="49">
        <v>2007</v>
      </c>
      <c r="B231" s="49" t="s">
        <v>472</v>
      </c>
      <c r="C231" s="49">
        <v>0</v>
      </c>
      <c r="D231" s="49">
        <v>0</v>
      </c>
      <c r="E231" s="49">
        <v>0</v>
      </c>
      <c r="F231" s="49">
        <v>7.64</v>
      </c>
      <c r="G231" s="49">
        <v>38.909999999999997</v>
      </c>
      <c r="H231" s="49">
        <v>0</v>
      </c>
      <c r="I231" s="49">
        <v>0</v>
      </c>
      <c r="J231" s="49">
        <v>0</v>
      </c>
      <c r="K231" s="49">
        <v>0</v>
      </c>
      <c r="L231" s="49">
        <v>0</v>
      </c>
      <c r="M231" s="49">
        <v>0</v>
      </c>
      <c r="N231" s="49">
        <v>276</v>
      </c>
      <c r="O231" s="49">
        <v>0</v>
      </c>
      <c r="P231" s="49">
        <v>0</v>
      </c>
      <c r="Q231" s="49">
        <v>0</v>
      </c>
      <c r="R231" s="49">
        <v>0</v>
      </c>
      <c r="S231" s="49">
        <v>0</v>
      </c>
    </row>
    <row r="232" spans="1:19" ht="18">
      <c r="A232" s="49">
        <v>2008</v>
      </c>
      <c r="B232" s="49" t="s">
        <v>473</v>
      </c>
      <c r="C232" s="49">
        <v>44.05</v>
      </c>
      <c r="D232" s="49">
        <v>3.57</v>
      </c>
      <c r="E232" s="49">
        <v>0</v>
      </c>
      <c r="F232" s="49">
        <v>0</v>
      </c>
      <c r="G232" s="49">
        <v>0</v>
      </c>
      <c r="H232" s="49">
        <v>0</v>
      </c>
      <c r="I232" s="49">
        <v>1.18</v>
      </c>
      <c r="J232" s="49">
        <v>0</v>
      </c>
      <c r="K232" s="49">
        <v>0</v>
      </c>
      <c r="L232" s="49">
        <v>10.34</v>
      </c>
      <c r="M232" s="49">
        <v>0</v>
      </c>
      <c r="N232" s="49">
        <v>0</v>
      </c>
      <c r="O232" s="49">
        <v>0</v>
      </c>
      <c r="P232" s="49">
        <v>0</v>
      </c>
      <c r="Q232" s="49">
        <v>99.75</v>
      </c>
      <c r="R232" s="49">
        <v>49.58</v>
      </c>
      <c r="S232" s="49">
        <v>9.67</v>
      </c>
    </row>
    <row r="233" spans="1:19" ht="18">
      <c r="A233" s="49">
        <v>2009</v>
      </c>
      <c r="B233" s="49" t="s">
        <v>474</v>
      </c>
      <c r="C233" s="49">
        <v>14.09</v>
      </c>
      <c r="D233" s="49">
        <v>11.24</v>
      </c>
      <c r="E233" s="49">
        <v>0</v>
      </c>
      <c r="F233" s="49">
        <v>8.68</v>
      </c>
      <c r="G233" s="49">
        <v>12.86</v>
      </c>
      <c r="H233" s="49">
        <v>0</v>
      </c>
      <c r="I233" s="49">
        <v>38</v>
      </c>
      <c r="J233" s="49">
        <v>83.75</v>
      </c>
      <c r="K233" s="49">
        <v>0</v>
      </c>
      <c r="L233" s="49">
        <v>0</v>
      </c>
      <c r="M233" s="49">
        <v>23.88</v>
      </c>
      <c r="N233" s="49">
        <v>26.32</v>
      </c>
      <c r="O233" s="49">
        <v>0</v>
      </c>
      <c r="P233" s="49">
        <v>873.33</v>
      </c>
      <c r="Q233" s="49">
        <v>33.92</v>
      </c>
      <c r="R233" s="49">
        <v>51.55</v>
      </c>
      <c r="S233" s="49">
        <v>290.91000000000003</v>
      </c>
    </row>
    <row r="234" spans="1:19" ht="18">
      <c r="A234" s="49">
        <v>2010</v>
      </c>
      <c r="B234" s="49" t="s">
        <v>475</v>
      </c>
      <c r="C234" s="49">
        <v>14.81</v>
      </c>
      <c r="D234" s="49">
        <v>4.1500000000000004</v>
      </c>
      <c r="E234" s="49">
        <v>0</v>
      </c>
      <c r="F234" s="49">
        <v>8.6999999999999993</v>
      </c>
      <c r="G234" s="49">
        <v>11.89</v>
      </c>
      <c r="H234" s="49">
        <v>21.09</v>
      </c>
      <c r="I234" s="49">
        <v>19.079999999999998</v>
      </c>
      <c r="J234" s="49">
        <v>13.92</v>
      </c>
      <c r="K234" s="49">
        <v>14.73</v>
      </c>
      <c r="L234" s="49">
        <v>8.26</v>
      </c>
      <c r="M234" s="49">
        <v>19.41</v>
      </c>
      <c r="N234" s="49">
        <v>17.72</v>
      </c>
      <c r="O234" s="49">
        <v>39.04</v>
      </c>
      <c r="P234" s="49">
        <v>26.09</v>
      </c>
      <c r="Q234" s="49">
        <v>13.05</v>
      </c>
      <c r="R234" s="49">
        <v>13.63</v>
      </c>
      <c r="S234" s="49">
        <v>16.55</v>
      </c>
    </row>
    <row r="235" spans="1:19" ht="18">
      <c r="A235" s="49">
        <v>2012</v>
      </c>
      <c r="B235" s="49" t="s">
        <v>476</v>
      </c>
      <c r="C235" s="49">
        <v>30.18</v>
      </c>
      <c r="D235" s="49">
        <v>5.98</v>
      </c>
      <c r="E235" s="49">
        <v>0</v>
      </c>
      <c r="F235" s="49">
        <v>0</v>
      </c>
      <c r="G235" s="49">
        <v>13.35</v>
      </c>
      <c r="H235" s="49">
        <v>0</v>
      </c>
      <c r="I235" s="49">
        <v>0</v>
      </c>
      <c r="J235" s="49">
        <v>27.21</v>
      </c>
      <c r="K235" s="49">
        <v>19.45</v>
      </c>
      <c r="L235" s="49">
        <v>23.02</v>
      </c>
      <c r="M235" s="49">
        <v>14.35</v>
      </c>
      <c r="N235" s="49">
        <v>12.82</v>
      </c>
      <c r="O235" s="49">
        <v>11.03</v>
      </c>
      <c r="P235" s="49">
        <v>30.21</v>
      </c>
      <c r="Q235" s="49">
        <v>12.16</v>
      </c>
      <c r="R235" s="49">
        <v>11.54</v>
      </c>
      <c r="S235" s="49">
        <v>30.42</v>
      </c>
    </row>
    <row r="236" spans="1:19" ht="18">
      <c r="A236" s="49">
        <v>2013</v>
      </c>
      <c r="B236" s="49" t="s">
        <v>477</v>
      </c>
      <c r="C236" s="49">
        <v>12.59</v>
      </c>
      <c r="D236" s="49">
        <v>7.54</v>
      </c>
      <c r="E236" s="49">
        <v>25.83</v>
      </c>
      <c r="F236" s="49">
        <v>11.76</v>
      </c>
      <c r="G236" s="49">
        <v>8.6300000000000008</v>
      </c>
      <c r="H236" s="49">
        <v>8.6999999999999993</v>
      </c>
      <c r="I236" s="49">
        <v>12.85</v>
      </c>
      <c r="J236" s="49">
        <v>18.78</v>
      </c>
      <c r="K236" s="49">
        <v>18.079999999999998</v>
      </c>
      <c r="L236" s="49">
        <v>36.19</v>
      </c>
      <c r="M236" s="49">
        <v>89.32</v>
      </c>
      <c r="N236" s="49">
        <v>49.72</v>
      </c>
      <c r="O236" s="49">
        <v>45.64</v>
      </c>
      <c r="P236" s="49">
        <v>12.53</v>
      </c>
      <c r="Q236" s="49">
        <v>23.87</v>
      </c>
      <c r="R236" s="49">
        <v>20.92</v>
      </c>
      <c r="S236" s="49">
        <v>23.43</v>
      </c>
    </row>
    <row r="237" spans="1:19" ht="18">
      <c r="A237" s="49">
        <v>2014</v>
      </c>
      <c r="B237" s="49" t="s">
        <v>478</v>
      </c>
      <c r="C237" s="49">
        <v>8.44</v>
      </c>
      <c r="D237" s="49">
        <v>2.75</v>
      </c>
      <c r="E237" s="49">
        <v>0</v>
      </c>
      <c r="F237" s="49">
        <v>5.7</v>
      </c>
      <c r="G237" s="49">
        <v>0</v>
      </c>
      <c r="H237" s="49">
        <v>0</v>
      </c>
      <c r="I237" s="49">
        <v>0</v>
      </c>
      <c r="J237" s="49">
        <v>19.5</v>
      </c>
      <c r="K237" s="49">
        <v>0</v>
      </c>
      <c r="L237" s="49">
        <v>14.42</v>
      </c>
      <c r="M237" s="49">
        <v>9.61</v>
      </c>
      <c r="N237" s="49">
        <v>4.25</v>
      </c>
      <c r="O237" s="49">
        <v>15.43</v>
      </c>
      <c r="P237" s="49">
        <v>0</v>
      </c>
      <c r="Q237" s="49">
        <v>9.5</v>
      </c>
      <c r="R237" s="49">
        <v>39.93</v>
      </c>
      <c r="S237" s="49">
        <v>0</v>
      </c>
    </row>
    <row r="238" spans="1:19" ht="18">
      <c r="A238" s="49">
        <v>2015</v>
      </c>
      <c r="B238" s="49" t="s">
        <v>479</v>
      </c>
      <c r="C238" s="49">
        <v>10.199999999999999</v>
      </c>
      <c r="D238" s="49">
        <v>4.9400000000000004</v>
      </c>
      <c r="E238" s="49">
        <v>0</v>
      </c>
      <c r="F238" s="49">
        <v>15.09</v>
      </c>
      <c r="G238" s="49">
        <v>9.6</v>
      </c>
      <c r="H238" s="49">
        <v>18.46</v>
      </c>
      <c r="I238" s="49">
        <v>23.08</v>
      </c>
      <c r="J238" s="49">
        <v>14.03</v>
      </c>
      <c r="K238" s="49">
        <v>11.8</v>
      </c>
      <c r="L238" s="49">
        <v>12.64</v>
      </c>
      <c r="M238" s="49">
        <v>15.09</v>
      </c>
      <c r="N238" s="49">
        <v>11.19</v>
      </c>
      <c r="O238" s="49">
        <v>13.56</v>
      </c>
      <c r="P238" s="49">
        <v>17.260000000000002</v>
      </c>
      <c r="Q238" s="49">
        <v>13.78</v>
      </c>
      <c r="R238" s="49">
        <v>10.34</v>
      </c>
      <c r="S238" s="49">
        <v>16.489999999999998</v>
      </c>
    </row>
    <row r="239" spans="1:19" ht="18">
      <c r="A239" s="49">
        <v>2017</v>
      </c>
      <c r="B239" s="49" t="s">
        <v>480</v>
      </c>
      <c r="C239" s="49">
        <v>0</v>
      </c>
      <c r="D239" s="49">
        <v>12.58</v>
      </c>
      <c r="E239" s="49">
        <v>0</v>
      </c>
      <c r="F239" s="49">
        <v>12.55</v>
      </c>
      <c r="G239" s="49">
        <v>10.81</v>
      </c>
      <c r="H239" s="49">
        <v>0</v>
      </c>
      <c r="I239" s="49">
        <v>0</v>
      </c>
      <c r="J239" s="49">
        <v>0</v>
      </c>
      <c r="K239" s="49">
        <v>0</v>
      </c>
      <c r="L239" s="49">
        <v>42.7</v>
      </c>
      <c r="M239" s="49">
        <v>11.49</v>
      </c>
      <c r="N239" s="49">
        <v>12.73</v>
      </c>
      <c r="O239" s="49">
        <v>0</v>
      </c>
      <c r="P239" s="49">
        <v>0</v>
      </c>
      <c r="Q239" s="49">
        <v>10.67</v>
      </c>
      <c r="R239" s="49">
        <v>12.71</v>
      </c>
      <c r="S239" s="49">
        <v>0</v>
      </c>
    </row>
    <row r="240" spans="1:19" ht="18">
      <c r="A240" s="49">
        <v>2020</v>
      </c>
      <c r="B240" s="49" t="s">
        <v>481</v>
      </c>
      <c r="C240" s="49">
        <v>5.26</v>
      </c>
      <c r="D240" s="49">
        <v>27.17</v>
      </c>
      <c r="E240" s="49">
        <v>0</v>
      </c>
      <c r="F240" s="49">
        <v>18.559999999999999</v>
      </c>
      <c r="G240" s="49">
        <v>25.38</v>
      </c>
      <c r="H240" s="49">
        <v>0</v>
      </c>
      <c r="I240" s="49">
        <v>19.32</v>
      </c>
      <c r="J240" s="49">
        <v>13.56</v>
      </c>
      <c r="K240" s="49">
        <v>0</v>
      </c>
      <c r="L240" s="49">
        <v>8.75</v>
      </c>
      <c r="M240" s="49">
        <v>9.33</v>
      </c>
      <c r="N240" s="49">
        <v>8.44</v>
      </c>
      <c r="O240" s="49">
        <v>9.81</v>
      </c>
      <c r="P240" s="49">
        <v>11.66</v>
      </c>
      <c r="Q240" s="49">
        <v>8.89</v>
      </c>
      <c r="R240" s="49">
        <v>17.79</v>
      </c>
      <c r="S240" s="49">
        <v>10.050000000000001</v>
      </c>
    </row>
    <row r="241" spans="1:19" ht="18">
      <c r="A241" s="49">
        <v>2022</v>
      </c>
      <c r="B241" s="49" t="s">
        <v>482</v>
      </c>
      <c r="C241" s="49">
        <v>0</v>
      </c>
      <c r="D241" s="49">
        <v>3.48</v>
      </c>
      <c r="E241" s="49">
        <v>0</v>
      </c>
      <c r="F241" s="49">
        <v>0</v>
      </c>
      <c r="G241" s="49">
        <v>13.49</v>
      </c>
      <c r="H241" s="49">
        <v>0</v>
      </c>
      <c r="I241" s="49">
        <v>0</v>
      </c>
      <c r="J241" s="49">
        <v>0</v>
      </c>
      <c r="K241" s="49">
        <v>0</v>
      </c>
      <c r="L241" s="49">
        <v>0</v>
      </c>
      <c r="M241" s="49">
        <v>0</v>
      </c>
      <c r="N241" s="49">
        <v>25.65</v>
      </c>
      <c r="O241" s="49">
        <v>0</v>
      </c>
      <c r="P241" s="49">
        <v>0</v>
      </c>
      <c r="Q241" s="49">
        <v>17.350000000000001</v>
      </c>
      <c r="R241" s="49">
        <v>0</v>
      </c>
      <c r="S241" s="49">
        <v>0</v>
      </c>
    </row>
    <row r="242" spans="1:19" ht="18">
      <c r="A242" s="49">
        <v>2023</v>
      </c>
      <c r="B242" s="49" t="s">
        <v>483</v>
      </c>
      <c r="C242" s="49">
        <v>8.3800000000000008</v>
      </c>
      <c r="D242" s="49">
        <v>6.1</v>
      </c>
      <c r="E242" s="49">
        <v>0</v>
      </c>
      <c r="F242" s="49">
        <v>15</v>
      </c>
      <c r="G242" s="49">
        <v>41.5</v>
      </c>
      <c r="H242" s="49">
        <v>0</v>
      </c>
      <c r="I242" s="49">
        <v>40.33</v>
      </c>
      <c r="J242" s="49">
        <v>15.23</v>
      </c>
      <c r="K242" s="49">
        <v>247</v>
      </c>
      <c r="L242" s="49">
        <v>15.63</v>
      </c>
      <c r="M242" s="49">
        <v>11.19</v>
      </c>
      <c r="N242" s="49">
        <v>20.2</v>
      </c>
      <c r="O242" s="49">
        <v>0</v>
      </c>
      <c r="P242" s="49">
        <v>0</v>
      </c>
      <c r="Q242" s="49">
        <v>10.59</v>
      </c>
      <c r="R242" s="49">
        <v>13.91</v>
      </c>
      <c r="S242" s="49">
        <v>0</v>
      </c>
    </row>
    <row r="243" spans="1:19" ht="18">
      <c r="A243" s="49">
        <v>2024</v>
      </c>
      <c r="B243" s="49" t="s">
        <v>484</v>
      </c>
      <c r="C243" s="49">
        <v>127.6</v>
      </c>
      <c r="D243" s="49">
        <v>2.79</v>
      </c>
      <c r="E243" s="49">
        <v>0</v>
      </c>
      <c r="F243" s="49">
        <v>6.91</v>
      </c>
      <c r="G243" s="49">
        <v>4.74</v>
      </c>
      <c r="H243" s="49">
        <v>0</v>
      </c>
      <c r="I243" s="49">
        <v>124.33</v>
      </c>
      <c r="J243" s="49">
        <v>7.38</v>
      </c>
      <c r="K243" s="49">
        <v>15.36</v>
      </c>
      <c r="L243" s="49">
        <v>12.49</v>
      </c>
      <c r="M243" s="49">
        <v>8.6999999999999993</v>
      </c>
      <c r="N243" s="49">
        <v>9.69</v>
      </c>
      <c r="O243" s="49">
        <v>46.73</v>
      </c>
      <c r="P243" s="49">
        <v>412.5</v>
      </c>
      <c r="Q243" s="49">
        <v>14.39</v>
      </c>
      <c r="R243" s="49">
        <v>22.14</v>
      </c>
      <c r="S243" s="49">
        <v>0</v>
      </c>
    </row>
    <row r="244" spans="1:19" ht="18">
      <c r="A244" s="49">
        <v>2025</v>
      </c>
      <c r="B244" s="49" t="s">
        <v>485</v>
      </c>
      <c r="C244" s="49">
        <v>8.57</v>
      </c>
      <c r="D244" s="49">
        <v>0</v>
      </c>
      <c r="E244" s="49">
        <v>0</v>
      </c>
      <c r="F244" s="49">
        <v>5.45</v>
      </c>
      <c r="G244" s="49">
        <v>0</v>
      </c>
      <c r="H244" s="49">
        <v>0</v>
      </c>
      <c r="I244" s="49">
        <v>0</v>
      </c>
      <c r="J244" s="49">
        <v>0</v>
      </c>
      <c r="K244" s="49">
        <v>0</v>
      </c>
      <c r="L244" s="49">
        <v>0</v>
      </c>
      <c r="M244" s="49">
        <v>19.57</v>
      </c>
      <c r="N244" s="49">
        <v>0</v>
      </c>
      <c r="O244" s="49">
        <v>0</v>
      </c>
      <c r="P244" s="49">
        <v>0</v>
      </c>
      <c r="Q244" s="49">
        <v>10.95</v>
      </c>
      <c r="R244" s="49">
        <v>1.81</v>
      </c>
      <c r="S244" s="49">
        <v>4.55</v>
      </c>
    </row>
    <row r="245" spans="1:19" ht="18">
      <c r="A245" s="49">
        <v>2027</v>
      </c>
      <c r="B245" s="49" t="s">
        <v>486</v>
      </c>
      <c r="C245" s="49">
        <v>5.48</v>
      </c>
      <c r="D245" s="49">
        <v>6.69</v>
      </c>
      <c r="E245" s="49">
        <v>0</v>
      </c>
      <c r="F245" s="49">
        <v>22.2</v>
      </c>
      <c r="G245" s="49">
        <v>12.69</v>
      </c>
      <c r="H245" s="49">
        <v>0</v>
      </c>
      <c r="I245" s="49">
        <v>47</v>
      </c>
      <c r="J245" s="49">
        <v>8.7799999999999994</v>
      </c>
      <c r="K245" s="49">
        <v>0</v>
      </c>
      <c r="L245" s="49">
        <v>293.33</v>
      </c>
      <c r="M245" s="49">
        <v>14.36</v>
      </c>
      <c r="N245" s="49">
        <v>8.6</v>
      </c>
      <c r="O245" s="49">
        <v>11.65</v>
      </c>
      <c r="P245" s="49">
        <v>0</v>
      </c>
      <c r="Q245" s="49">
        <v>10.1</v>
      </c>
      <c r="R245" s="49">
        <v>5.3</v>
      </c>
      <c r="S245" s="49">
        <v>15.53</v>
      </c>
    </row>
    <row r="246" spans="1:19" ht="18">
      <c r="A246" s="49">
        <v>2028</v>
      </c>
      <c r="B246" s="49" t="s">
        <v>487</v>
      </c>
      <c r="C246" s="49">
        <v>7.04</v>
      </c>
      <c r="D246" s="49">
        <v>2.4500000000000002</v>
      </c>
      <c r="E246" s="49">
        <v>0</v>
      </c>
      <c r="F246" s="49">
        <v>7.18</v>
      </c>
      <c r="G246" s="49">
        <v>18.11</v>
      </c>
      <c r="H246" s="49">
        <v>0</v>
      </c>
      <c r="I246" s="49">
        <v>0</v>
      </c>
      <c r="J246" s="49">
        <v>0</v>
      </c>
      <c r="K246" s="49">
        <v>0</v>
      </c>
      <c r="L246" s="49">
        <v>0</v>
      </c>
      <c r="M246" s="49">
        <v>6.26</v>
      </c>
      <c r="N246" s="49">
        <v>4.2</v>
      </c>
      <c r="O246" s="49">
        <v>10.57</v>
      </c>
      <c r="P246" s="49">
        <v>23.02</v>
      </c>
      <c r="Q246" s="49">
        <v>9.2899999999999991</v>
      </c>
      <c r="R246" s="49">
        <v>8.06</v>
      </c>
      <c r="S246" s="49">
        <v>23.03</v>
      </c>
    </row>
    <row r="247" spans="1:19" ht="18">
      <c r="A247" s="49">
        <v>2029</v>
      </c>
      <c r="B247" s="49" t="s">
        <v>488</v>
      </c>
      <c r="C247" s="49">
        <v>9.7200000000000006</v>
      </c>
      <c r="D247" s="49">
        <v>4.8</v>
      </c>
      <c r="E247" s="49">
        <v>0</v>
      </c>
      <c r="F247" s="49">
        <v>12.28</v>
      </c>
      <c r="G247" s="49">
        <v>17.899999999999999</v>
      </c>
      <c r="H247" s="49">
        <v>45.12</v>
      </c>
      <c r="I247" s="49">
        <v>14.77</v>
      </c>
      <c r="J247" s="49">
        <v>18.29</v>
      </c>
      <c r="K247" s="49">
        <v>0</v>
      </c>
      <c r="L247" s="49">
        <v>10.86</v>
      </c>
      <c r="M247" s="49">
        <v>9.33</v>
      </c>
      <c r="N247" s="49">
        <v>26.16</v>
      </c>
      <c r="O247" s="49">
        <v>140</v>
      </c>
      <c r="P247" s="49">
        <v>250</v>
      </c>
      <c r="Q247" s="49">
        <v>9.2200000000000006</v>
      </c>
      <c r="R247" s="49">
        <v>10.43</v>
      </c>
      <c r="S247" s="49">
        <v>18.28</v>
      </c>
    </row>
    <row r="248" spans="1:19" ht="18">
      <c r="A248" s="49">
        <v>2030</v>
      </c>
      <c r="B248" s="49" t="s">
        <v>489</v>
      </c>
      <c r="C248" s="49">
        <v>5.59</v>
      </c>
      <c r="D248" s="49">
        <v>0</v>
      </c>
      <c r="E248" s="49">
        <v>0</v>
      </c>
      <c r="F248" s="49">
        <v>10.91</v>
      </c>
      <c r="G248" s="49">
        <v>33.549999999999997</v>
      </c>
      <c r="H248" s="49">
        <v>0</v>
      </c>
      <c r="I248" s="49">
        <v>0</v>
      </c>
      <c r="J248" s="49">
        <v>10.38</v>
      </c>
      <c r="K248" s="49">
        <v>0</v>
      </c>
      <c r="L248" s="49">
        <v>0</v>
      </c>
      <c r="M248" s="49">
        <v>8.36</v>
      </c>
      <c r="N248" s="49">
        <v>5.48</v>
      </c>
      <c r="O248" s="49">
        <v>12.33</v>
      </c>
      <c r="P248" s="49">
        <v>60.42</v>
      </c>
      <c r="Q248" s="49">
        <v>9.5299999999999994</v>
      </c>
      <c r="R248" s="49">
        <v>5.63</v>
      </c>
      <c r="S248" s="49">
        <v>63.71</v>
      </c>
    </row>
    <row r="249" spans="1:19" ht="18">
      <c r="A249" s="49">
        <v>2031</v>
      </c>
      <c r="B249" s="49" t="s">
        <v>490</v>
      </c>
      <c r="C249" s="49">
        <v>7.93</v>
      </c>
      <c r="D249" s="49">
        <v>3.96</v>
      </c>
      <c r="E249" s="49">
        <v>0</v>
      </c>
      <c r="F249" s="49">
        <v>25.51</v>
      </c>
      <c r="G249" s="49">
        <v>11.71</v>
      </c>
      <c r="H249" s="49">
        <v>0</v>
      </c>
      <c r="I249" s="49">
        <v>60.78</v>
      </c>
      <c r="J249" s="49">
        <v>16.5</v>
      </c>
      <c r="K249" s="49">
        <v>0</v>
      </c>
      <c r="L249" s="49">
        <v>24.83</v>
      </c>
      <c r="M249" s="49">
        <v>9.3000000000000007</v>
      </c>
      <c r="N249" s="49">
        <v>5.72</v>
      </c>
      <c r="O249" s="49">
        <v>0</v>
      </c>
      <c r="P249" s="49">
        <v>19.34</v>
      </c>
      <c r="Q249" s="49">
        <v>8.1300000000000008</v>
      </c>
      <c r="R249" s="49">
        <v>17.440000000000001</v>
      </c>
      <c r="S249" s="49">
        <v>12.46</v>
      </c>
    </row>
    <row r="250" spans="1:19" ht="18">
      <c r="A250" s="49">
        <v>2032</v>
      </c>
      <c r="B250" s="49" t="s">
        <v>491</v>
      </c>
      <c r="C250" s="49">
        <v>13.55</v>
      </c>
      <c r="D250" s="49">
        <v>0</v>
      </c>
      <c r="E250" s="49">
        <v>0</v>
      </c>
      <c r="F250" s="49">
        <v>22.05</v>
      </c>
      <c r="G250" s="49">
        <v>23.43</v>
      </c>
      <c r="H250" s="49">
        <v>298.75</v>
      </c>
      <c r="I250" s="49">
        <v>45.6</v>
      </c>
      <c r="J250" s="49">
        <v>20.36</v>
      </c>
      <c r="K250" s="49">
        <v>32.54</v>
      </c>
      <c r="L250" s="49">
        <v>24.64</v>
      </c>
      <c r="M250" s="49">
        <v>52.63</v>
      </c>
      <c r="N250" s="49">
        <v>39.57</v>
      </c>
      <c r="O250" s="49">
        <v>28.72</v>
      </c>
      <c r="P250" s="49">
        <v>32.24</v>
      </c>
      <c r="Q250" s="49">
        <v>16.88</v>
      </c>
      <c r="R250" s="49">
        <v>88.26</v>
      </c>
      <c r="S250" s="49">
        <v>0</v>
      </c>
    </row>
    <row r="251" spans="1:19" ht="18">
      <c r="A251" s="49">
        <v>2033</v>
      </c>
      <c r="B251" s="49" t="s">
        <v>492</v>
      </c>
      <c r="C251" s="49">
        <v>0</v>
      </c>
      <c r="D251" s="49">
        <v>20.09</v>
      </c>
      <c r="E251" s="49">
        <v>0</v>
      </c>
      <c r="F251" s="49">
        <v>16.5</v>
      </c>
      <c r="G251" s="49">
        <v>10.28</v>
      </c>
      <c r="H251" s="49">
        <v>21.43</v>
      </c>
      <c r="I251" s="49">
        <v>265</v>
      </c>
      <c r="J251" s="49">
        <v>0</v>
      </c>
      <c r="K251" s="49">
        <v>0</v>
      </c>
      <c r="L251" s="49">
        <v>29.1</v>
      </c>
      <c r="M251" s="49">
        <v>16.64</v>
      </c>
      <c r="N251" s="49">
        <v>41.74</v>
      </c>
      <c r="O251" s="49">
        <v>0</v>
      </c>
      <c r="P251" s="49">
        <v>24.65</v>
      </c>
      <c r="Q251" s="49">
        <v>68.27</v>
      </c>
      <c r="R251" s="49">
        <v>0</v>
      </c>
      <c r="S251" s="49">
        <v>0</v>
      </c>
    </row>
    <row r="252" spans="1:19" ht="18">
      <c r="A252" s="49">
        <v>2034</v>
      </c>
      <c r="B252" s="49" t="s">
        <v>493</v>
      </c>
      <c r="C252" s="49">
        <v>6.24</v>
      </c>
      <c r="D252" s="49">
        <v>41.9</v>
      </c>
      <c r="E252" s="49">
        <v>0</v>
      </c>
      <c r="F252" s="49">
        <v>13.55</v>
      </c>
      <c r="G252" s="49">
        <v>14.46</v>
      </c>
      <c r="H252" s="49">
        <v>20.12</v>
      </c>
      <c r="I252" s="49">
        <v>14.84</v>
      </c>
      <c r="J252" s="49">
        <v>9.02</v>
      </c>
      <c r="K252" s="49">
        <v>12.55</v>
      </c>
      <c r="L252" s="49">
        <v>17.48</v>
      </c>
      <c r="M252" s="49">
        <v>12</v>
      </c>
      <c r="N252" s="49">
        <v>10.1</v>
      </c>
      <c r="O252" s="49">
        <v>14.21</v>
      </c>
      <c r="P252" s="49">
        <v>26.44</v>
      </c>
      <c r="Q252" s="49">
        <v>18.350000000000001</v>
      </c>
      <c r="R252" s="49">
        <v>8.64</v>
      </c>
      <c r="S252" s="49">
        <v>0</v>
      </c>
    </row>
    <row r="253" spans="1:19" ht="18">
      <c r="A253" s="49">
        <v>2035</v>
      </c>
      <c r="B253" s="49" t="s">
        <v>1267</v>
      </c>
      <c r="C253" s="49">
        <v>11.4</v>
      </c>
      <c r="D253" s="49">
        <v>0</v>
      </c>
      <c r="E253" s="49">
        <v>0</v>
      </c>
      <c r="F253" s="49">
        <v>7.32</v>
      </c>
      <c r="G253" s="49">
        <v>0</v>
      </c>
      <c r="H253" s="49">
        <v>46.91</v>
      </c>
      <c r="I253" s="49">
        <v>0</v>
      </c>
      <c r="J253" s="49">
        <v>26.98</v>
      </c>
      <c r="K253" s="49">
        <v>0</v>
      </c>
      <c r="L253" s="49">
        <v>77.92</v>
      </c>
      <c r="M253" s="49">
        <v>37.9</v>
      </c>
      <c r="N253" s="49">
        <v>0</v>
      </c>
      <c r="O253" s="49">
        <v>0</v>
      </c>
      <c r="P253" s="49">
        <v>0</v>
      </c>
      <c r="Q253" s="49">
        <v>12.5</v>
      </c>
      <c r="R253" s="49">
        <v>30.24</v>
      </c>
      <c r="S253" s="49">
        <v>0</v>
      </c>
    </row>
    <row r="254" spans="1:19" ht="18">
      <c r="A254" s="49">
        <v>2038</v>
      </c>
      <c r="B254" s="49" t="s">
        <v>494</v>
      </c>
      <c r="C254" s="49">
        <v>0</v>
      </c>
      <c r="D254" s="49">
        <v>4.18</v>
      </c>
      <c r="E254" s="49">
        <v>0</v>
      </c>
      <c r="F254" s="49">
        <v>44.08</v>
      </c>
      <c r="G254" s="49">
        <v>8.98</v>
      </c>
      <c r="H254" s="49">
        <v>0</v>
      </c>
      <c r="I254" s="49">
        <v>0</v>
      </c>
      <c r="J254" s="49">
        <v>0</v>
      </c>
      <c r="K254" s="49">
        <v>0</v>
      </c>
      <c r="L254" s="49">
        <v>0</v>
      </c>
      <c r="M254" s="49">
        <v>50</v>
      </c>
      <c r="N254" s="49">
        <v>24.31</v>
      </c>
      <c r="O254" s="49">
        <v>0</v>
      </c>
      <c r="P254" s="49">
        <v>0</v>
      </c>
      <c r="Q254" s="49">
        <v>16.37</v>
      </c>
      <c r="R254" s="49">
        <v>12.43</v>
      </c>
      <c r="S254" s="49">
        <v>39.909999999999997</v>
      </c>
    </row>
    <row r="255" spans="1:19" ht="18">
      <c r="A255" s="49">
        <v>2049</v>
      </c>
      <c r="B255" s="49" t="s">
        <v>495</v>
      </c>
      <c r="C255" s="49">
        <v>0</v>
      </c>
      <c r="D255" s="49">
        <v>0</v>
      </c>
      <c r="E255" s="49">
        <v>58.94</v>
      </c>
      <c r="F255" s="49">
        <v>26.96</v>
      </c>
      <c r="G255" s="49">
        <v>17.170000000000002</v>
      </c>
      <c r="H255" s="49">
        <v>19.420000000000002</v>
      </c>
      <c r="I255" s="49">
        <v>39.92</v>
      </c>
      <c r="J255" s="49">
        <v>29.22</v>
      </c>
      <c r="K255" s="49">
        <v>15.02</v>
      </c>
      <c r="L255" s="49">
        <v>42.05</v>
      </c>
      <c r="M255" s="49">
        <v>38.33</v>
      </c>
      <c r="N255" s="49">
        <v>12.37</v>
      </c>
      <c r="O255" s="49">
        <v>32.26</v>
      </c>
      <c r="P255" s="49">
        <v>87.59</v>
      </c>
      <c r="Q255" s="49">
        <v>29.79</v>
      </c>
      <c r="R255" s="49">
        <v>14.01</v>
      </c>
      <c r="S255" s="49">
        <v>38.46</v>
      </c>
    </row>
    <row r="256" spans="1:19" ht="18">
      <c r="A256" s="49">
        <v>2059</v>
      </c>
      <c r="B256" s="49" t="s">
        <v>496</v>
      </c>
      <c r="C256" s="49">
        <v>24.07</v>
      </c>
      <c r="D256" s="49">
        <v>8.4499999999999993</v>
      </c>
      <c r="E256" s="49">
        <v>23.39</v>
      </c>
      <c r="F256" s="49">
        <v>18.14</v>
      </c>
      <c r="G256" s="49">
        <v>17.52</v>
      </c>
      <c r="H256" s="49">
        <v>17.100000000000001</v>
      </c>
      <c r="I256" s="49">
        <v>23.83</v>
      </c>
      <c r="J256" s="49">
        <v>24.68</v>
      </c>
      <c r="K256" s="49">
        <v>19.399999999999999</v>
      </c>
      <c r="L256" s="49">
        <v>29.51</v>
      </c>
      <c r="M256" s="49">
        <v>29.89</v>
      </c>
      <c r="N256" s="49">
        <v>18.93</v>
      </c>
      <c r="O256" s="49">
        <v>19.98</v>
      </c>
      <c r="P256" s="49">
        <v>22.85</v>
      </c>
      <c r="Q256" s="49">
        <v>29.11</v>
      </c>
      <c r="R256" s="49">
        <v>9.11</v>
      </c>
      <c r="S256" s="49">
        <v>30.9</v>
      </c>
    </row>
    <row r="257" spans="1:19" ht="18">
      <c r="A257" s="49">
        <v>2061</v>
      </c>
      <c r="B257" s="49" t="s">
        <v>1268</v>
      </c>
      <c r="C257" s="49">
        <v>0</v>
      </c>
      <c r="D257" s="49">
        <v>0</v>
      </c>
      <c r="E257" s="49">
        <v>0</v>
      </c>
      <c r="F257" s="49">
        <v>18.559999999999999</v>
      </c>
      <c r="G257" s="49">
        <v>59.68</v>
      </c>
      <c r="H257" s="49">
        <v>0</v>
      </c>
      <c r="I257" s="49">
        <v>0</v>
      </c>
      <c r="J257" s="49">
        <v>0</v>
      </c>
      <c r="K257" s="49">
        <v>0</v>
      </c>
      <c r="L257" s="49">
        <v>0</v>
      </c>
      <c r="M257" s="49">
        <v>20.73</v>
      </c>
      <c r="N257" s="49">
        <v>137.13999999999999</v>
      </c>
      <c r="O257" s="49">
        <v>0</v>
      </c>
      <c r="P257" s="49">
        <v>1385</v>
      </c>
      <c r="Q257" s="49">
        <v>10.74</v>
      </c>
      <c r="R257" s="49">
        <v>0</v>
      </c>
      <c r="S257" s="49">
        <v>0</v>
      </c>
    </row>
    <row r="258" spans="1:19" ht="18">
      <c r="A258" s="49">
        <v>2062</v>
      </c>
      <c r="B258" s="49" t="s">
        <v>497</v>
      </c>
      <c r="C258" s="49">
        <v>13.62</v>
      </c>
      <c r="D258" s="49">
        <v>10.93</v>
      </c>
      <c r="E258" s="49">
        <v>18.2</v>
      </c>
      <c r="F258" s="49">
        <v>9.16</v>
      </c>
      <c r="G258" s="49">
        <v>12.35</v>
      </c>
      <c r="H258" s="49">
        <v>13.33</v>
      </c>
      <c r="I258" s="49">
        <v>17.649999999999999</v>
      </c>
      <c r="J258" s="49">
        <v>15.24</v>
      </c>
      <c r="K258" s="49">
        <v>10.81</v>
      </c>
      <c r="L258" s="49">
        <v>8.7100000000000009</v>
      </c>
      <c r="M258" s="49">
        <v>14.98</v>
      </c>
      <c r="N258" s="49">
        <v>42.44</v>
      </c>
      <c r="O258" s="49">
        <v>61.56</v>
      </c>
      <c r="P258" s="49">
        <v>0</v>
      </c>
      <c r="Q258" s="49">
        <v>13.24</v>
      </c>
      <c r="R258" s="49">
        <v>5.41</v>
      </c>
      <c r="S258" s="49">
        <v>21.96</v>
      </c>
    </row>
    <row r="259" spans="1:19" ht="18">
      <c r="A259" s="49">
        <v>2063</v>
      </c>
      <c r="B259" s="49" t="s">
        <v>1269</v>
      </c>
      <c r="C259" s="49">
        <v>0</v>
      </c>
      <c r="D259" s="49">
        <v>0</v>
      </c>
      <c r="E259" s="49">
        <v>0</v>
      </c>
      <c r="F259" s="49">
        <v>12.18</v>
      </c>
      <c r="G259" s="49">
        <v>8.11</v>
      </c>
      <c r="H259" s="49">
        <v>28.35</v>
      </c>
      <c r="I259" s="49">
        <v>17.84</v>
      </c>
      <c r="J259" s="49">
        <v>23.02</v>
      </c>
      <c r="K259" s="49">
        <v>15</v>
      </c>
      <c r="L259" s="49">
        <v>15.43</v>
      </c>
      <c r="M259" s="49">
        <v>17.100000000000001</v>
      </c>
      <c r="N259" s="49">
        <v>9.89</v>
      </c>
      <c r="O259" s="49">
        <v>11.83</v>
      </c>
      <c r="P259" s="49">
        <v>13.05</v>
      </c>
      <c r="Q259" s="49">
        <v>10.66</v>
      </c>
      <c r="R259" s="49">
        <v>10.19</v>
      </c>
      <c r="S259" s="49">
        <v>11.09</v>
      </c>
    </row>
    <row r="260" spans="1:19" ht="18">
      <c r="A260" s="49">
        <v>2064</v>
      </c>
      <c r="B260" s="49" t="s">
        <v>1270</v>
      </c>
      <c r="C260" s="49">
        <v>0</v>
      </c>
      <c r="D260" s="49">
        <v>0</v>
      </c>
      <c r="E260" s="49">
        <v>0</v>
      </c>
      <c r="F260" s="49">
        <v>0</v>
      </c>
      <c r="G260" s="49">
        <v>0</v>
      </c>
      <c r="H260" s="49">
        <v>0</v>
      </c>
      <c r="I260" s="49">
        <v>0</v>
      </c>
      <c r="J260" s="49">
        <v>8.56</v>
      </c>
      <c r="K260" s="49">
        <v>8.0399999999999991</v>
      </c>
      <c r="L260" s="49">
        <v>23.45</v>
      </c>
      <c r="M260" s="49">
        <v>14.05</v>
      </c>
      <c r="N260" s="49">
        <v>17.87</v>
      </c>
      <c r="O260" s="49">
        <v>0</v>
      </c>
      <c r="P260" s="49">
        <v>0</v>
      </c>
      <c r="Q260" s="49">
        <v>11.78</v>
      </c>
      <c r="R260" s="49">
        <v>9.23</v>
      </c>
      <c r="S260" s="49">
        <v>0</v>
      </c>
    </row>
    <row r="261" spans="1:19" ht="18">
      <c r="A261" s="49">
        <v>2065</v>
      </c>
      <c r="B261" s="49" t="s">
        <v>1271</v>
      </c>
      <c r="C261" s="49">
        <v>0</v>
      </c>
      <c r="D261" s="49">
        <v>0</v>
      </c>
      <c r="E261" s="49">
        <v>0</v>
      </c>
      <c r="F261" s="49">
        <v>0</v>
      </c>
      <c r="G261" s="49">
        <v>0</v>
      </c>
      <c r="H261" s="49">
        <v>0</v>
      </c>
      <c r="I261" s="49">
        <v>0</v>
      </c>
      <c r="J261" s="49">
        <v>0</v>
      </c>
      <c r="K261" s="49">
        <v>0</v>
      </c>
      <c r="L261" s="49">
        <v>0</v>
      </c>
      <c r="M261" s="49">
        <v>17.3</v>
      </c>
      <c r="N261" s="49">
        <v>11.18</v>
      </c>
      <c r="O261" s="49">
        <v>9.4</v>
      </c>
      <c r="P261" s="49">
        <v>15.34</v>
      </c>
      <c r="Q261" s="49">
        <v>10.15</v>
      </c>
      <c r="R261" s="49">
        <v>7.62</v>
      </c>
      <c r="S261" s="49">
        <v>10.81</v>
      </c>
    </row>
    <row r="262" spans="1:19" ht="18">
      <c r="A262" s="49">
        <v>2066</v>
      </c>
      <c r="B262" s="49" t="s">
        <v>1272</v>
      </c>
      <c r="C262" s="49">
        <v>0</v>
      </c>
      <c r="D262" s="49">
        <v>0</v>
      </c>
      <c r="E262" s="49">
        <v>0</v>
      </c>
      <c r="F262" s="49">
        <v>0</v>
      </c>
      <c r="G262" s="49">
        <v>0</v>
      </c>
      <c r="H262" s="49">
        <v>0</v>
      </c>
      <c r="I262" s="49">
        <v>27.66</v>
      </c>
      <c r="J262" s="49">
        <v>16.27</v>
      </c>
      <c r="K262" s="49">
        <v>14.66</v>
      </c>
      <c r="L262" s="49">
        <v>18.88</v>
      </c>
      <c r="M262" s="49">
        <v>18.850000000000001</v>
      </c>
      <c r="N262" s="49">
        <v>17.36</v>
      </c>
      <c r="O262" s="49">
        <v>14.5</v>
      </c>
      <c r="P262" s="49">
        <v>35.74</v>
      </c>
      <c r="Q262" s="49">
        <v>14.64</v>
      </c>
      <c r="R262" s="49">
        <v>11.65</v>
      </c>
      <c r="S262" s="49">
        <v>11.61</v>
      </c>
    </row>
    <row r="263" spans="1:19" ht="18">
      <c r="A263" s="49">
        <v>2067</v>
      </c>
      <c r="B263" s="49" t="s">
        <v>1273</v>
      </c>
      <c r="C263" s="49">
        <v>0</v>
      </c>
      <c r="D263" s="49">
        <v>0</v>
      </c>
      <c r="E263" s="49">
        <v>0</v>
      </c>
      <c r="F263" s="49">
        <v>0</v>
      </c>
      <c r="G263" s="49">
        <v>0</v>
      </c>
      <c r="H263" s="49">
        <v>0</v>
      </c>
      <c r="I263" s="49">
        <v>0</v>
      </c>
      <c r="J263" s="49">
        <v>14.44</v>
      </c>
      <c r="K263" s="49">
        <v>0</v>
      </c>
      <c r="L263" s="49">
        <v>0</v>
      </c>
      <c r="M263" s="49">
        <v>0</v>
      </c>
      <c r="N263" s="49">
        <v>14.37</v>
      </c>
      <c r="O263" s="49">
        <v>0</v>
      </c>
      <c r="P263" s="49">
        <v>0</v>
      </c>
      <c r="Q263" s="49">
        <v>717.5</v>
      </c>
      <c r="R263" s="49">
        <v>0</v>
      </c>
      <c r="S263" s="49">
        <v>0</v>
      </c>
    </row>
    <row r="264" spans="1:19" ht="18">
      <c r="A264" s="49">
        <v>2069</v>
      </c>
      <c r="B264" s="49" t="s">
        <v>498</v>
      </c>
      <c r="C264" s="49">
        <v>0</v>
      </c>
      <c r="D264" s="49">
        <v>0</v>
      </c>
      <c r="E264" s="49">
        <v>0</v>
      </c>
      <c r="F264" s="49">
        <v>0</v>
      </c>
      <c r="G264" s="49">
        <v>0</v>
      </c>
      <c r="H264" s="49">
        <v>0</v>
      </c>
      <c r="I264" s="49">
        <v>0</v>
      </c>
      <c r="J264" s="49">
        <v>0</v>
      </c>
      <c r="K264" s="49">
        <v>0</v>
      </c>
      <c r="L264" s="49">
        <v>16.77</v>
      </c>
      <c r="M264" s="49">
        <v>15.15</v>
      </c>
      <c r="N264" s="49">
        <v>3.48</v>
      </c>
      <c r="O264" s="49">
        <v>0</v>
      </c>
      <c r="P264" s="49">
        <v>0</v>
      </c>
      <c r="Q264" s="49">
        <v>9.0299999999999994</v>
      </c>
      <c r="R264" s="49">
        <v>7.83</v>
      </c>
      <c r="S264" s="49">
        <v>0</v>
      </c>
    </row>
    <row r="265" spans="1:19" ht="18">
      <c r="A265" s="49">
        <v>2070</v>
      </c>
      <c r="B265" s="49" t="s">
        <v>1274</v>
      </c>
      <c r="C265" s="49">
        <v>0</v>
      </c>
      <c r="D265" s="49">
        <v>0</v>
      </c>
      <c r="E265" s="49">
        <v>0</v>
      </c>
      <c r="F265" s="49">
        <v>0</v>
      </c>
      <c r="G265" s="49">
        <v>0</v>
      </c>
      <c r="H265" s="49">
        <v>0</v>
      </c>
      <c r="I265" s="49">
        <v>0</v>
      </c>
      <c r="J265" s="49">
        <v>0</v>
      </c>
      <c r="K265" s="49">
        <v>0</v>
      </c>
      <c r="L265" s="49">
        <v>0</v>
      </c>
      <c r="M265" s="49">
        <v>0</v>
      </c>
      <c r="N265" s="49">
        <v>12.94</v>
      </c>
      <c r="O265" s="49">
        <v>25</v>
      </c>
      <c r="P265" s="49">
        <v>0</v>
      </c>
      <c r="Q265" s="49">
        <v>20</v>
      </c>
      <c r="R265" s="49">
        <v>13.6</v>
      </c>
      <c r="S265" s="49">
        <v>19.149999999999999</v>
      </c>
    </row>
    <row r="266" spans="1:19" ht="18">
      <c r="A266" s="49">
        <v>2101</v>
      </c>
      <c r="B266" s="49" t="s">
        <v>499</v>
      </c>
      <c r="C266" s="49">
        <v>7.73</v>
      </c>
      <c r="D266" s="49">
        <v>0</v>
      </c>
      <c r="E266" s="49">
        <v>109.21</v>
      </c>
      <c r="F266" s="49">
        <v>44.41</v>
      </c>
      <c r="G266" s="49">
        <v>21.62</v>
      </c>
      <c r="H266" s="49">
        <v>57.18</v>
      </c>
      <c r="I266" s="49">
        <v>205.28</v>
      </c>
      <c r="J266" s="49">
        <v>57.2</v>
      </c>
      <c r="K266" s="49">
        <v>37.53</v>
      </c>
      <c r="L266" s="49">
        <v>21.78</v>
      </c>
      <c r="M266" s="49">
        <v>33.799999999999997</v>
      </c>
      <c r="N266" s="49">
        <v>69.86</v>
      </c>
      <c r="O266" s="49">
        <v>38.33</v>
      </c>
      <c r="P266" s="49">
        <v>42.37</v>
      </c>
      <c r="Q266" s="49">
        <v>71.61</v>
      </c>
      <c r="R266" s="49">
        <v>0</v>
      </c>
      <c r="S266" s="49">
        <v>0</v>
      </c>
    </row>
    <row r="267" spans="1:19" ht="18">
      <c r="A267" s="49">
        <v>2102</v>
      </c>
      <c r="B267" s="49" t="s">
        <v>500</v>
      </c>
      <c r="C267" s="49">
        <v>8.74</v>
      </c>
      <c r="D267" s="49">
        <v>17.3</v>
      </c>
      <c r="E267" s="49">
        <v>42.97</v>
      </c>
      <c r="F267" s="49">
        <v>24.22</v>
      </c>
      <c r="G267" s="49">
        <v>10.61</v>
      </c>
      <c r="H267" s="49">
        <v>19</v>
      </c>
      <c r="I267" s="49">
        <v>15.6</v>
      </c>
      <c r="J267" s="49">
        <v>20.88</v>
      </c>
      <c r="K267" s="49">
        <v>13.13</v>
      </c>
      <c r="L267" s="49">
        <v>47.96</v>
      </c>
      <c r="M267" s="49">
        <v>0</v>
      </c>
      <c r="N267" s="49">
        <v>0</v>
      </c>
      <c r="O267" s="49">
        <v>0</v>
      </c>
      <c r="P267" s="49">
        <v>0</v>
      </c>
      <c r="Q267" s="49">
        <v>0</v>
      </c>
      <c r="R267" s="49">
        <v>0</v>
      </c>
      <c r="S267" s="49">
        <v>0</v>
      </c>
    </row>
    <row r="268" spans="1:19" ht="18">
      <c r="A268" s="49">
        <v>2103</v>
      </c>
      <c r="B268" s="49" t="s">
        <v>501</v>
      </c>
      <c r="C268" s="49">
        <v>9.5</v>
      </c>
      <c r="D268" s="49">
        <v>4.68</v>
      </c>
      <c r="E268" s="49">
        <v>14.13</v>
      </c>
      <c r="F268" s="49">
        <v>15.45</v>
      </c>
      <c r="G268" s="49">
        <v>9.07</v>
      </c>
      <c r="H268" s="49">
        <v>15.86</v>
      </c>
      <c r="I268" s="49">
        <v>18.329999999999998</v>
      </c>
      <c r="J268" s="49">
        <v>26.52</v>
      </c>
      <c r="K268" s="49">
        <v>21.72</v>
      </c>
      <c r="L268" s="49">
        <v>27.58</v>
      </c>
      <c r="M268" s="49">
        <v>49.67</v>
      </c>
      <c r="N268" s="49">
        <v>19.600000000000001</v>
      </c>
      <c r="O268" s="49">
        <v>19.920000000000002</v>
      </c>
      <c r="P268" s="49">
        <v>0</v>
      </c>
      <c r="Q268" s="49">
        <v>9.24</v>
      </c>
      <c r="R268" s="49">
        <v>9.36</v>
      </c>
      <c r="S268" s="49">
        <v>44.63</v>
      </c>
    </row>
    <row r="269" spans="1:19" ht="18">
      <c r="A269" s="49">
        <v>2104</v>
      </c>
      <c r="B269" s="49" t="s">
        <v>502</v>
      </c>
      <c r="C269" s="49">
        <v>13.55</v>
      </c>
      <c r="D269" s="49">
        <v>9.94</v>
      </c>
      <c r="E269" s="49">
        <v>0</v>
      </c>
      <c r="F269" s="49">
        <v>13.36</v>
      </c>
      <c r="G269" s="49">
        <v>12.61</v>
      </c>
      <c r="H269" s="49">
        <v>11.2</v>
      </c>
      <c r="I269" s="49">
        <v>17.899999999999999</v>
      </c>
      <c r="J269" s="49">
        <v>6.74</v>
      </c>
      <c r="K269" s="49">
        <v>18.93</v>
      </c>
      <c r="L269" s="49">
        <v>13.04</v>
      </c>
      <c r="M269" s="49">
        <v>11.69</v>
      </c>
      <c r="N269" s="49">
        <v>8.9700000000000006</v>
      </c>
      <c r="O269" s="49">
        <v>16.02</v>
      </c>
      <c r="P269" s="49">
        <v>0</v>
      </c>
      <c r="Q269" s="49">
        <v>14.69</v>
      </c>
      <c r="R269" s="49">
        <v>6.78</v>
      </c>
      <c r="S269" s="49">
        <v>0</v>
      </c>
    </row>
    <row r="270" spans="1:19" ht="18">
      <c r="A270" s="49">
        <v>2105</v>
      </c>
      <c r="B270" s="49" t="s">
        <v>503</v>
      </c>
      <c r="C270" s="49">
        <v>15.45</v>
      </c>
      <c r="D270" s="49">
        <v>8.9</v>
      </c>
      <c r="E270" s="49">
        <v>11.54</v>
      </c>
      <c r="F270" s="49">
        <v>11.52</v>
      </c>
      <c r="G270" s="49">
        <v>18.88</v>
      </c>
      <c r="H270" s="49">
        <v>16.5</v>
      </c>
      <c r="I270" s="49">
        <v>13.61</v>
      </c>
      <c r="J270" s="49">
        <v>14.47</v>
      </c>
      <c r="K270" s="49">
        <v>12.45</v>
      </c>
      <c r="L270" s="49">
        <v>13.85</v>
      </c>
      <c r="M270" s="49">
        <v>24.53</v>
      </c>
      <c r="N270" s="49">
        <v>34.33</v>
      </c>
      <c r="O270" s="49">
        <v>38.35</v>
      </c>
      <c r="P270" s="49">
        <v>44.05</v>
      </c>
      <c r="Q270" s="49">
        <v>15.56</v>
      </c>
      <c r="R270" s="49">
        <v>22.16</v>
      </c>
      <c r="S270" s="49">
        <v>22.23</v>
      </c>
    </row>
    <row r="271" spans="1:19" ht="18">
      <c r="A271" s="49">
        <v>2106</v>
      </c>
      <c r="B271" s="49" t="s">
        <v>504</v>
      </c>
      <c r="C271" s="49">
        <v>16.670000000000002</v>
      </c>
      <c r="D271" s="49">
        <v>28.6</v>
      </c>
      <c r="E271" s="49">
        <v>10.56</v>
      </c>
      <c r="F271" s="49">
        <v>10.199999999999999</v>
      </c>
      <c r="G271" s="49">
        <v>7.01</v>
      </c>
      <c r="H271" s="49">
        <v>13.08</v>
      </c>
      <c r="I271" s="49">
        <v>15.17</v>
      </c>
      <c r="J271" s="49">
        <v>15.04</v>
      </c>
      <c r="K271" s="49">
        <v>11.33</v>
      </c>
      <c r="L271" s="49">
        <v>14.01</v>
      </c>
      <c r="M271" s="49">
        <v>27.81</v>
      </c>
      <c r="N271" s="49">
        <v>42.94</v>
      </c>
      <c r="O271" s="49">
        <v>25.93</v>
      </c>
      <c r="P271" s="49">
        <v>47.23</v>
      </c>
      <c r="Q271" s="49">
        <v>16.809999999999999</v>
      </c>
      <c r="R271" s="49">
        <v>58.27</v>
      </c>
      <c r="S271" s="49">
        <v>0</v>
      </c>
    </row>
    <row r="272" spans="1:19" ht="18">
      <c r="A272" s="49">
        <v>2107</v>
      </c>
      <c r="B272" s="49" t="s">
        <v>505</v>
      </c>
      <c r="C272" s="49">
        <v>20.56</v>
      </c>
      <c r="D272" s="49">
        <v>10.039999999999999</v>
      </c>
      <c r="E272" s="49">
        <v>14.39</v>
      </c>
      <c r="F272" s="49">
        <v>11.79</v>
      </c>
      <c r="G272" s="49">
        <v>5.69</v>
      </c>
      <c r="H272" s="49">
        <v>8.27</v>
      </c>
      <c r="I272" s="49">
        <v>7.34</v>
      </c>
      <c r="J272" s="49">
        <v>5.0999999999999996</v>
      </c>
      <c r="K272" s="49">
        <v>8.0299999999999994</v>
      </c>
      <c r="L272" s="49">
        <v>20.51</v>
      </c>
      <c r="M272" s="49">
        <v>16.25</v>
      </c>
      <c r="N272" s="49">
        <v>30</v>
      </c>
      <c r="O272" s="49">
        <v>13.96</v>
      </c>
      <c r="P272" s="49">
        <v>9.5399999999999991</v>
      </c>
      <c r="Q272" s="49">
        <v>11.68</v>
      </c>
      <c r="R272" s="49">
        <v>8.1199999999999992</v>
      </c>
      <c r="S272" s="49">
        <v>14.08</v>
      </c>
    </row>
    <row r="273" spans="1:19" ht="18">
      <c r="A273" s="49">
        <v>2108</v>
      </c>
      <c r="B273" s="49" t="s">
        <v>506</v>
      </c>
      <c r="C273" s="49">
        <v>11.67</v>
      </c>
      <c r="D273" s="49">
        <v>5.77</v>
      </c>
      <c r="E273" s="49">
        <v>18.48</v>
      </c>
      <c r="F273" s="49">
        <v>15.46</v>
      </c>
      <c r="G273" s="49">
        <v>8.6199999999999992</v>
      </c>
      <c r="H273" s="49">
        <v>18.38</v>
      </c>
      <c r="I273" s="49">
        <v>21.15</v>
      </c>
      <c r="J273" s="49">
        <v>34.26</v>
      </c>
      <c r="K273" s="49">
        <v>10.38</v>
      </c>
      <c r="L273" s="49">
        <v>10.93</v>
      </c>
      <c r="M273" s="49">
        <v>17.149999999999999</v>
      </c>
      <c r="N273" s="49">
        <v>9.2100000000000009</v>
      </c>
      <c r="O273" s="49">
        <v>9.9700000000000006</v>
      </c>
      <c r="P273" s="49">
        <v>15.83</v>
      </c>
      <c r="Q273" s="49">
        <v>4.8499999999999996</v>
      </c>
      <c r="R273" s="49">
        <v>10.35</v>
      </c>
      <c r="S273" s="49">
        <v>26.67</v>
      </c>
    </row>
    <row r="274" spans="1:19" ht="18">
      <c r="A274" s="49">
        <v>2109</v>
      </c>
      <c r="B274" s="49" t="s">
        <v>507</v>
      </c>
      <c r="C274" s="49">
        <v>46.94</v>
      </c>
      <c r="D274" s="49">
        <v>0</v>
      </c>
      <c r="E274" s="49">
        <v>67.31</v>
      </c>
      <c r="F274" s="49">
        <v>0</v>
      </c>
      <c r="G274" s="49">
        <v>0</v>
      </c>
      <c r="H274" s="49">
        <v>0</v>
      </c>
      <c r="I274" s="49">
        <v>62.97</v>
      </c>
      <c r="J274" s="49">
        <v>21.75</v>
      </c>
      <c r="K274" s="49">
        <v>5.3</v>
      </c>
      <c r="L274" s="49">
        <v>25.83</v>
      </c>
      <c r="M274" s="49">
        <v>0</v>
      </c>
      <c r="N274" s="49">
        <v>0</v>
      </c>
      <c r="O274" s="49">
        <v>0</v>
      </c>
      <c r="P274" s="49">
        <v>16.71</v>
      </c>
      <c r="Q274" s="49">
        <v>10.7</v>
      </c>
      <c r="R274" s="49">
        <v>11.24</v>
      </c>
      <c r="S274" s="49">
        <v>13.01</v>
      </c>
    </row>
    <row r="275" spans="1:19" ht="18">
      <c r="A275" s="49">
        <v>2114</v>
      </c>
      <c r="B275" s="49" t="s">
        <v>508</v>
      </c>
      <c r="C275" s="49">
        <v>10.35</v>
      </c>
      <c r="D275" s="49">
        <v>5.1100000000000003</v>
      </c>
      <c r="E275" s="49">
        <v>11.44</v>
      </c>
      <c r="F275" s="49">
        <v>11.48</v>
      </c>
      <c r="G275" s="49">
        <v>7.72</v>
      </c>
      <c r="H275" s="49">
        <v>12.69</v>
      </c>
      <c r="I275" s="49">
        <v>11.28</v>
      </c>
      <c r="J275" s="49">
        <v>15.42</v>
      </c>
      <c r="K275" s="49">
        <v>10.6</v>
      </c>
      <c r="L275" s="49">
        <v>15.49</v>
      </c>
      <c r="M275" s="49">
        <v>18.37</v>
      </c>
      <c r="N275" s="49">
        <v>12.61</v>
      </c>
      <c r="O275" s="49">
        <v>15.09</v>
      </c>
      <c r="P275" s="49">
        <v>17.05</v>
      </c>
      <c r="Q275" s="49">
        <v>9.1199999999999992</v>
      </c>
      <c r="R275" s="49">
        <v>17.02</v>
      </c>
      <c r="S275" s="49">
        <v>18.22</v>
      </c>
    </row>
    <row r="276" spans="1:19" ht="18">
      <c r="A276" s="49">
        <v>2115</v>
      </c>
      <c r="B276" s="49" t="s">
        <v>509</v>
      </c>
      <c r="C276" s="49">
        <v>0</v>
      </c>
      <c r="D276" s="49">
        <v>0</v>
      </c>
      <c r="E276" s="49">
        <v>0</v>
      </c>
      <c r="F276" s="49">
        <v>0</v>
      </c>
      <c r="G276" s="49">
        <v>0</v>
      </c>
      <c r="H276" s="49">
        <v>0</v>
      </c>
      <c r="I276" s="49">
        <v>29.38</v>
      </c>
      <c r="J276" s="49">
        <v>21.55</v>
      </c>
      <c r="K276" s="49">
        <v>12.43</v>
      </c>
      <c r="L276" s="49">
        <v>14.43</v>
      </c>
      <c r="M276" s="49">
        <v>12.18</v>
      </c>
      <c r="N276" s="49">
        <v>14.57</v>
      </c>
      <c r="O276" s="49">
        <v>14.29</v>
      </c>
      <c r="P276" s="49">
        <v>7.28</v>
      </c>
      <c r="Q276" s="49">
        <v>9.67</v>
      </c>
      <c r="R276" s="49">
        <v>11.36</v>
      </c>
      <c r="S276" s="49">
        <v>14.58</v>
      </c>
    </row>
    <row r="277" spans="1:19" ht="18">
      <c r="A277" s="49">
        <v>2201</v>
      </c>
      <c r="B277" s="49" t="s">
        <v>510</v>
      </c>
      <c r="C277" s="49">
        <v>17.09</v>
      </c>
      <c r="D277" s="49">
        <v>19.32</v>
      </c>
      <c r="E277" s="49">
        <v>42.84</v>
      </c>
      <c r="F277" s="49">
        <v>32.99</v>
      </c>
      <c r="G277" s="49">
        <v>20.8</v>
      </c>
      <c r="H277" s="49">
        <v>26.83</v>
      </c>
      <c r="I277" s="49">
        <v>28.13</v>
      </c>
      <c r="J277" s="49">
        <v>32.29</v>
      </c>
      <c r="K277" s="49">
        <v>23.97</v>
      </c>
      <c r="L277" s="49">
        <v>14.41</v>
      </c>
      <c r="M277" s="49">
        <v>23.91</v>
      </c>
      <c r="N277" s="49">
        <v>15.69</v>
      </c>
      <c r="O277" s="49">
        <v>0</v>
      </c>
      <c r="P277" s="49">
        <v>0</v>
      </c>
      <c r="Q277" s="49">
        <v>8.9499999999999993</v>
      </c>
      <c r="R277" s="49">
        <v>0</v>
      </c>
      <c r="S277" s="49">
        <v>99.73</v>
      </c>
    </row>
    <row r="278" spans="1:19" ht="18">
      <c r="A278" s="49">
        <v>2204</v>
      </c>
      <c r="B278" s="49" t="s">
        <v>511</v>
      </c>
      <c r="C278" s="49">
        <v>16.09</v>
      </c>
      <c r="D278" s="49">
        <v>0</v>
      </c>
      <c r="E278" s="49">
        <v>0</v>
      </c>
      <c r="F278" s="49">
        <v>17.79</v>
      </c>
      <c r="G278" s="49">
        <v>11.04</v>
      </c>
      <c r="H278" s="49">
        <v>13.1</v>
      </c>
      <c r="I278" s="49">
        <v>21.21</v>
      </c>
      <c r="J278" s="49">
        <v>13.06</v>
      </c>
      <c r="K278" s="49">
        <v>10.09</v>
      </c>
      <c r="L278" s="49">
        <v>10.69</v>
      </c>
      <c r="M278" s="49">
        <v>9.9600000000000009</v>
      </c>
      <c r="N278" s="49">
        <v>8.9700000000000006</v>
      </c>
      <c r="O278" s="49">
        <v>21.25</v>
      </c>
      <c r="P278" s="49">
        <v>0</v>
      </c>
      <c r="Q278" s="49">
        <v>8.7100000000000009</v>
      </c>
      <c r="R278" s="49">
        <v>0</v>
      </c>
      <c r="S278" s="49">
        <v>50</v>
      </c>
    </row>
    <row r="279" spans="1:19" ht="18">
      <c r="A279" s="49">
        <v>2206</v>
      </c>
      <c r="B279" s="49" t="s">
        <v>512</v>
      </c>
      <c r="C279" s="49">
        <v>19.670000000000002</v>
      </c>
      <c r="D279" s="49">
        <v>9.7799999999999994</v>
      </c>
      <c r="E279" s="49">
        <v>0</v>
      </c>
      <c r="F279" s="49">
        <v>17.45</v>
      </c>
      <c r="G279" s="49">
        <v>9.85</v>
      </c>
      <c r="H279" s="49">
        <v>39.33</v>
      </c>
      <c r="I279" s="49">
        <v>0</v>
      </c>
      <c r="J279" s="49">
        <v>0</v>
      </c>
      <c r="K279" s="49">
        <v>5.73</v>
      </c>
      <c r="L279" s="49">
        <v>0</v>
      </c>
      <c r="M279" s="49">
        <v>31.47</v>
      </c>
      <c r="N279" s="49">
        <v>10.47</v>
      </c>
      <c r="O279" s="49">
        <v>10.6</v>
      </c>
      <c r="P279" s="49">
        <v>17.25</v>
      </c>
      <c r="Q279" s="49">
        <v>13.13</v>
      </c>
      <c r="R279" s="49">
        <v>9.08</v>
      </c>
      <c r="S279" s="49">
        <v>10.42</v>
      </c>
    </row>
    <row r="280" spans="1:19" ht="18">
      <c r="A280" s="49">
        <v>2207</v>
      </c>
      <c r="B280" s="49" t="s">
        <v>513</v>
      </c>
      <c r="C280" s="49">
        <v>13.57</v>
      </c>
      <c r="D280" s="49">
        <v>10.1</v>
      </c>
      <c r="E280" s="49">
        <v>14.93</v>
      </c>
      <c r="F280" s="49">
        <v>10.16</v>
      </c>
      <c r="G280" s="49">
        <v>12.66</v>
      </c>
      <c r="H280" s="49">
        <v>17.989999999999998</v>
      </c>
      <c r="I280" s="49">
        <v>27.48</v>
      </c>
      <c r="J280" s="49">
        <v>28.58</v>
      </c>
      <c r="K280" s="49">
        <v>21.35</v>
      </c>
      <c r="L280" s="49">
        <v>19.61</v>
      </c>
      <c r="M280" s="49">
        <v>18.739999999999998</v>
      </c>
      <c r="N280" s="49">
        <v>13.95</v>
      </c>
      <c r="O280" s="49">
        <v>33.270000000000003</v>
      </c>
      <c r="P280" s="49">
        <v>26.52</v>
      </c>
      <c r="Q280" s="49">
        <v>20.72</v>
      </c>
      <c r="R280" s="49">
        <v>0</v>
      </c>
      <c r="S280" s="49">
        <v>42.48</v>
      </c>
    </row>
    <row r="281" spans="1:19" ht="18">
      <c r="A281" s="49">
        <v>2208</v>
      </c>
      <c r="B281" s="49" t="s">
        <v>514</v>
      </c>
      <c r="C281" s="49">
        <v>0</v>
      </c>
      <c r="D281" s="49">
        <v>6.7</v>
      </c>
      <c r="E281" s="49">
        <v>24.68</v>
      </c>
      <c r="F281" s="49">
        <v>11.55</v>
      </c>
      <c r="G281" s="49">
        <v>8.89</v>
      </c>
      <c r="H281" s="49">
        <v>16.84</v>
      </c>
      <c r="I281" s="49">
        <v>27.83</v>
      </c>
      <c r="J281" s="49">
        <v>41.75</v>
      </c>
      <c r="K281" s="49">
        <v>21.74</v>
      </c>
      <c r="L281" s="49">
        <v>0</v>
      </c>
      <c r="M281" s="49">
        <v>0</v>
      </c>
      <c r="N281" s="49">
        <v>0</v>
      </c>
      <c r="O281" s="49">
        <v>0</v>
      </c>
      <c r="P281" s="49">
        <v>0</v>
      </c>
      <c r="Q281" s="49">
        <v>0</v>
      </c>
      <c r="R281" s="49">
        <v>0</v>
      </c>
      <c r="S281" s="49">
        <v>0</v>
      </c>
    </row>
    <row r="282" spans="1:19" ht="18">
      <c r="A282" s="49">
        <v>2211</v>
      </c>
      <c r="B282" s="49" t="s">
        <v>515</v>
      </c>
      <c r="C282" s="49">
        <v>0</v>
      </c>
      <c r="D282" s="49">
        <v>0</v>
      </c>
      <c r="E282" s="49">
        <v>0</v>
      </c>
      <c r="F282" s="49">
        <v>0</v>
      </c>
      <c r="G282" s="49">
        <v>0</v>
      </c>
      <c r="H282" s="49">
        <v>0</v>
      </c>
      <c r="I282" s="49">
        <v>0</v>
      </c>
      <c r="J282" s="49">
        <v>0</v>
      </c>
      <c r="K282" s="49">
        <v>0</v>
      </c>
      <c r="L282" s="49">
        <v>0</v>
      </c>
      <c r="M282" s="49">
        <v>0</v>
      </c>
      <c r="N282" s="49">
        <v>0</v>
      </c>
      <c r="O282" s="49">
        <v>0</v>
      </c>
      <c r="P282" s="49">
        <v>0</v>
      </c>
      <c r="Q282" s="49">
        <v>18.579999999999998</v>
      </c>
      <c r="R282" s="49">
        <v>9.0500000000000007</v>
      </c>
      <c r="S282" s="49">
        <v>11.5</v>
      </c>
    </row>
    <row r="283" spans="1:19" ht="18">
      <c r="A283" s="49">
        <v>2221</v>
      </c>
      <c r="B283" s="49" t="s">
        <v>1275</v>
      </c>
      <c r="C283" s="49">
        <v>8.91</v>
      </c>
      <c r="D283" s="49">
        <v>11.84</v>
      </c>
      <c r="E283" s="49">
        <v>0</v>
      </c>
      <c r="F283" s="49">
        <v>0</v>
      </c>
      <c r="G283" s="49">
        <v>9.5299999999999994</v>
      </c>
      <c r="H283" s="49">
        <v>13.61</v>
      </c>
      <c r="I283" s="49">
        <v>79.44</v>
      </c>
      <c r="J283" s="49">
        <v>40.64</v>
      </c>
      <c r="K283" s="49">
        <v>16.670000000000002</v>
      </c>
      <c r="L283" s="49">
        <v>12.4</v>
      </c>
      <c r="M283" s="49">
        <v>11.01</v>
      </c>
      <c r="N283" s="49">
        <v>8.91</v>
      </c>
      <c r="O283" s="49">
        <v>10.77</v>
      </c>
      <c r="P283" s="49">
        <v>17.760000000000002</v>
      </c>
      <c r="Q283" s="49">
        <v>12.82</v>
      </c>
      <c r="R283" s="49">
        <v>5.68</v>
      </c>
      <c r="S283" s="49">
        <v>13.3</v>
      </c>
    </row>
    <row r="284" spans="1:19" ht="18">
      <c r="A284" s="49">
        <v>2227</v>
      </c>
      <c r="B284" s="49" t="s">
        <v>516</v>
      </c>
      <c r="C284" s="49">
        <v>11.51</v>
      </c>
      <c r="D284" s="49">
        <v>9.57</v>
      </c>
      <c r="E284" s="49">
        <v>22.77</v>
      </c>
      <c r="F284" s="49">
        <v>21.28</v>
      </c>
      <c r="G284" s="49">
        <v>11.73</v>
      </c>
      <c r="H284" s="49">
        <v>13.49</v>
      </c>
      <c r="I284" s="49">
        <v>20.82</v>
      </c>
      <c r="J284" s="49">
        <v>16.16</v>
      </c>
      <c r="K284" s="49">
        <v>14.36</v>
      </c>
      <c r="L284" s="49">
        <v>13.92</v>
      </c>
      <c r="M284" s="49">
        <v>12.78</v>
      </c>
      <c r="N284" s="49">
        <v>11.36</v>
      </c>
      <c r="O284" s="49">
        <v>13.05</v>
      </c>
      <c r="P284" s="49">
        <v>12.87</v>
      </c>
      <c r="Q284" s="49">
        <v>15.11</v>
      </c>
      <c r="R284" s="49">
        <v>20.5</v>
      </c>
      <c r="S284" s="49">
        <v>42.52</v>
      </c>
    </row>
    <row r="285" spans="1:19" ht="18">
      <c r="A285" s="49">
        <v>2228</v>
      </c>
      <c r="B285" s="49" t="s">
        <v>517</v>
      </c>
      <c r="C285" s="49">
        <v>0</v>
      </c>
      <c r="D285" s="49">
        <v>0</v>
      </c>
      <c r="E285" s="49">
        <v>0</v>
      </c>
      <c r="F285" s="49">
        <v>0</v>
      </c>
      <c r="G285" s="49">
        <v>0</v>
      </c>
      <c r="H285" s="49">
        <v>0</v>
      </c>
      <c r="I285" s="49">
        <v>23.54</v>
      </c>
      <c r="J285" s="49">
        <v>20.02</v>
      </c>
      <c r="K285" s="49">
        <v>20.47</v>
      </c>
      <c r="L285" s="49">
        <v>17.84</v>
      </c>
      <c r="M285" s="49">
        <v>16.91</v>
      </c>
      <c r="N285" s="49">
        <v>10.220000000000001</v>
      </c>
      <c r="O285" s="49">
        <v>15.79</v>
      </c>
      <c r="P285" s="49">
        <v>34.380000000000003</v>
      </c>
      <c r="Q285" s="49">
        <v>16.440000000000001</v>
      </c>
      <c r="R285" s="49">
        <v>14.24</v>
      </c>
      <c r="S285" s="49">
        <v>15.51</v>
      </c>
    </row>
    <row r="286" spans="1:19" ht="18">
      <c r="A286" s="49">
        <v>2230</v>
      </c>
      <c r="B286" s="49" t="s">
        <v>1276</v>
      </c>
      <c r="C286" s="49">
        <v>0</v>
      </c>
      <c r="D286" s="49">
        <v>0</v>
      </c>
      <c r="E286" s="49">
        <v>0</v>
      </c>
      <c r="F286" s="49">
        <v>0</v>
      </c>
      <c r="G286" s="49">
        <v>0</v>
      </c>
      <c r="H286" s="49">
        <v>0</v>
      </c>
      <c r="I286" s="49">
        <v>42.71</v>
      </c>
      <c r="J286" s="49">
        <v>44.14</v>
      </c>
      <c r="K286" s="49">
        <v>16.34</v>
      </c>
      <c r="L286" s="49">
        <v>0</v>
      </c>
      <c r="M286" s="49">
        <v>0</v>
      </c>
      <c r="N286" s="49">
        <v>61.32</v>
      </c>
      <c r="O286" s="49">
        <v>212.5</v>
      </c>
      <c r="P286" s="49">
        <v>0</v>
      </c>
      <c r="Q286" s="49">
        <v>0</v>
      </c>
      <c r="R286" s="49">
        <v>8.9499999999999993</v>
      </c>
      <c r="S286" s="49">
        <v>132.66</v>
      </c>
    </row>
    <row r="287" spans="1:19" ht="18">
      <c r="A287" s="49">
        <v>2231</v>
      </c>
      <c r="B287" s="49" t="s">
        <v>518</v>
      </c>
      <c r="C287" s="49">
        <v>0</v>
      </c>
      <c r="D287" s="49">
        <v>0</v>
      </c>
      <c r="E287" s="49">
        <v>18.920000000000002</v>
      </c>
      <c r="F287" s="49">
        <v>17.440000000000001</v>
      </c>
      <c r="G287" s="49">
        <v>13.63</v>
      </c>
      <c r="H287" s="49">
        <v>20.68</v>
      </c>
      <c r="I287" s="49">
        <v>25.34</v>
      </c>
      <c r="J287" s="49">
        <v>34.65</v>
      </c>
      <c r="K287" s="49">
        <v>26.18</v>
      </c>
      <c r="L287" s="49">
        <v>19.38</v>
      </c>
      <c r="M287" s="49">
        <v>23.62</v>
      </c>
      <c r="N287" s="49">
        <v>25.37</v>
      </c>
      <c r="O287" s="49">
        <v>26.86</v>
      </c>
      <c r="P287" s="49">
        <v>103.59</v>
      </c>
      <c r="Q287" s="49">
        <v>44.25</v>
      </c>
      <c r="R287" s="49">
        <v>30.46</v>
      </c>
      <c r="S287" s="49">
        <v>30.16</v>
      </c>
    </row>
    <row r="288" spans="1:19" ht="18">
      <c r="A288" s="49">
        <v>2233</v>
      </c>
      <c r="B288" s="49" t="s">
        <v>519</v>
      </c>
      <c r="C288" s="49">
        <v>0</v>
      </c>
      <c r="D288" s="49">
        <v>0</v>
      </c>
      <c r="E288" s="49">
        <v>0</v>
      </c>
      <c r="F288" s="49">
        <v>0</v>
      </c>
      <c r="G288" s="49">
        <v>11.38</v>
      </c>
      <c r="H288" s="49">
        <v>15.52</v>
      </c>
      <c r="I288" s="49">
        <v>19.39</v>
      </c>
      <c r="J288" s="49">
        <v>13.96</v>
      </c>
      <c r="K288" s="49">
        <v>15.1</v>
      </c>
      <c r="L288" s="49">
        <v>17.7</v>
      </c>
      <c r="M288" s="49">
        <v>11.87</v>
      </c>
      <c r="N288" s="49">
        <v>7.83</v>
      </c>
      <c r="O288" s="49">
        <v>12.95</v>
      </c>
      <c r="P288" s="49">
        <v>15.73</v>
      </c>
      <c r="Q288" s="49">
        <v>11.49</v>
      </c>
      <c r="R288" s="49">
        <v>9.66</v>
      </c>
      <c r="S288" s="49">
        <v>17.010000000000002</v>
      </c>
    </row>
    <row r="289" spans="1:19" ht="18">
      <c r="A289" s="49">
        <v>2235</v>
      </c>
      <c r="B289" s="49" t="s">
        <v>1277</v>
      </c>
      <c r="C289" s="49">
        <v>0</v>
      </c>
      <c r="D289" s="49">
        <v>0</v>
      </c>
      <c r="E289" s="49">
        <v>0</v>
      </c>
      <c r="F289" s="49">
        <v>0</v>
      </c>
      <c r="G289" s="49">
        <v>0</v>
      </c>
      <c r="H289" s="49">
        <v>0</v>
      </c>
      <c r="I289" s="49">
        <v>0</v>
      </c>
      <c r="J289" s="49">
        <v>16.75</v>
      </c>
      <c r="K289" s="49">
        <v>21.57</v>
      </c>
      <c r="L289" s="49">
        <v>22.61</v>
      </c>
      <c r="M289" s="49">
        <v>19.96</v>
      </c>
      <c r="N289" s="49">
        <v>20</v>
      </c>
      <c r="O289" s="49">
        <v>16.690000000000001</v>
      </c>
      <c r="P289" s="49">
        <v>23.98</v>
      </c>
      <c r="Q289" s="49">
        <v>26.16</v>
      </c>
      <c r="R289" s="49">
        <v>8.3699999999999992</v>
      </c>
      <c r="S289" s="49">
        <v>28.55</v>
      </c>
    </row>
    <row r="290" spans="1:19" ht="18">
      <c r="A290" s="49">
        <v>2236</v>
      </c>
      <c r="B290" s="49" t="s">
        <v>520</v>
      </c>
      <c r="C290" s="49">
        <v>0</v>
      </c>
      <c r="D290" s="49">
        <v>0</v>
      </c>
      <c r="E290" s="49">
        <v>0</v>
      </c>
      <c r="F290" s="49">
        <v>0</v>
      </c>
      <c r="G290" s="49">
        <v>0</v>
      </c>
      <c r="H290" s="49">
        <v>0</v>
      </c>
      <c r="I290" s="49">
        <v>0</v>
      </c>
      <c r="J290" s="49">
        <v>0</v>
      </c>
      <c r="K290" s="49">
        <v>11.53</v>
      </c>
      <c r="L290" s="49">
        <v>20.07</v>
      </c>
      <c r="M290" s="49">
        <v>14.8</v>
      </c>
      <c r="N290" s="49">
        <v>9.4600000000000009</v>
      </c>
      <c r="O290" s="49">
        <v>9.49</v>
      </c>
      <c r="P290" s="49">
        <v>1975</v>
      </c>
      <c r="Q290" s="49">
        <v>17.72</v>
      </c>
      <c r="R290" s="49">
        <v>20.39</v>
      </c>
      <c r="S290" s="49">
        <v>28.88</v>
      </c>
    </row>
    <row r="291" spans="1:19" ht="18">
      <c r="A291" s="49">
        <v>2239</v>
      </c>
      <c r="B291" s="49" t="s">
        <v>521</v>
      </c>
      <c r="C291" s="49">
        <v>0</v>
      </c>
      <c r="D291" s="49">
        <v>0</v>
      </c>
      <c r="E291" s="49">
        <v>0</v>
      </c>
      <c r="F291" s="49">
        <v>0</v>
      </c>
      <c r="G291" s="49">
        <v>0</v>
      </c>
      <c r="H291" s="49">
        <v>0</v>
      </c>
      <c r="I291" s="49">
        <v>0</v>
      </c>
      <c r="J291" s="49">
        <v>0</v>
      </c>
      <c r="K291" s="49">
        <v>0</v>
      </c>
      <c r="L291" s="49">
        <v>11.75</v>
      </c>
      <c r="M291" s="49">
        <v>17.18</v>
      </c>
      <c r="N291" s="49">
        <v>9.99</v>
      </c>
      <c r="O291" s="49">
        <v>16.48</v>
      </c>
      <c r="P291" s="49">
        <v>30.26</v>
      </c>
      <c r="Q291" s="49">
        <v>16.59</v>
      </c>
      <c r="R291" s="49">
        <v>34.47</v>
      </c>
      <c r="S291" s="49">
        <v>33.619999999999997</v>
      </c>
    </row>
    <row r="292" spans="1:19" ht="18">
      <c r="A292" s="49">
        <v>2241</v>
      </c>
      <c r="B292" s="49" t="s">
        <v>522</v>
      </c>
      <c r="C292" s="49">
        <v>0</v>
      </c>
      <c r="D292" s="49">
        <v>0</v>
      </c>
      <c r="E292" s="49">
        <v>0</v>
      </c>
      <c r="F292" s="49">
        <v>0</v>
      </c>
      <c r="G292" s="49">
        <v>0</v>
      </c>
      <c r="H292" s="49">
        <v>0</v>
      </c>
      <c r="I292" s="49">
        <v>0</v>
      </c>
      <c r="J292" s="49">
        <v>0</v>
      </c>
      <c r="K292" s="49">
        <v>0</v>
      </c>
      <c r="L292" s="49">
        <v>0</v>
      </c>
      <c r="M292" s="49">
        <v>0</v>
      </c>
      <c r="N292" s="49">
        <v>0</v>
      </c>
      <c r="O292" s="49">
        <v>0</v>
      </c>
      <c r="P292" s="49">
        <v>98.57</v>
      </c>
      <c r="Q292" s="49">
        <v>0</v>
      </c>
      <c r="R292" s="49">
        <v>0</v>
      </c>
      <c r="S292" s="49">
        <v>0</v>
      </c>
    </row>
    <row r="293" spans="1:19" ht="18">
      <c r="A293" s="49">
        <v>2243</v>
      </c>
      <c r="B293" s="49" t="s">
        <v>523</v>
      </c>
      <c r="C293" s="49">
        <v>0</v>
      </c>
      <c r="D293" s="49">
        <v>0</v>
      </c>
      <c r="E293" s="49">
        <v>0</v>
      </c>
      <c r="F293" s="49">
        <v>0</v>
      </c>
      <c r="G293" s="49">
        <v>0</v>
      </c>
      <c r="H293" s="49">
        <v>0</v>
      </c>
      <c r="I293" s="49">
        <v>0</v>
      </c>
      <c r="J293" s="49">
        <v>0</v>
      </c>
      <c r="K293" s="49">
        <v>0</v>
      </c>
      <c r="L293" s="49">
        <v>0</v>
      </c>
      <c r="M293" s="49">
        <v>15.52</v>
      </c>
      <c r="N293" s="49">
        <v>17.809999999999999</v>
      </c>
      <c r="O293" s="49">
        <v>0</v>
      </c>
      <c r="P293" s="49">
        <v>0</v>
      </c>
      <c r="Q293" s="49">
        <v>0</v>
      </c>
      <c r="R293" s="49">
        <v>0</v>
      </c>
      <c r="S293" s="49">
        <v>0</v>
      </c>
    </row>
    <row r="294" spans="1:19" ht="18">
      <c r="A294" s="49">
        <v>2247</v>
      </c>
      <c r="B294" s="49" t="s">
        <v>524</v>
      </c>
      <c r="C294" s="49">
        <v>0</v>
      </c>
      <c r="D294" s="49">
        <v>0</v>
      </c>
      <c r="E294" s="49">
        <v>0</v>
      </c>
      <c r="F294" s="49">
        <v>0</v>
      </c>
      <c r="G294" s="49">
        <v>0</v>
      </c>
      <c r="H294" s="49">
        <v>0</v>
      </c>
      <c r="I294" s="49">
        <v>0</v>
      </c>
      <c r="J294" s="49">
        <v>0</v>
      </c>
      <c r="K294" s="49">
        <v>0</v>
      </c>
      <c r="L294" s="49">
        <v>0</v>
      </c>
      <c r="M294" s="49">
        <v>0</v>
      </c>
      <c r="N294" s="49">
        <v>0</v>
      </c>
      <c r="O294" s="49">
        <v>0</v>
      </c>
      <c r="P294" s="49">
        <v>18.02</v>
      </c>
      <c r="Q294" s="49">
        <v>13.79</v>
      </c>
      <c r="R294" s="49">
        <v>12.15</v>
      </c>
      <c r="S294" s="49">
        <v>13.47</v>
      </c>
    </row>
    <row r="295" spans="1:19" ht="18">
      <c r="A295" s="49">
        <v>2250</v>
      </c>
      <c r="B295" s="49" t="s">
        <v>525</v>
      </c>
      <c r="C295" s="49">
        <v>0</v>
      </c>
      <c r="D295" s="49">
        <v>0</v>
      </c>
      <c r="E295" s="49">
        <v>0</v>
      </c>
      <c r="F295" s="49">
        <v>0</v>
      </c>
      <c r="G295" s="49">
        <v>0</v>
      </c>
      <c r="H295" s="49">
        <v>0</v>
      </c>
      <c r="I295" s="49">
        <v>0</v>
      </c>
      <c r="J295" s="49">
        <v>0</v>
      </c>
      <c r="K295" s="49">
        <v>0</v>
      </c>
      <c r="L295" s="49">
        <v>0</v>
      </c>
      <c r="M295" s="49">
        <v>0</v>
      </c>
      <c r="N295" s="49">
        <v>0</v>
      </c>
      <c r="O295" s="49">
        <v>0</v>
      </c>
      <c r="P295" s="49">
        <v>0</v>
      </c>
      <c r="Q295" s="49">
        <v>19.54</v>
      </c>
      <c r="R295" s="49">
        <v>21.25</v>
      </c>
      <c r="S295" s="49">
        <v>22.74</v>
      </c>
    </row>
    <row r="296" spans="1:19" ht="18">
      <c r="A296" s="49">
        <v>2301</v>
      </c>
      <c r="B296" s="49" t="s">
        <v>526</v>
      </c>
      <c r="C296" s="49">
        <v>13.98</v>
      </c>
      <c r="D296" s="49">
        <v>7.89</v>
      </c>
      <c r="E296" s="49">
        <v>22.56</v>
      </c>
      <c r="F296" s="49">
        <v>9.7799999999999994</v>
      </c>
      <c r="G296" s="49">
        <v>9.94</v>
      </c>
      <c r="H296" s="49">
        <v>13.16</v>
      </c>
      <c r="I296" s="49">
        <v>12.85</v>
      </c>
      <c r="J296" s="49">
        <v>11.2</v>
      </c>
      <c r="K296" s="49">
        <v>11.93</v>
      </c>
      <c r="L296" s="49">
        <v>12.09</v>
      </c>
      <c r="M296" s="49">
        <v>32.22</v>
      </c>
      <c r="N296" s="49">
        <v>12.19</v>
      </c>
      <c r="O296" s="49">
        <v>12.1</v>
      </c>
      <c r="P296" s="49">
        <v>11.12</v>
      </c>
      <c r="Q296" s="49">
        <v>10.89</v>
      </c>
      <c r="R296" s="49">
        <v>11.39</v>
      </c>
      <c r="S296" s="49">
        <v>18.03</v>
      </c>
    </row>
    <row r="297" spans="1:19" ht="18">
      <c r="A297" s="49">
        <v>2302</v>
      </c>
      <c r="B297" s="49" t="s">
        <v>527</v>
      </c>
      <c r="C297" s="49">
        <v>0</v>
      </c>
      <c r="D297" s="49">
        <v>0</v>
      </c>
      <c r="E297" s="49">
        <v>0</v>
      </c>
      <c r="F297" s="49">
        <v>32.909999999999997</v>
      </c>
      <c r="G297" s="49">
        <v>0</v>
      </c>
      <c r="H297" s="49">
        <v>0</v>
      </c>
      <c r="I297" s="49">
        <v>0</v>
      </c>
      <c r="J297" s="49">
        <v>56.81</v>
      </c>
      <c r="K297" s="49">
        <v>7.33</v>
      </c>
      <c r="L297" s="49">
        <v>58.18</v>
      </c>
      <c r="M297" s="49">
        <v>0</v>
      </c>
      <c r="N297" s="49">
        <v>74.7</v>
      </c>
      <c r="O297" s="49">
        <v>68.42</v>
      </c>
      <c r="P297" s="49">
        <v>490</v>
      </c>
      <c r="Q297" s="49">
        <v>19.2</v>
      </c>
      <c r="R297" s="49">
        <v>16.37</v>
      </c>
      <c r="S297" s="49">
        <v>28.38</v>
      </c>
    </row>
    <row r="298" spans="1:19" ht="18">
      <c r="A298" s="49">
        <v>2303</v>
      </c>
      <c r="B298" s="49" t="s">
        <v>528</v>
      </c>
      <c r="C298" s="49">
        <v>12.52</v>
      </c>
      <c r="D298" s="49">
        <v>39.11</v>
      </c>
      <c r="E298" s="49">
        <v>0</v>
      </c>
      <c r="F298" s="49">
        <v>9.6999999999999993</v>
      </c>
      <c r="G298" s="49">
        <v>10.33</v>
      </c>
      <c r="H298" s="49">
        <v>19.5</v>
      </c>
      <c r="I298" s="49">
        <v>11.88</v>
      </c>
      <c r="J298" s="49">
        <v>22.01</v>
      </c>
      <c r="K298" s="49">
        <v>10.08</v>
      </c>
      <c r="L298" s="49">
        <v>15.62</v>
      </c>
      <c r="M298" s="49">
        <v>16.71</v>
      </c>
      <c r="N298" s="49">
        <v>13.08</v>
      </c>
      <c r="O298" s="49">
        <v>45.69</v>
      </c>
      <c r="P298" s="49">
        <v>26.79</v>
      </c>
      <c r="Q298" s="49">
        <v>15.82</v>
      </c>
      <c r="R298" s="49">
        <v>6.04</v>
      </c>
      <c r="S298" s="49">
        <v>9.83</v>
      </c>
    </row>
    <row r="299" spans="1:19" ht="18">
      <c r="A299" s="49">
        <v>2305</v>
      </c>
      <c r="B299" s="49" t="s">
        <v>529</v>
      </c>
      <c r="C299" s="49">
        <v>3.97</v>
      </c>
      <c r="D299" s="49">
        <v>0</v>
      </c>
      <c r="E299" s="49">
        <v>0</v>
      </c>
      <c r="F299" s="49">
        <v>0</v>
      </c>
      <c r="G299" s="49">
        <v>21.24</v>
      </c>
      <c r="H299" s="49">
        <v>0</v>
      </c>
      <c r="I299" s="49">
        <v>0</v>
      </c>
      <c r="J299" s="49">
        <v>19.350000000000001</v>
      </c>
      <c r="K299" s="49">
        <v>21.48</v>
      </c>
      <c r="L299" s="49">
        <v>2.61</v>
      </c>
      <c r="M299" s="49">
        <v>3.35</v>
      </c>
      <c r="N299" s="49">
        <v>0</v>
      </c>
      <c r="O299" s="49">
        <v>0</v>
      </c>
      <c r="P299" s="49">
        <v>62.5</v>
      </c>
      <c r="Q299" s="49">
        <v>0</v>
      </c>
      <c r="R299" s="49">
        <v>67.239999999999995</v>
      </c>
      <c r="S299" s="49">
        <v>0</v>
      </c>
    </row>
    <row r="300" spans="1:19" ht="18">
      <c r="A300" s="49">
        <v>2308</v>
      </c>
      <c r="B300" s="49" t="s">
        <v>530</v>
      </c>
      <c r="C300" s="49">
        <v>16.82</v>
      </c>
      <c r="D300" s="49">
        <v>11.48</v>
      </c>
      <c r="E300" s="49">
        <v>21.41</v>
      </c>
      <c r="F300" s="49">
        <v>22.34</v>
      </c>
      <c r="G300" s="49">
        <v>14.52</v>
      </c>
      <c r="H300" s="49">
        <v>17.37</v>
      </c>
      <c r="I300" s="49">
        <v>24.6</v>
      </c>
      <c r="J300" s="49">
        <v>22.52</v>
      </c>
      <c r="K300" s="49">
        <v>20.41</v>
      </c>
      <c r="L300" s="49">
        <v>21.79</v>
      </c>
      <c r="M300" s="49">
        <v>20.07</v>
      </c>
      <c r="N300" s="49">
        <v>19.89</v>
      </c>
      <c r="O300" s="49">
        <v>16.34</v>
      </c>
      <c r="P300" s="49">
        <v>29.52</v>
      </c>
      <c r="Q300" s="49">
        <v>25.53</v>
      </c>
      <c r="R300" s="49">
        <v>23.99</v>
      </c>
      <c r="S300" s="49">
        <v>25.18</v>
      </c>
    </row>
    <row r="301" spans="1:19" ht="18">
      <c r="A301" s="49">
        <v>2312</v>
      </c>
      <c r="B301" s="49" t="s">
        <v>531</v>
      </c>
      <c r="C301" s="49">
        <v>24.89</v>
      </c>
      <c r="D301" s="49">
        <v>9.4499999999999993</v>
      </c>
      <c r="E301" s="49">
        <v>0</v>
      </c>
      <c r="F301" s="49">
        <v>26.88</v>
      </c>
      <c r="G301" s="49">
        <v>78.75</v>
      </c>
      <c r="H301" s="49">
        <v>0</v>
      </c>
      <c r="I301" s="49">
        <v>0</v>
      </c>
      <c r="J301" s="49">
        <v>10.35</v>
      </c>
      <c r="K301" s="49">
        <v>8.14</v>
      </c>
      <c r="L301" s="49">
        <v>12.4</v>
      </c>
      <c r="M301" s="49">
        <v>25.12</v>
      </c>
      <c r="N301" s="49">
        <v>40.4</v>
      </c>
      <c r="O301" s="49">
        <v>23.36</v>
      </c>
      <c r="P301" s="49">
        <v>60.75</v>
      </c>
      <c r="Q301" s="49">
        <v>0</v>
      </c>
      <c r="R301" s="49">
        <v>23.28</v>
      </c>
      <c r="S301" s="49">
        <v>33.159999999999997</v>
      </c>
    </row>
    <row r="302" spans="1:19" ht="18">
      <c r="A302" s="49">
        <v>2313</v>
      </c>
      <c r="B302" s="49" t="s">
        <v>532</v>
      </c>
      <c r="C302" s="49">
        <v>13.92</v>
      </c>
      <c r="D302" s="49">
        <v>17.12</v>
      </c>
      <c r="E302" s="49">
        <v>0</v>
      </c>
      <c r="F302" s="49">
        <v>0</v>
      </c>
      <c r="G302" s="49">
        <v>11.08</v>
      </c>
      <c r="H302" s="49">
        <v>17.12</v>
      </c>
      <c r="I302" s="49">
        <v>13.42</v>
      </c>
      <c r="J302" s="49">
        <v>11.37</v>
      </c>
      <c r="K302" s="49">
        <v>9.84</v>
      </c>
      <c r="L302" s="49">
        <v>10.65</v>
      </c>
      <c r="M302" s="49">
        <v>14.33</v>
      </c>
      <c r="N302" s="49">
        <v>7.33</v>
      </c>
      <c r="O302" s="49">
        <v>19.11</v>
      </c>
      <c r="P302" s="49">
        <v>10.77</v>
      </c>
      <c r="Q302" s="49">
        <v>11.82</v>
      </c>
      <c r="R302" s="49">
        <v>6.74</v>
      </c>
      <c r="S302" s="49">
        <v>17.54</v>
      </c>
    </row>
    <row r="303" spans="1:19" ht="18">
      <c r="A303" s="49">
        <v>2314</v>
      </c>
      <c r="B303" s="49" t="s">
        <v>533</v>
      </c>
      <c r="C303" s="49">
        <v>19.95</v>
      </c>
      <c r="D303" s="49">
        <v>14.02</v>
      </c>
      <c r="E303" s="49">
        <v>180</v>
      </c>
      <c r="F303" s="49">
        <v>115.94</v>
      </c>
      <c r="G303" s="49">
        <v>0</v>
      </c>
      <c r="H303" s="49">
        <v>0</v>
      </c>
      <c r="I303" s="49">
        <v>0</v>
      </c>
      <c r="J303" s="49">
        <v>0</v>
      </c>
      <c r="K303" s="49">
        <v>0</v>
      </c>
      <c r="L303" s="49">
        <v>35.94</v>
      </c>
      <c r="M303" s="49">
        <v>34.94</v>
      </c>
      <c r="N303" s="49">
        <v>97.38</v>
      </c>
      <c r="O303" s="49">
        <v>0</v>
      </c>
      <c r="P303" s="49">
        <v>0</v>
      </c>
      <c r="Q303" s="49">
        <v>0</v>
      </c>
      <c r="R303" s="49">
        <v>0</v>
      </c>
      <c r="S303" s="49">
        <v>0</v>
      </c>
    </row>
    <row r="304" spans="1:19" ht="18">
      <c r="A304" s="49">
        <v>2316</v>
      </c>
      <c r="B304" s="49" t="s">
        <v>534</v>
      </c>
      <c r="C304" s="49">
        <v>0</v>
      </c>
      <c r="D304" s="49">
        <v>0</v>
      </c>
      <c r="E304" s="49">
        <v>0</v>
      </c>
      <c r="F304" s="49">
        <v>21.67</v>
      </c>
      <c r="G304" s="49">
        <v>8.83</v>
      </c>
      <c r="H304" s="49">
        <v>9.19</v>
      </c>
      <c r="I304" s="49">
        <v>13.39</v>
      </c>
      <c r="J304" s="49">
        <v>14.95</v>
      </c>
      <c r="K304" s="49">
        <v>1.65</v>
      </c>
      <c r="L304" s="49">
        <v>0</v>
      </c>
      <c r="M304" s="49">
        <v>34.81</v>
      </c>
      <c r="N304" s="49">
        <v>16.739999999999998</v>
      </c>
      <c r="O304" s="49">
        <v>11.49</v>
      </c>
      <c r="P304" s="49">
        <v>14.47</v>
      </c>
      <c r="Q304" s="49">
        <v>13.65</v>
      </c>
      <c r="R304" s="49">
        <v>7.98</v>
      </c>
      <c r="S304" s="49">
        <v>51.05</v>
      </c>
    </row>
    <row r="305" spans="1:19" ht="18">
      <c r="A305" s="49">
        <v>2317</v>
      </c>
      <c r="B305" s="49" t="s">
        <v>535</v>
      </c>
      <c r="C305" s="49">
        <v>17.37</v>
      </c>
      <c r="D305" s="49">
        <v>6.58</v>
      </c>
      <c r="E305" s="49">
        <v>23.2</v>
      </c>
      <c r="F305" s="49">
        <v>13.4</v>
      </c>
      <c r="G305" s="49">
        <v>13.03</v>
      </c>
      <c r="H305" s="49">
        <v>11.34</v>
      </c>
      <c r="I305" s="49">
        <v>10.4</v>
      </c>
      <c r="J305" s="49">
        <v>11.17</v>
      </c>
      <c r="K305" s="49">
        <v>8.58</v>
      </c>
      <c r="L305" s="49">
        <v>10.98</v>
      </c>
      <c r="M305" s="49">
        <v>12.14</v>
      </c>
      <c r="N305" s="49">
        <v>7.11</v>
      </c>
      <c r="O305" s="49">
        <v>9.67</v>
      </c>
      <c r="P305" s="49">
        <v>12.32</v>
      </c>
      <c r="Q305" s="49">
        <v>10.24</v>
      </c>
      <c r="R305" s="49">
        <v>9.49</v>
      </c>
      <c r="S305" s="49">
        <v>11.24</v>
      </c>
    </row>
    <row r="306" spans="1:19" ht="18">
      <c r="A306" s="49">
        <v>2321</v>
      </c>
      <c r="B306" s="49" t="s">
        <v>536</v>
      </c>
      <c r="C306" s="49">
        <v>0</v>
      </c>
      <c r="D306" s="49">
        <v>0</v>
      </c>
      <c r="E306" s="49">
        <v>0</v>
      </c>
      <c r="F306" s="49">
        <v>0</v>
      </c>
      <c r="G306" s="49">
        <v>0</v>
      </c>
      <c r="H306" s="49">
        <v>0</v>
      </c>
      <c r="I306" s="49">
        <v>0</v>
      </c>
      <c r="J306" s="49">
        <v>0</v>
      </c>
      <c r="K306" s="49">
        <v>0</v>
      </c>
      <c r="L306" s="49">
        <v>70</v>
      </c>
      <c r="M306" s="49">
        <v>0</v>
      </c>
      <c r="N306" s="49">
        <v>0</v>
      </c>
      <c r="O306" s="49">
        <v>0</v>
      </c>
      <c r="P306" s="49">
        <v>0</v>
      </c>
      <c r="Q306" s="49">
        <v>660</v>
      </c>
      <c r="R306" s="49">
        <v>50.08</v>
      </c>
      <c r="S306" s="49">
        <v>0</v>
      </c>
    </row>
    <row r="307" spans="1:19" ht="18">
      <c r="A307" s="49">
        <v>2323</v>
      </c>
      <c r="B307" s="49" t="s">
        <v>537</v>
      </c>
      <c r="C307" s="49">
        <v>0</v>
      </c>
      <c r="D307" s="49">
        <v>0</v>
      </c>
      <c r="E307" s="49">
        <v>0</v>
      </c>
      <c r="F307" s="49">
        <v>0</v>
      </c>
      <c r="G307" s="49">
        <v>0</v>
      </c>
      <c r="H307" s="49">
        <v>61.13</v>
      </c>
      <c r="I307" s="49">
        <v>0</v>
      </c>
      <c r="J307" s="49">
        <v>0</v>
      </c>
      <c r="K307" s="49">
        <v>0</v>
      </c>
      <c r="L307" s="49">
        <v>0</v>
      </c>
      <c r="M307" s="49">
        <v>0</v>
      </c>
      <c r="N307" s="49">
        <v>0</v>
      </c>
      <c r="O307" s="49">
        <v>8.6999999999999993</v>
      </c>
      <c r="P307" s="49">
        <v>0</v>
      </c>
      <c r="Q307" s="49">
        <v>20.82</v>
      </c>
      <c r="R307" s="49">
        <v>0</v>
      </c>
      <c r="S307" s="49">
        <v>13.86</v>
      </c>
    </row>
    <row r="308" spans="1:19" ht="18">
      <c r="A308" s="49">
        <v>2324</v>
      </c>
      <c r="B308" s="49" t="s">
        <v>538</v>
      </c>
      <c r="C308" s="49">
        <v>11.31</v>
      </c>
      <c r="D308" s="49">
        <v>4.8499999999999996</v>
      </c>
      <c r="E308" s="49">
        <v>12.67</v>
      </c>
      <c r="F308" s="49">
        <v>6.37</v>
      </c>
      <c r="G308" s="49">
        <v>9.93</v>
      </c>
      <c r="H308" s="49">
        <v>11.99</v>
      </c>
      <c r="I308" s="49">
        <v>71.41</v>
      </c>
      <c r="J308" s="49">
        <v>18.66</v>
      </c>
      <c r="K308" s="49">
        <v>7.52</v>
      </c>
      <c r="L308" s="49">
        <v>10.37</v>
      </c>
      <c r="M308" s="49">
        <v>14.9</v>
      </c>
      <c r="N308" s="49">
        <v>8.15</v>
      </c>
      <c r="O308" s="49">
        <v>12.4</v>
      </c>
      <c r="P308" s="49">
        <v>13.27</v>
      </c>
      <c r="Q308" s="49">
        <v>7.52</v>
      </c>
      <c r="R308" s="49">
        <v>10.67</v>
      </c>
      <c r="S308" s="49">
        <v>24.91</v>
      </c>
    </row>
    <row r="309" spans="1:19" ht="18">
      <c r="A309" s="49">
        <v>2327</v>
      </c>
      <c r="B309" s="49" t="s">
        <v>539</v>
      </c>
      <c r="C309" s="49">
        <v>10.18</v>
      </c>
      <c r="D309" s="49">
        <v>27.6</v>
      </c>
      <c r="E309" s="49">
        <v>0</v>
      </c>
      <c r="F309" s="49">
        <v>8.15</v>
      </c>
      <c r="G309" s="49">
        <v>7.4</v>
      </c>
      <c r="H309" s="49">
        <v>18.079999999999998</v>
      </c>
      <c r="I309" s="49">
        <v>15.36</v>
      </c>
      <c r="J309" s="49">
        <v>9.73</v>
      </c>
      <c r="K309" s="49">
        <v>9.43</v>
      </c>
      <c r="L309" s="49">
        <v>8.99</v>
      </c>
      <c r="M309" s="49">
        <v>23.95</v>
      </c>
      <c r="N309" s="49">
        <v>4.1500000000000004</v>
      </c>
      <c r="O309" s="49">
        <v>18.03</v>
      </c>
      <c r="P309" s="49">
        <v>25.17</v>
      </c>
      <c r="Q309" s="49">
        <v>10.78</v>
      </c>
      <c r="R309" s="49">
        <v>8.08</v>
      </c>
      <c r="S309" s="49">
        <v>14.83</v>
      </c>
    </row>
    <row r="310" spans="1:19" ht="18">
      <c r="A310" s="49">
        <v>2328</v>
      </c>
      <c r="B310" s="49" t="s">
        <v>540</v>
      </c>
      <c r="C310" s="49">
        <v>31.84</v>
      </c>
      <c r="D310" s="49">
        <v>10.85</v>
      </c>
      <c r="E310" s="49">
        <v>53.21</v>
      </c>
      <c r="F310" s="49">
        <v>55.24</v>
      </c>
      <c r="G310" s="49">
        <v>0</v>
      </c>
      <c r="H310" s="49">
        <v>46.55</v>
      </c>
      <c r="I310" s="49">
        <v>34.92</v>
      </c>
      <c r="J310" s="49">
        <v>26.99</v>
      </c>
      <c r="K310" s="49">
        <v>27.08</v>
      </c>
      <c r="L310" s="49">
        <v>12.97</v>
      </c>
      <c r="M310" s="49">
        <v>19.649999999999999</v>
      </c>
      <c r="N310" s="49">
        <v>9.02</v>
      </c>
      <c r="O310" s="49">
        <v>9.91</v>
      </c>
      <c r="P310" s="49">
        <v>25.91</v>
      </c>
      <c r="Q310" s="49">
        <v>23.04</v>
      </c>
      <c r="R310" s="49">
        <v>15.41</v>
      </c>
      <c r="S310" s="49">
        <v>14.18</v>
      </c>
    </row>
    <row r="311" spans="1:19" ht="18">
      <c r="A311" s="49">
        <v>2329</v>
      </c>
      <c r="B311" s="49" t="s">
        <v>541</v>
      </c>
      <c r="C311" s="49">
        <v>0</v>
      </c>
      <c r="D311" s="49">
        <v>0</v>
      </c>
      <c r="E311" s="49">
        <v>0</v>
      </c>
      <c r="F311" s="49">
        <v>0</v>
      </c>
      <c r="G311" s="49">
        <v>0</v>
      </c>
      <c r="H311" s="49">
        <v>0</v>
      </c>
      <c r="I311" s="49">
        <v>0</v>
      </c>
      <c r="J311" s="49">
        <v>25.09</v>
      </c>
      <c r="K311" s="49">
        <v>9.83</v>
      </c>
      <c r="L311" s="49">
        <v>10.91</v>
      </c>
      <c r="M311" s="49">
        <v>0</v>
      </c>
      <c r="N311" s="49">
        <v>0</v>
      </c>
      <c r="O311" s="49">
        <v>13.62</v>
      </c>
      <c r="P311" s="49">
        <v>0</v>
      </c>
      <c r="Q311" s="49">
        <v>19.78</v>
      </c>
      <c r="R311" s="49">
        <v>7.37</v>
      </c>
      <c r="S311" s="49">
        <v>26.59</v>
      </c>
    </row>
    <row r="312" spans="1:19" ht="18">
      <c r="A312" s="49">
        <v>2330</v>
      </c>
      <c r="B312" s="49" t="s">
        <v>542</v>
      </c>
      <c r="C312" s="49">
        <v>15.98</v>
      </c>
      <c r="D312" s="49">
        <v>9.43</v>
      </c>
      <c r="E312" s="49">
        <v>24.25</v>
      </c>
      <c r="F312" s="49">
        <v>11.97</v>
      </c>
      <c r="G312" s="49">
        <v>13.71</v>
      </c>
      <c r="H312" s="49">
        <v>16.11</v>
      </c>
      <c r="I312" s="49">
        <v>14.8</v>
      </c>
      <c r="J312" s="49">
        <v>15.99</v>
      </c>
      <c r="K312" s="49">
        <v>11.82</v>
      </c>
      <c r="L312" s="49">
        <v>15.34</v>
      </c>
      <c r="M312" s="49">
        <v>17.29</v>
      </c>
      <c r="N312" s="49">
        <v>16.68</v>
      </c>
      <c r="O312" s="49">
        <v>26.06</v>
      </c>
      <c r="P312" s="49">
        <v>27.98</v>
      </c>
      <c r="Q312" s="49">
        <v>27.83</v>
      </c>
      <c r="R312" s="49">
        <v>13.11</v>
      </c>
      <c r="S312" s="49">
        <v>17.170000000000002</v>
      </c>
    </row>
    <row r="313" spans="1:19" ht="18">
      <c r="A313" s="49">
        <v>2331</v>
      </c>
      <c r="B313" s="49" t="s">
        <v>543</v>
      </c>
      <c r="C313" s="49">
        <v>0</v>
      </c>
      <c r="D313" s="49">
        <v>7.33</v>
      </c>
      <c r="E313" s="49">
        <v>24.21</v>
      </c>
      <c r="F313" s="49">
        <v>49.13</v>
      </c>
      <c r="G313" s="49">
        <v>0</v>
      </c>
      <c r="H313" s="49">
        <v>20.91</v>
      </c>
      <c r="I313" s="49">
        <v>11</v>
      </c>
      <c r="J313" s="49">
        <v>3.99</v>
      </c>
      <c r="K313" s="49">
        <v>8.1999999999999993</v>
      </c>
      <c r="L313" s="49">
        <v>0</v>
      </c>
      <c r="M313" s="49">
        <v>15.39</v>
      </c>
      <c r="N313" s="49">
        <v>0</v>
      </c>
      <c r="O313" s="49">
        <v>274</v>
      </c>
      <c r="P313" s="49">
        <v>68.290000000000006</v>
      </c>
      <c r="Q313" s="49">
        <v>0</v>
      </c>
      <c r="R313" s="49">
        <v>10.96</v>
      </c>
      <c r="S313" s="49">
        <v>26.47</v>
      </c>
    </row>
    <row r="314" spans="1:19" ht="18">
      <c r="A314" s="49">
        <v>2332</v>
      </c>
      <c r="B314" s="49" t="s">
        <v>544</v>
      </c>
      <c r="C314" s="49">
        <v>11.04</v>
      </c>
      <c r="D314" s="49">
        <v>7.29</v>
      </c>
      <c r="E314" s="49">
        <v>116.21</v>
      </c>
      <c r="F314" s="49">
        <v>16.22</v>
      </c>
      <c r="G314" s="49">
        <v>11.69</v>
      </c>
      <c r="H314" s="49">
        <v>16.239999999999998</v>
      </c>
      <c r="I314" s="49">
        <v>18.05</v>
      </c>
      <c r="J314" s="49">
        <v>36.47</v>
      </c>
      <c r="K314" s="49">
        <v>0</v>
      </c>
      <c r="L314" s="49">
        <v>0</v>
      </c>
      <c r="M314" s="49">
        <v>0</v>
      </c>
      <c r="N314" s="49">
        <v>200.83</v>
      </c>
      <c r="O314" s="49">
        <v>0</v>
      </c>
      <c r="P314" s="49">
        <v>86.97</v>
      </c>
      <c r="Q314" s="49">
        <v>14.18</v>
      </c>
      <c r="R314" s="49">
        <v>35.36</v>
      </c>
      <c r="S314" s="49">
        <v>14.46</v>
      </c>
    </row>
    <row r="315" spans="1:19" ht="18">
      <c r="A315" s="49">
        <v>2337</v>
      </c>
      <c r="B315" s="49" t="s">
        <v>545</v>
      </c>
      <c r="C315" s="49">
        <v>9.58</v>
      </c>
      <c r="D315" s="49">
        <v>5.47</v>
      </c>
      <c r="E315" s="49">
        <v>12.8</v>
      </c>
      <c r="F315" s="49">
        <v>8.06</v>
      </c>
      <c r="G315" s="49">
        <v>13.44</v>
      </c>
      <c r="H315" s="49">
        <v>0</v>
      </c>
      <c r="I315" s="49">
        <v>0</v>
      </c>
      <c r="J315" s="49">
        <v>0</v>
      </c>
      <c r="K315" s="49">
        <v>0</v>
      </c>
      <c r="L315" s="49">
        <v>0</v>
      </c>
      <c r="M315" s="49">
        <v>21.88</v>
      </c>
      <c r="N315" s="49">
        <v>3.88</v>
      </c>
      <c r="O315" s="49">
        <v>13.33</v>
      </c>
      <c r="P315" s="49">
        <v>15.9</v>
      </c>
      <c r="Q315" s="49">
        <v>8.31</v>
      </c>
      <c r="R315" s="49">
        <v>5.19</v>
      </c>
      <c r="S315" s="49">
        <v>0</v>
      </c>
    </row>
    <row r="316" spans="1:19" ht="18">
      <c r="A316" s="49">
        <v>2338</v>
      </c>
      <c r="B316" s="49" t="s">
        <v>546</v>
      </c>
      <c r="C316" s="49">
        <v>7.53</v>
      </c>
      <c r="D316" s="49">
        <v>8.5299999999999994</v>
      </c>
      <c r="E316" s="49">
        <v>0</v>
      </c>
      <c r="F316" s="49">
        <v>13.57</v>
      </c>
      <c r="G316" s="49">
        <v>17.149999999999999</v>
      </c>
      <c r="H316" s="49">
        <v>30.76</v>
      </c>
      <c r="I316" s="49">
        <v>170</v>
      </c>
      <c r="J316" s="49">
        <v>32.9</v>
      </c>
      <c r="K316" s="49">
        <v>0</v>
      </c>
      <c r="L316" s="49">
        <v>0</v>
      </c>
      <c r="M316" s="49">
        <v>0</v>
      </c>
      <c r="N316" s="49">
        <v>22.65</v>
      </c>
      <c r="O316" s="49">
        <v>23.92</v>
      </c>
      <c r="P316" s="49">
        <v>26.72</v>
      </c>
      <c r="Q316" s="49">
        <v>16.46</v>
      </c>
      <c r="R316" s="49">
        <v>59.65</v>
      </c>
      <c r="S316" s="49">
        <v>16.77</v>
      </c>
    </row>
    <row r="317" spans="1:19" ht="18">
      <c r="A317" s="49">
        <v>2340</v>
      </c>
      <c r="B317" s="49" t="s">
        <v>547</v>
      </c>
      <c r="C317" s="49">
        <v>0</v>
      </c>
      <c r="D317" s="49">
        <v>11.51</v>
      </c>
      <c r="E317" s="49">
        <v>286</v>
      </c>
      <c r="F317" s="49">
        <v>15.88</v>
      </c>
      <c r="G317" s="49">
        <v>10.56</v>
      </c>
      <c r="H317" s="49">
        <v>19.21</v>
      </c>
      <c r="I317" s="49">
        <v>18.14</v>
      </c>
      <c r="J317" s="49">
        <v>13.96</v>
      </c>
      <c r="K317" s="49">
        <v>9.9499999999999993</v>
      </c>
      <c r="L317" s="49">
        <v>9.06</v>
      </c>
      <c r="M317" s="49">
        <v>13.13</v>
      </c>
      <c r="N317" s="49">
        <v>13.15</v>
      </c>
      <c r="O317" s="49">
        <v>15.51</v>
      </c>
      <c r="P317" s="49">
        <v>21.15</v>
      </c>
      <c r="Q317" s="49">
        <v>36.46</v>
      </c>
      <c r="R317" s="49">
        <v>27.66</v>
      </c>
      <c r="S317" s="49">
        <v>68.260000000000005</v>
      </c>
    </row>
    <row r="318" spans="1:19" ht="18">
      <c r="A318" s="49">
        <v>2342</v>
      </c>
      <c r="B318" s="49" t="s">
        <v>548</v>
      </c>
      <c r="C318" s="49">
        <v>20.57</v>
      </c>
      <c r="D318" s="49">
        <v>0</v>
      </c>
      <c r="E318" s="49">
        <v>0</v>
      </c>
      <c r="F318" s="49">
        <v>17.5</v>
      </c>
      <c r="G318" s="49">
        <v>0</v>
      </c>
      <c r="H318" s="49">
        <v>0</v>
      </c>
      <c r="I318" s="49">
        <v>0</v>
      </c>
      <c r="J318" s="49">
        <v>0</v>
      </c>
      <c r="K318" s="49">
        <v>0</v>
      </c>
      <c r="L318" s="49">
        <v>0</v>
      </c>
      <c r="M318" s="49">
        <v>0</v>
      </c>
      <c r="N318" s="49">
        <v>15.39</v>
      </c>
      <c r="O318" s="49">
        <v>0</v>
      </c>
      <c r="P318" s="49">
        <v>0</v>
      </c>
      <c r="Q318" s="49">
        <v>24.22</v>
      </c>
      <c r="R318" s="49">
        <v>9.9499999999999993</v>
      </c>
      <c r="S318" s="49">
        <v>0</v>
      </c>
    </row>
    <row r="319" spans="1:19" ht="18">
      <c r="A319" s="49">
        <v>2344</v>
      </c>
      <c r="B319" s="49" t="s">
        <v>549</v>
      </c>
      <c r="C319" s="49">
        <v>899</v>
      </c>
      <c r="D319" s="49">
        <v>0</v>
      </c>
      <c r="E319" s="49">
        <v>0</v>
      </c>
      <c r="F319" s="49">
        <v>8.1199999999999992</v>
      </c>
      <c r="G319" s="49">
        <v>42</v>
      </c>
      <c r="H319" s="49">
        <v>0</v>
      </c>
      <c r="I319" s="49">
        <v>0</v>
      </c>
      <c r="J319" s="49">
        <v>19.38</v>
      </c>
      <c r="K319" s="49">
        <v>8.0500000000000007</v>
      </c>
      <c r="L319" s="49">
        <v>12.31</v>
      </c>
      <c r="M319" s="49">
        <v>18.32</v>
      </c>
      <c r="N319" s="49">
        <v>6.45</v>
      </c>
      <c r="O319" s="49">
        <v>33.14</v>
      </c>
      <c r="P319" s="49">
        <v>152.88999999999999</v>
      </c>
      <c r="Q319" s="49">
        <v>13.88</v>
      </c>
      <c r="R319" s="49">
        <v>4.7</v>
      </c>
      <c r="S319" s="49">
        <v>0</v>
      </c>
    </row>
    <row r="320" spans="1:19" ht="18">
      <c r="A320" s="49">
        <v>2345</v>
      </c>
      <c r="B320" s="49" t="s">
        <v>550</v>
      </c>
      <c r="C320" s="49">
        <v>58.62</v>
      </c>
      <c r="D320" s="49">
        <v>21.24</v>
      </c>
      <c r="E320" s="49">
        <v>36.159999999999997</v>
      </c>
      <c r="F320" s="49">
        <v>8.06</v>
      </c>
      <c r="G320" s="49">
        <v>10.58</v>
      </c>
      <c r="H320" s="49">
        <v>8.64</v>
      </c>
      <c r="I320" s="49">
        <v>13.82</v>
      </c>
      <c r="J320" s="49">
        <v>15.09</v>
      </c>
      <c r="K320" s="49">
        <v>17.95</v>
      </c>
      <c r="L320" s="49">
        <v>15.24</v>
      </c>
      <c r="M320" s="49">
        <v>23.66</v>
      </c>
      <c r="N320" s="49">
        <v>19.72</v>
      </c>
      <c r="O320" s="49">
        <v>20</v>
      </c>
      <c r="P320" s="49">
        <v>36.96</v>
      </c>
      <c r="Q320" s="49">
        <v>31.94</v>
      </c>
      <c r="R320" s="49">
        <v>17.809999999999999</v>
      </c>
      <c r="S320" s="49">
        <v>32.380000000000003</v>
      </c>
    </row>
    <row r="321" spans="1:19" ht="18">
      <c r="A321" s="49">
        <v>2347</v>
      </c>
      <c r="B321" s="49" t="s">
        <v>551</v>
      </c>
      <c r="C321" s="49">
        <v>22.38</v>
      </c>
      <c r="D321" s="49">
        <v>12.19</v>
      </c>
      <c r="E321" s="49">
        <v>22.42</v>
      </c>
      <c r="F321" s="49">
        <v>21.39</v>
      </c>
      <c r="G321" s="49">
        <v>16.579999999999998</v>
      </c>
      <c r="H321" s="49">
        <v>14.15</v>
      </c>
      <c r="I321" s="49">
        <v>14.12</v>
      </c>
      <c r="J321" s="49">
        <v>14.68</v>
      </c>
      <c r="K321" s="49">
        <v>12.28</v>
      </c>
      <c r="L321" s="49">
        <v>13.66</v>
      </c>
      <c r="M321" s="49">
        <v>11.93</v>
      </c>
      <c r="N321" s="49">
        <v>8.6300000000000008</v>
      </c>
      <c r="O321" s="49">
        <v>10.050000000000001</v>
      </c>
      <c r="P321" s="49">
        <v>10.28</v>
      </c>
      <c r="Q321" s="49">
        <v>6.61</v>
      </c>
      <c r="R321" s="49">
        <v>6.05</v>
      </c>
      <c r="S321" s="49">
        <v>15.43</v>
      </c>
    </row>
    <row r="322" spans="1:19" ht="18">
      <c r="A322" s="49">
        <v>2348</v>
      </c>
      <c r="B322" s="49" t="s">
        <v>552</v>
      </c>
      <c r="C322" s="49">
        <v>13.63</v>
      </c>
      <c r="D322" s="49">
        <v>0</v>
      </c>
      <c r="E322" s="49">
        <v>0</v>
      </c>
      <c r="F322" s="49">
        <v>0</v>
      </c>
      <c r="G322" s="49">
        <v>10.25</v>
      </c>
      <c r="H322" s="49">
        <v>0</v>
      </c>
      <c r="I322" s="49">
        <v>26.16</v>
      </c>
      <c r="J322" s="49">
        <v>6.24</v>
      </c>
      <c r="K322" s="49">
        <v>46.93</v>
      </c>
      <c r="L322" s="49">
        <v>132.13999999999999</v>
      </c>
      <c r="M322" s="49">
        <v>19.78</v>
      </c>
      <c r="N322" s="49">
        <v>9.32</v>
      </c>
      <c r="O322" s="49">
        <v>10.75</v>
      </c>
      <c r="P322" s="49">
        <v>7.71</v>
      </c>
      <c r="Q322" s="49">
        <v>8.69</v>
      </c>
      <c r="R322" s="49">
        <v>8.1</v>
      </c>
      <c r="S322" s="49">
        <v>13.07</v>
      </c>
    </row>
    <row r="323" spans="1:19" ht="18">
      <c r="A323" s="49">
        <v>2349</v>
      </c>
      <c r="B323" s="49" t="s">
        <v>553</v>
      </c>
      <c r="C323" s="49">
        <v>0</v>
      </c>
      <c r="D323" s="49">
        <v>0</v>
      </c>
      <c r="E323" s="49">
        <v>0</v>
      </c>
      <c r="F323" s="49">
        <v>0</v>
      </c>
      <c r="G323" s="49">
        <v>0</v>
      </c>
      <c r="H323" s="49">
        <v>0</v>
      </c>
      <c r="I323" s="49">
        <v>0</v>
      </c>
      <c r="J323" s="49">
        <v>0</v>
      </c>
      <c r="K323" s="49">
        <v>0</v>
      </c>
      <c r="L323" s="49">
        <v>0</v>
      </c>
      <c r="M323" s="49">
        <v>0</v>
      </c>
      <c r="N323" s="49">
        <v>0</v>
      </c>
      <c r="O323" s="49">
        <v>0</v>
      </c>
      <c r="P323" s="49">
        <v>0</v>
      </c>
      <c r="Q323" s="49">
        <v>0</v>
      </c>
      <c r="R323" s="49">
        <v>0</v>
      </c>
      <c r="S323" s="49">
        <v>0</v>
      </c>
    </row>
    <row r="324" spans="1:19" ht="18">
      <c r="A324" s="49">
        <v>2351</v>
      </c>
      <c r="B324" s="49" t="s">
        <v>554</v>
      </c>
      <c r="C324" s="49">
        <v>8.89</v>
      </c>
      <c r="D324" s="49">
        <v>5</v>
      </c>
      <c r="E324" s="49">
        <v>754.17</v>
      </c>
      <c r="F324" s="49">
        <v>10.28</v>
      </c>
      <c r="G324" s="49">
        <v>10.43</v>
      </c>
      <c r="H324" s="49">
        <v>15.97</v>
      </c>
      <c r="I324" s="49">
        <v>19.18</v>
      </c>
      <c r="J324" s="49">
        <v>11.3</v>
      </c>
      <c r="K324" s="49">
        <v>7.51</v>
      </c>
      <c r="L324" s="49">
        <v>11.95</v>
      </c>
      <c r="M324" s="49">
        <v>20.85</v>
      </c>
      <c r="N324" s="49">
        <v>15.8</v>
      </c>
      <c r="O324" s="49">
        <v>18.440000000000001</v>
      </c>
      <c r="P324" s="49">
        <v>67.260000000000005</v>
      </c>
      <c r="Q324" s="49">
        <v>40.72</v>
      </c>
      <c r="R324" s="49">
        <v>17.66</v>
      </c>
      <c r="S324" s="49">
        <v>26.33</v>
      </c>
    </row>
    <row r="325" spans="1:19" ht="18">
      <c r="A325" s="49">
        <v>2352</v>
      </c>
      <c r="B325" s="49" t="s">
        <v>555</v>
      </c>
      <c r="C325" s="49">
        <v>0</v>
      </c>
      <c r="D325" s="49">
        <v>3.49</v>
      </c>
      <c r="E325" s="49">
        <v>0</v>
      </c>
      <c r="F325" s="49">
        <v>12.76</v>
      </c>
      <c r="G325" s="49">
        <v>0</v>
      </c>
      <c r="H325" s="49">
        <v>0</v>
      </c>
      <c r="I325" s="49">
        <v>0</v>
      </c>
      <c r="J325" s="49">
        <v>10.25</v>
      </c>
      <c r="K325" s="49">
        <v>7.88</v>
      </c>
      <c r="L325" s="49">
        <v>9.9</v>
      </c>
      <c r="M325" s="49">
        <v>7.61</v>
      </c>
      <c r="N325" s="49">
        <v>8.7899999999999991</v>
      </c>
      <c r="O325" s="49">
        <v>10.54</v>
      </c>
      <c r="P325" s="49">
        <v>14.77</v>
      </c>
      <c r="Q325" s="49">
        <v>6.61</v>
      </c>
      <c r="R325" s="49">
        <v>6.24</v>
      </c>
      <c r="S325" s="49">
        <v>32.21</v>
      </c>
    </row>
    <row r="326" spans="1:19" ht="18">
      <c r="A326" s="49">
        <v>2353</v>
      </c>
      <c r="B326" s="49" t="s">
        <v>556</v>
      </c>
      <c r="C326" s="49">
        <v>12.91</v>
      </c>
      <c r="D326" s="49">
        <v>9.93</v>
      </c>
      <c r="E326" s="49">
        <v>24.23</v>
      </c>
      <c r="F326" s="49">
        <v>16.47</v>
      </c>
      <c r="G326" s="49">
        <v>0</v>
      </c>
      <c r="H326" s="49">
        <v>132.63</v>
      </c>
      <c r="I326" s="49">
        <v>0</v>
      </c>
      <c r="J326" s="49">
        <v>0</v>
      </c>
      <c r="K326" s="49">
        <v>35.590000000000003</v>
      </c>
      <c r="L326" s="49">
        <v>37.43</v>
      </c>
      <c r="M326" s="49">
        <v>0</v>
      </c>
      <c r="N326" s="49">
        <v>16.48</v>
      </c>
      <c r="O326" s="49">
        <v>18.989999999999998</v>
      </c>
      <c r="P326" s="49">
        <v>16.2</v>
      </c>
      <c r="Q326" s="49">
        <v>8.58</v>
      </c>
      <c r="R326" s="49">
        <v>8.75</v>
      </c>
      <c r="S326" s="49">
        <v>52.23</v>
      </c>
    </row>
    <row r="327" spans="1:19" ht="18">
      <c r="A327" s="49">
        <v>2354</v>
      </c>
      <c r="B327" s="49" t="s">
        <v>557</v>
      </c>
      <c r="C327" s="49">
        <v>23.81</v>
      </c>
      <c r="D327" s="49">
        <v>9</v>
      </c>
      <c r="E327" s="49">
        <v>22.71</v>
      </c>
      <c r="F327" s="49">
        <v>17.670000000000002</v>
      </c>
      <c r="G327" s="49">
        <v>13.38</v>
      </c>
      <c r="H327" s="49">
        <v>15.73</v>
      </c>
      <c r="I327" s="49">
        <v>11.94</v>
      </c>
      <c r="J327" s="49">
        <v>16.25</v>
      </c>
      <c r="K327" s="49">
        <v>7</v>
      </c>
      <c r="L327" s="49">
        <v>10.24</v>
      </c>
      <c r="M327" s="49">
        <v>15.6</v>
      </c>
      <c r="N327" s="49">
        <v>8.5500000000000007</v>
      </c>
      <c r="O327" s="49">
        <v>10.33</v>
      </c>
      <c r="P327" s="49">
        <v>13.91</v>
      </c>
      <c r="Q327" s="49">
        <v>19.37</v>
      </c>
      <c r="R327" s="49">
        <v>17.13</v>
      </c>
      <c r="S327" s="49">
        <v>18.63</v>
      </c>
    </row>
    <row r="328" spans="1:19" ht="18">
      <c r="A328" s="49">
        <v>2355</v>
      </c>
      <c r="B328" s="49" t="s">
        <v>558</v>
      </c>
      <c r="C328" s="49">
        <v>6.64</v>
      </c>
      <c r="D328" s="49">
        <v>4.8899999999999997</v>
      </c>
      <c r="E328" s="49">
        <v>14.77</v>
      </c>
      <c r="F328" s="49">
        <v>8.51</v>
      </c>
      <c r="G328" s="49">
        <v>8.85</v>
      </c>
      <c r="H328" s="49">
        <v>7.58</v>
      </c>
      <c r="I328" s="49">
        <v>12.21</v>
      </c>
      <c r="J328" s="49">
        <v>11.96</v>
      </c>
      <c r="K328" s="49">
        <v>11.11</v>
      </c>
      <c r="L328" s="49">
        <v>9.92</v>
      </c>
      <c r="M328" s="49">
        <v>12</v>
      </c>
      <c r="N328" s="49">
        <v>60.08</v>
      </c>
      <c r="O328" s="49">
        <v>19.84</v>
      </c>
      <c r="P328" s="49">
        <v>96.06</v>
      </c>
      <c r="Q328" s="49">
        <v>32.19</v>
      </c>
      <c r="R328" s="49">
        <v>36.39</v>
      </c>
      <c r="S328" s="49">
        <v>27.34</v>
      </c>
    </row>
    <row r="329" spans="1:19" ht="18">
      <c r="A329" s="49">
        <v>2356</v>
      </c>
      <c r="B329" s="49" t="s">
        <v>559</v>
      </c>
      <c r="C329" s="49">
        <v>8.4700000000000006</v>
      </c>
      <c r="D329" s="49">
        <v>4.1900000000000004</v>
      </c>
      <c r="E329" s="49">
        <v>11.1</v>
      </c>
      <c r="F329" s="49">
        <v>11.38</v>
      </c>
      <c r="G329" s="49">
        <v>20.18</v>
      </c>
      <c r="H329" s="49">
        <v>11.38</v>
      </c>
      <c r="I329" s="49">
        <v>15.97</v>
      </c>
      <c r="J329" s="49">
        <v>10.95</v>
      </c>
      <c r="K329" s="49">
        <v>11.97</v>
      </c>
      <c r="L329" s="49">
        <v>16.37</v>
      </c>
      <c r="M329" s="49">
        <v>12.7</v>
      </c>
      <c r="N329" s="49">
        <v>11.42</v>
      </c>
      <c r="O329" s="49">
        <v>14.74</v>
      </c>
      <c r="P329" s="49">
        <v>10.76</v>
      </c>
      <c r="Q329" s="49">
        <v>14.94</v>
      </c>
      <c r="R329" s="49">
        <v>15.17</v>
      </c>
      <c r="S329" s="49">
        <v>34.29</v>
      </c>
    </row>
    <row r="330" spans="1:19" ht="18">
      <c r="A330" s="49">
        <v>2357</v>
      </c>
      <c r="B330" s="49" t="s">
        <v>560</v>
      </c>
      <c r="C330" s="49">
        <v>13.38</v>
      </c>
      <c r="D330" s="49">
        <v>6.04</v>
      </c>
      <c r="E330" s="49">
        <v>65.05</v>
      </c>
      <c r="F330" s="49">
        <v>9.58</v>
      </c>
      <c r="G330" s="49">
        <v>10.32</v>
      </c>
      <c r="H330" s="49">
        <v>11.48</v>
      </c>
      <c r="I330" s="49">
        <v>9.1999999999999993</v>
      </c>
      <c r="J330" s="49">
        <v>12.46</v>
      </c>
      <c r="K330" s="49">
        <v>11.84</v>
      </c>
      <c r="L330" s="49">
        <v>10.47</v>
      </c>
      <c r="M330" s="49">
        <v>12.63</v>
      </c>
      <c r="N330" s="49">
        <v>13.49</v>
      </c>
      <c r="O330" s="49">
        <v>25.75</v>
      </c>
      <c r="P330" s="49">
        <v>9.6199999999999992</v>
      </c>
      <c r="Q330" s="49">
        <v>6.6</v>
      </c>
      <c r="R330" s="49">
        <v>6.52</v>
      </c>
      <c r="S330" s="49">
        <v>44.46</v>
      </c>
    </row>
    <row r="331" spans="1:19" ht="18">
      <c r="A331" s="49">
        <v>2358</v>
      </c>
      <c r="B331" s="49" t="s">
        <v>561</v>
      </c>
      <c r="C331" s="49">
        <v>720</v>
      </c>
      <c r="D331" s="49">
        <v>7.74</v>
      </c>
      <c r="E331" s="49">
        <v>63.45</v>
      </c>
      <c r="F331" s="49">
        <v>6.73</v>
      </c>
      <c r="G331" s="49">
        <v>0</v>
      </c>
      <c r="H331" s="49">
        <v>0</v>
      </c>
      <c r="I331" s="49">
        <v>0</v>
      </c>
      <c r="J331" s="49">
        <v>0</v>
      </c>
      <c r="K331" s="49">
        <v>0</v>
      </c>
      <c r="L331" s="49">
        <v>0</v>
      </c>
      <c r="M331" s="49">
        <v>0</v>
      </c>
      <c r="N331" s="49">
        <v>33.450000000000003</v>
      </c>
      <c r="O331" s="49">
        <v>54.35</v>
      </c>
      <c r="P331" s="49">
        <v>188.75</v>
      </c>
      <c r="Q331" s="49">
        <v>33.409999999999997</v>
      </c>
      <c r="R331" s="49">
        <v>19.79</v>
      </c>
      <c r="S331" s="49">
        <v>0</v>
      </c>
    </row>
    <row r="332" spans="1:19" ht="18">
      <c r="A332" s="49">
        <v>2359</v>
      </c>
      <c r="B332" s="49" t="s">
        <v>562</v>
      </c>
      <c r="C332" s="49">
        <v>5.38</v>
      </c>
      <c r="D332" s="49">
        <v>6.26</v>
      </c>
      <c r="E332" s="49">
        <v>0</v>
      </c>
      <c r="F332" s="49">
        <v>12.1</v>
      </c>
      <c r="G332" s="49">
        <v>47.38</v>
      </c>
      <c r="H332" s="49">
        <v>14.94</v>
      </c>
      <c r="I332" s="49">
        <v>0</v>
      </c>
      <c r="J332" s="49">
        <v>13.38</v>
      </c>
      <c r="K332" s="49">
        <v>8.69</v>
      </c>
      <c r="L332" s="49">
        <v>10.34</v>
      </c>
      <c r="M332" s="49">
        <v>25.44</v>
      </c>
      <c r="N332" s="49">
        <v>22.13</v>
      </c>
      <c r="O332" s="49">
        <v>9.69</v>
      </c>
      <c r="P332" s="49">
        <v>34.29</v>
      </c>
      <c r="Q332" s="49">
        <v>48.78</v>
      </c>
      <c r="R332" s="49">
        <v>8.08</v>
      </c>
      <c r="S332" s="49">
        <v>12.57</v>
      </c>
    </row>
    <row r="333" spans="1:19" ht="18">
      <c r="A333" s="49">
        <v>2360</v>
      </c>
      <c r="B333" s="49" t="s">
        <v>563</v>
      </c>
      <c r="C333" s="49">
        <v>14.02</v>
      </c>
      <c r="D333" s="49">
        <v>4.83</v>
      </c>
      <c r="E333" s="49">
        <v>47.21</v>
      </c>
      <c r="F333" s="49">
        <v>16.91</v>
      </c>
      <c r="G333" s="49">
        <v>13.66</v>
      </c>
      <c r="H333" s="49">
        <v>26.09</v>
      </c>
      <c r="I333" s="49">
        <v>21.19</v>
      </c>
      <c r="J333" s="49">
        <v>24.15</v>
      </c>
      <c r="K333" s="49">
        <v>18.47</v>
      </c>
      <c r="L333" s="49">
        <v>18.3</v>
      </c>
      <c r="M333" s="49">
        <v>32.14</v>
      </c>
      <c r="N333" s="49">
        <v>16.55</v>
      </c>
      <c r="O333" s="49">
        <v>35.020000000000003</v>
      </c>
      <c r="P333" s="49">
        <v>31.46</v>
      </c>
      <c r="Q333" s="49">
        <v>19.96</v>
      </c>
      <c r="R333" s="49">
        <v>15.66</v>
      </c>
      <c r="S333" s="49">
        <v>22.33</v>
      </c>
    </row>
    <row r="334" spans="1:19" ht="18">
      <c r="A334" s="49">
        <v>2362</v>
      </c>
      <c r="B334" s="49" t="s">
        <v>564</v>
      </c>
      <c r="C334" s="49">
        <v>19.3</v>
      </c>
      <c r="D334" s="49">
        <v>29.94</v>
      </c>
      <c r="E334" s="49">
        <v>31.14</v>
      </c>
      <c r="F334" s="49">
        <v>71.05</v>
      </c>
      <c r="G334" s="49">
        <v>23.95</v>
      </c>
      <c r="H334" s="49">
        <v>22.24</v>
      </c>
      <c r="I334" s="49">
        <v>14.09</v>
      </c>
      <c r="J334" s="49">
        <v>16.34</v>
      </c>
      <c r="K334" s="49">
        <v>12.72</v>
      </c>
      <c r="L334" s="49">
        <v>32.71</v>
      </c>
      <c r="M334" s="49">
        <v>25</v>
      </c>
      <c r="N334" s="49">
        <v>11.58</v>
      </c>
      <c r="O334" s="49">
        <v>17.690000000000001</v>
      </c>
      <c r="P334" s="49">
        <v>111.48</v>
      </c>
      <c r="Q334" s="49">
        <v>12.64</v>
      </c>
      <c r="R334" s="49">
        <v>14.1</v>
      </c>
      <c r="S334" s="49">
        <v>23.94</v>
      </c>
    </row>
    <row r="335" spans="1:19" ht="18">
      <c r="A335" s="49">
        <v>2363</v>
      </c>
      <c r="B335" s="49" t="s">
        <v>565</v>
      </c>
      <c r="C335" s="49">
        <v>0</v>
      </c>
      <c r="D335" s="49">
        <v>0</v>
      </c>
      <c r="E335" s="49">
        <v>0</v>
      </c>
      <c r="F335" s="49">
        <v>40</v>
      </c>
      <c r="G335" s="49">
        <v>0</v>
      </c>
      <c r="H335" s="49">
        <v>0</v>
      </c>
      <c r="I335" s="49">
        <v>0</v>
      </c>
      <c r="J335" s="49">
        <v>0</v>
      </c>
      <c r="K335" s="49">
        <v>0</v>
      </c>
      <c r="L335" s="49">
        <v>649</v>
      </c>
      <c r="M335" s="49">
        <v>0</v>
      </c>
      <c r="N335" s="49">
        <v>0</v>
      </c>
      <c r="O335" s="49">
        <v>0</v>
      </c>
      <c r="P335" s="49">
        <v>0</v>
      </c>
      <c r="Q335" s="49">
        <v>146.11000000000001</v>
      </c>
      <c r="R335" s="49">
        <v>23.55</v>
      </c>
      <c r="S335" s="49">
        <v>58.46</v>
      </c>
    </row>
    <row r="336" spans="1:19" ht="18">
      <c r="A336" s="49">
        <v>2364</v>
      </c>
      <c r="B336" s="49" t="s">
        <v>566</v>
      </c>
      <c r="C336" s="49">
        <v>0</v>
      </c>
      <c r="D336" s="49">
        <v>0</v>
      </c>
      <c r="E336" s="49">
        <v>0</v>
      </c>
      <c r="F336" s="49">
        <v>0</v>
      </c>
      <c r="G336" s="49">
        <v>0</v>
      </c>
      <c r="H336" s="49">
        <v>0</v>
      </c>
      <c r="I336" s="49">
        <v>0</v>
      </c>
      <c r="J336" s="49">
        <v>0</v>
      </c>
      <c r="K336" s="49">
        <v>0</v>
      </c>
      <c r="L336" s="49">
        <v>0</v>
      </c>
      <c r="M336" s="49">
        <v>0</v>
      </c>
      <c r="N336" s="49">
        <v>0</v>
      </c>
      <c r="O336" s="49">
        <v>0</v>
      </c>
      <c r="P336" s="49">
        <v>115</v>
      </c>
      <c r="Q336" s="49">
        <v>14.06</v>
      </c>
      <c r="R336" s="49">
        <v>31.86</v>
      </c>
      <c r="S336" s="49">
        <v>27.75</v>
      </c>
    </row>
    <row r="337" spans="1:19" ht="18">
      <c r="A337" s="49">
        <v>2365</v>
      </c>
      <c r="B337" s="49" t="s">
        <v>567</v>
      </c>
      <c r="C337" s="49">
        <v>11.11</v>
      </c>
      <c r="D337" s="49">
        <v>3.97</v>
      </c>
      <c r="E337" s="49">
        <v>16.920000000000002</v>
      </c>
      <c r="F337" s="49">
        <v>13.41</v>
      </c>
      <c r="G337" s="49">
        <v>23.4</v>
      </c>
      <c r="H337" s="49">
        <v>27.74</v>
      </c>
      <c r="I337" s="49">
        <v>61</v>
      </c>
      <c r="J337" s="49">
        <v>303.75</v>
      </c>
      <c r="K337" s="49">
        <v>20.57</v>
      </c>
      <c r="L337" s="49">
        <v>0</v>
      </c>
      <c r="M337" s="49">
        <v>0</v>
      </c>
      <c r="N337" s="49">
        <v>18.12</v>
      </c>
      <c r="O337" s="49">
        <v>107</v>
      </c>
      <c r="P337" s="49">
        <v>11.59</v>
      </c>
      <c r="Q337" s="49">
        <v>40.630000000000003</v>
      </c>
      <c r="R337" s="49">
        <v>29.71</v>
      </c>
      <c r="S337" s="49">
        <v>48.71</v>
      </c>
    </row>
    <row r="338" spans="1:19" ht="18">
      <c r="A338" s="49">
        <v>2367</v>
      </c>
      <c r="B338" s="49" t="s">
        <v>568</v>
      </c>
      <c r="C338" s="49">
        <v>6.98</v>
      </c>
      <c r="D338" s="49">
        <v>6.9</v>
      </c>
      <c r="E338" s="49">
        <v>0</v>
      </c>
      <c r="F338" s="49">
        <v>0</v>
      </c>
      <c r="G338" s="49">
        <v>9.92</v>
      </c>
      <c r="H338" s="49">
        <v>0</v>
      </c>
      <c r="I338" s="49">
        <v>0</v>
      </c>
      <c r="J338" s="49">
        <v>30.7</v>
      </c>
      <c r="K338" s="49">
        <v>10.74</v>
      </c>
      <c r="L338" s="49">
        <v>0</v>
      </c>
      <c r="M338" s="49">
        <v>46.4</v>
      </c>
      <c r="N338" s="49">
        <v>7.89</v>
      </c>
      <c r="O338" s="49">
        <v>12.56</v>
      </c>
      <c r="P338" s="49">
        <v>0</v>
      </c>
      <c r="Q338" s="49">
        <v>0</v>
      </c>
      <c r="R338" s="49">
        <v>36.700000000000003</v>
      </c>
      <c r="S338" s="49">
        <v>0</v>
      </c>
    </row>
    <row r="339" spans="1:19" ht="18">
      <c r="A339" s="49">
        <v>2368</v>
      </c>
      <c r="B339" s="49" t="s">
        <v>569</v>
      </c>
      <c r="C339" s="49">
        <v>11.61</v>
      </c>
      <c r="D339" s="49">
        <v>4.46</v>
      </c>
      <c r="E339" s="49">
        <v>0</v>
      </c>
      <c r="F339" s="49">
        <v>84.69</v>
      </c>
      <c r="G339" s="49">
        <v>0</v>
      </c>
      <c r="H339" s="49">
        <v>0</v>
      </c>
      <c r="I339" s="49">
        <v>0</v>
      </c>
      <c r="J339" s="49">
        <v>0</v>
      </c>
      <c r="K339" s="49">
        <v>9.67</v>
      </c>
      <c r="L339" s="49">
        <v>0</v>
      </c>
      <c r="M339" s="49">
        <v>0</v>
      </c>
      <c r="N339" s="49">
        <v>36.39</v>
      </c>
      <c r="O339" s="49">
        <v>0</v>
      </c>
      <c r="P339" s="49">
        <v>13.4</v>
      </c>
      <c r="Q339" s="49">
        <v>16.670000000000002</v>
      </c>
      <c r="R339" s="49">
        <v>9.5</v>
      </c>
      <c r="S339" s="49">
        <v>31.59</v>
      </c>
    </row>
    <row r="340" spans="1:19" ht="18">
      <c r="A340" s="49">
        <v>2369</v>
      </c>
      <c r="B340" s="49" t="s">
        <v>570</v>
      </c>
      <c r="C340" s="49">
        <v>19.489999999999998</v>
      </c>
      <c r="D340" s="49">
        <v>5.46</v>
      </c>
      <c r="E340" s="49">
        <v>68.7</v>
      </c>
      <c r="F340" s="49">
        <v>11.71</v>
      </c>
      <c r="G340" s="49">
        <v>9.6300000000000008</v>
      </c>
      <c r="H340" s="49">
        <v>16.47</v>
      </c>
      <c r="I340" s="49">
        <v>17.75</v>
      </c>
      <c r="J340" s="49">
        <v>21.47</v>
      </c>
      <c r="K340" s="49">
        <v>0</v>
      </c>
      <c r="L340" s="49">
        <v>25.76</v>
      </c>
      <c r="M340" s="49">
        <v>37.630000000000003</v>
      </c>
      <c r="N340" s="49">
        <v>0</v>
      </c>
      <c r="O340" s="49">
        <v>0</v>
      </c>
      <c r="P340" s="49">
        <v>0</v>
      </c>
      <c r="Q340" s="49">
        <v>19.100000000000001</v>
      </c>
      <c r="R340" s="49">
        <v>10.199999999999999</v>
      </c>
      <c r="S340" s="49">
        <v>0</v>
      </c>
    </row>
    <row r="341" spans="1:19" ht="18">
      <c r="A341" s="49">
        <v>2371</v>
      </c>
      <c r="B341" s="49" t="s">
        <v>571</v>
      </c>
      <c r="C341" s="49">
        <v>0</v>
      </c>
      <c r="D341" s="49">
        <v>55.36</v>
      </c>
      <c r="E341" s="49">
        <v>0</v>
      </c>
      <c r="F341" s="49">
        <v>0</v>
      </c>
      <c r="G341" s="49">
        <v>0</v>
      </c>
      <c r="H341" s="49">
        <v>18.79</v>
      </c>
      <c r="I341" s="49">
        <v>0</v>
      </c>
      <c r="J341" s="49">
        <v>16.57</v>
      </c>
      <c r="K341" s="49">
        <v>0</v>
      </c>
      <c r="L341" s="49">
        <v>0</v>
      </c>
      <c r="M341" s="49">
        <v>480</v>
      </c>
      <c r="N341" s="49">
        <v>0</v>
      </c>
      <c r="O341" s="49">
        <v>0</v>
      </c>
      <c r="P341" s="49">
        <v>33.06</v>
      </c>
      <c r="Q341" s="49">
        <v>407.5</v>
      </c>
      <c r="R341" s="49">
        <v>7.03</v>
      </c>
      <c r="S341" s="49">
        <v>51.22</v>
      </c>
    </row>
    <row r="342" spans="1:19" ht="18">
      <c r="A342" s="49">
        <v>2373</v>
      </c>
      <c r="B342" s="49" t="s">
        <v>572</v>
      </c>
      <c r="C342" s="49">
        <v>23.71</v>
      </c>
      <c r="D342" s="49">
        <v>15.38</v>
      </c>
      <c r="E342" s="49">
        <v>20.79</v>
      </c>
      <c r="F342" s="49">
        <v>24.89</v>
      </c>
      <c r="G342" s="49">
        <v>14.76</v>
      </c>
      <c r="H342" s="49">
        <v>14.08</v>
      </c>
      <c r="I342" s="49">
        <v>16.239999999999998</v>
      </c>
      <c r="J342" s="49">
        <v>14.49</v>
      </c>
      <c r="K342" s="49">
        <v>14.56</v>
      </c>
      <c r="L342" s="49">
        <v>13.65</v>
      </c>
      <c r="M342" s="49">
        <v>13.7</v>
      </c>
      <c r="N342" s="49">
        <v>11.63</v>
      </c>
      <c r="O342" s="49">
        <v>14.28</v>
      </c>
      <c r="P342" s="49">
        <v>14.5</v>
      </c>
      <c r="Q342" s="49">
        <v>14.16</v>
      </c>
      <c r="R342" s="49">
        <v>13.09</v>
      </c>
      <c r="S342" s="49">
        <v>14.34</v>
      </c>
    </row>
    <row r="343" spans="1:19" ht="18">
      <c r="A343" s="49">
        <v>2374</v>
      </c>
      <c r="B343" s="49" t="s">
        <v>573</v>
      </c>
      <c r="C343" s="49">
        <v>11.45</v>
      </c>
      <c r="D343" s="49">
        <v>5.01</v>
      </c>
      <c r="E343" s="49">
        <v>17.64</v>
      </c>
      <c r="F343" s="49">
        <v>8.19</v>
      </c>
      <c r="G343" s="49">
        <v>10.36</v>
      </c>
      <c r="H343" s="49">
        <v>8.8000000000000007</v>
      </c>
      <c r="I343" s="49">
        <v>13.62</v>
      </c>
      <c r="J343" s="49">
        <v>64.040000000000006</v>
      </c>
      <c r="K343" s="49">
        <v>8.86</v>
      </c>
      <c r="L343" s="49">
        <v>13.77</v>
      </c>
      <c r="M343" s="49">
        <v>15.92</v>
      </c>
      <c r="N343" s="49">
        <v>0</v>
      </c>
      <c r="O343" s="49">
        <v>0</v>
      </c>
      <c r="P343" s="49">
        <v>0</v>
      </c>
      <c r="Q343" s="49">
        <v>13.87</v>
      </c>
      <c r="R343" s="49">
        <v>34.409999999999997</v>
      </c>
      <c r="S343" s="49">
        <v>40.619999999999997</v>
      </c>
    </row>
    <row r="344" spans="1:19" ht="18">
      <c r="A344" s="49">
        <v>2375</v>
      </c>
      <c r="B344" s="49" t="s">
        <v>574</v>
      </c>
      <c r="C344" s="49">
        <v>0</v>
      </c>
      <c r="D344" s="49">
        <v>8.5</v>
      </c>
      <c r="E344" s="49">
        <v>0</v>
      </c>
      <c r="F344" s="49">
        <v>0</v>
      </c>
      <c r="G344" s="49">
        <v>0</v>
      </c>
      <c r="H344" s="49">
        <v>0</v>
      </c>
      <c r="I344" s="49">
        <v>12.77</v>
      </c>
      <c r="J344" s="49">
        <v>2.1</v>
      </c>
      <c r="K344" s="49">
        <v>16.87</v>
      </c>
      <c r="L344" s="49">
        <v>0</v>
      </c>
      <c r="M344" s="49">
        <v>21.06</v>
      </c>
      <c r="N344" s="49">
        <v>2.0699999999999998</v>
      </c>
      <c r="O344" s="49">
        <v>38.31</v>
      </c>
      <c r="P344" s="49">
        <v>22.45</v>
      </c>
      <c r="Q344" s="49">
        <v>12.07</v>
      </c>
      <c r="R344" s="49">
        <v>7.4</v>
      </c>
      <c r="S344" s="49">
        <v>22.67</v>
      </c>
    </row>
    <row r="345" spans="1:19" ht="18">
      <c r="A345" s="49">
        <v>2376</v>
      </c>
      <c r="B345" s="49" t="s">
        <v>575</v>
      </c>
      <c r="C345" s="49">
        <v>17.91</v>
      </c>
      <c r="D345" s="49">
        <v>5.88</v>
      </c>
      <c r="E345" s="49">
        <v>12.9</v>
      </c>
      <c r="F345" s="49">
        <v>8.4</v>
      </c>
      <c r="G345" s="49">
        <v>7.65</v>
      </c>
      <c r="H345" s="49">
        <v>11.11</v>
      </c>
      <c r="I345" s="49">
        <v>10.43</v>
      </c>
      <c r="J345" s="49">
        <v>10.08</v>
      </c>
      <c r="K345" s="49">
        <v>10.95</v>
      </c>
      <c r="L345" s="49">
        <v>12.9</v>
      </c>
      <c r="M345" s="49">
        <v>13.92</v>
      </c>
      <c r="N345" s="49">
        <v>7.81</v>
      </c>
      <c r="O345" s="49">
        <v>18.68</v>
      </c>
      <c r="P345" s="49">
        <v>13.51</v>
      </c>
      <c r="Q345" s="49">
        <v>9.16</v>
      </c>
      <c r="R345" s="49">
        <v>7.59</v>
      </c>
      <c r="S345" s="49">
        <v>35.9</v>
      </c>
    </row>
    <row r="346" spans="1:19" ht="18">
      <c r="A346" s="49">
        <v>2377</v>
      </c>
      <c r="B346" s="49" t="s">
        <v>576</v>
      </c>
      <c r="C346" s="49">
        <v>9.6999999999999993</v>
      </c>
      <c r="D346" s="49">
        <v>5.94</v>
      </c>
      <c r="E346" s="49">
        <v>57.03</v>
      </c>
      <c r="F346" s="49">
        <v>16.329999999999998</v>
      </c>
      <c r="G346" s="49">
        <v>0</v>
      </c>
      <c r="H346" s="49">
        <v>11.92</v>
      </c>
      <c r="I346" s="49">
        <v>13.99</v>
      </c>
      <c r="J346" s="49">
        <v>9.6300000000000008</v>
      </c>
      <c r="K346" s="49">
        <v>12.42</v>
      </c>
      <c r="L346" s="49">
        <v>13.07</v>
      </c>
      <c r="M346" s="49">
        <v>13.39</v>
      </c>
      <c r="N346" s="49">
        <v>9.6999999999999993</v>
      </c>
      <c r="O346" s="49">
        <v>14.8</v>
      </c>
      <c r="P346" s="49">
        <v>15.39</v>
      </c>
      <c r="Q346" s="49">
        <v>9.02</v>
      </c>
      <c r="R346" s="49">
        <v>7.59</v>
      </c>
      <c r="S346" s="49">
        <v>23.48</v>
      </c>
    </row>
    <row r="347" spans="1:19" ht="18">
      <c r="A347" s="49">
        <v>2379</v>
      </c>
      <c r="B347" s="49" t="s">
        <v>577</v>
      </c>
      <c r="C347" s="49">
        <v>14.96</v>
      </c>
      <c r="D347" s="49">
        <v>633</v>
      </c>
      <c r="E347" s="49">
        <v>28.99</v>
      </c>
      <c r="F347" s="49">
        <v>16.149999999999999</v>
      </c>
      <c r="G347" s="49">
        <v>16.55</v>
      </c>
      <c r="H347" s="49">
        <v>14.88</v>
      </c>
      <c r="I347" s="49">
        <v>14.34</v>
      </c>
      <c r="J347" s="49">
        <v>13.27</v>
      </c>
      <c r="K347" s="49">
        <v>17.57</v>
      </c>
      <c r="L347" s="49">
        <v>16.72</v>
      </c>
      <c r="M347" s="49">
        <v>16.850000000000001</v>
      </c>
      <c r="N347" s="49">
        <v>17.920000000000002</v>
      </c>
      <c r="O347" s="49">
        <v>19.12</v>
      </c>
      <c r="P347" s="49">
        <v>25.52</v>
      </c>
      <c r="Q347" s="49">
        <v>19.920000000000002</v>
      </c>
      <c r="R347" s="49">
        <v>7.72</v>
      </c>
      <c r="S347" s="49">
        <v>26.55</v>
      </c>
    </row>
    <row r="348" spans="1:19" ht="18">
      <c r="A348" s="49">
        <v>2380</v>
      </c>
      <c r="B348" s="49" t="s">
        <v>578</v>
      </c>
      <c r="C348" s="49">
        <v>10.65</v>
      </c>
      <c r="D348" s="49">
        <v>11.76</v>
      </c>
      <c r="E348" s="49">
        <v>177.78</v>
      </c>
      <c r="F348" s="49">
        <v>34.9</v>
      </c>
      <c r="G348" s="49">
        <v>38.57</v>
      </c>
      <c r="H348" s="49">
        <v>0</v>
      </c>
      <c r="I348" s="49">
        <v>0</v>
      </c>
      <c r="J348" s="49">
        <v>0</v>
      </c>
      <c r="K348" s="49">
        <v>0</v>
      </c>
      <c r="L348" s="49">
        <v>0</v>
      </c>
      <c r="M348" s="49">
        <v>0</v>
      </c>
      <c r="N348" s="49">
        <v>0</v>
      </c>
      <c r="O348" s="49">
        <v>0</v>
      </c>
      <c r="P348" s="49">
        <v>0</v>
      </c>
      <c r="Q348" s="49">
        <v>0</v>
      </c>
      <c r="R348" s="49">
        <v>0</v>
      </c>
      <c r="S348" s="49">
        <v>0</v>
      </c>
    </row>
    <row r="349" spans="1:19" ht="18">
      <c r="A349" s="49">
        <v>2382</v>
      </c>
      <c r="B349" s="49" t="s">
        <v>579</v>
      </c>
      <c r="C349" s="49">
        <v>9.3800000000000008</v>
      </c>
      <c r="D349" s="49">
        <v>5.8</v>
      </c>
      <c r="E349" s="49">
        <v>13.38</v>
      </c>
      <c r="F349" s="49">
        <v>10.119999999999999</v>
      </c>
      <c r="G349" s="49">
        <v>12.97</v>
      </c>
      <c r="H349" s="49">
        <v>10.91</v>
      </c>
      <c r="I349" s="49">
        <v>14.36</v>
      </c>
      <c r="J349" s="49">
        <v>16.100000000000001</v>
      </c>
      <c r="K349" s="49">
        <v>11.18</v>
      </c>
      <c r="L349" s="49">
        <v>14.5</v>
      </c>
      <c r="M349" s="49">
        <v>16.079999999999998</v>
      </c>
      <c r="N349" s="49">
        <v>13.94</v>
      </c>
      <c r="O349" s="49">
        <v>15.92</v>
      </c>
      <c r="P349" s="49">
        <v>14.71</v>
      </c>
      <c r="Q349" s="49">
        <v>11.06</v>
      </c>
      <c r="R349" s="49">
        <v>9.5299999999999994</v>
      </c>
      <c r="S349" s="49">
        <v>22.54</v>
      </c>
    </row>
    <row r="350" spans="1:19" ht="18">
      <c r="A350" s="49">
        <v>2383</v>
      </c>
      <c r="B350" s="49" t="s">
        <v>580</v>
      </c>
      <c r="C350" s="49">
        <v>9.3699999999999992</v>
      </c>
      <c r="D350" s="49">
        <v>3.92</v>
      </c>
      <c r="E350" s="49">
        <v>14.21</v>
      </c>
      <c r="F350" s="49">
        <v>8.0500000000000007</v>
      </c>
      <c r="G350" s="49">
        <v>5.68</v>
      </c>
      <c r="H350" s="49">
        <v>8.36</v>
      </c>
      <c r="I350" s="49">
        <v>8.77</v>
      </c>
      <c r="J350" s="49">
        <v>10.82</v>
      </c>
      <c r="K350" s="49">
        <v>7.83</v>
      </c>
      <c r="L350" s="49">
        <v>11.15</v>
      </c>
      <c r="M350" s="49">
        <v>10.75</v>
      </c>
      <c r="N350" s="49">
        <v>11.1</v>
      </c>
      <c r="O350" s="49">
        <v>17.3</v>
      </c>
      <c r="P350" s="49">
        <v>13.58</v>
      </c>
      <c r="Q350" s="49">
        <v>18.600000000000001</v>
      </c>
      <c r="R350" s="49">
        <v>10.94</v>
      </c>
      <c r="S350" s="49">
        <v>26.84</v>
      </c>
    </row>
    <row r="351" spans="1:19" ht="18">
      <c r="A351" s="49">
        <v>2385</v>
      </c>
      <c r="B351" s="49" t="s">
        <v>581</v>
      </c>
      <c r="C351" s="49">
        <v>12.58</v>
      </c>
      <c r="D351" s="49">
        <v>5.8</v>
      </c>
      <c r="E351" s="49">
        <v>15.04</v>
      </c>
      <c r="F351" s="49">
        <v>11.5</v>
      </c>
      <c r="G351" s="49">
        <v>7.12</v>
      </c>
      <c r="H351" s="49">
        <v>13.92</v>
      </c>
      <c r="I351" s="49">
        <v>12.08</v>
      </c>
      <c r="J351" s="49">
        <v>15.75</v>
      </c>
      <c r="K351" s="49">
        <v>12.49</v>
      </c>
      <c r="L351" s="49">
        <v>14.45</v>
      </c>
      <c r="M351" s="49">
        <v>12.38</v>
      </c>
      <c r="N351" s="49">
        <v>10.77</v>
      </c>
      <c r="O351" s="49">
        <v>11.22</v>
      </c>
      <c r="P351" s="49">
        <v>11.07</v>
      </c>
      <c r="Q351" s="49">
        <v>10.15</v>
      </c>
      <c r="R351" s="49">
        <v>8.4600000000000009</v>
      </c>
      <c r="S351" s="49">
        <v>17.82</v>
      </c>
    </row>
    <row r="352" spans="1:19" ht="18">
      <c r="A352" s="49">
        <v>2387</v>
      </c>
      <c r="B352" s="49" t="s">
        <v>582</v>
      </c>
      <c r="C352" s="49">
        <v>12.23</v>
      </c>
      <c r="D352" s="49">
        <v>5.77</v>
      </c>
      <c r="E352" s="49">
        <v>13.58</v>
      </c>
      <c r="F352" s="49">
        <v>7.27</v>
      </c>
      <c r="G352" s="49">
        <v>13.71</v>
      </c>
      <c r="H352" s="49">
        <v>0</v>
      </c>
      <c r="I352" s="49">
        <v>42.78</v>
      </c>
      <c r="J352" s="49">
        <v>14.21</v>
      </c>
      <c r="K352" s="49">
        <v>0</v>
      </c>
      <c r="L352" s="49">
        <v>5.3</v>
      </c>
      <c r="M352" s="49">
        <v>8.83</v>
      </c>
      <c r="N352" s="49">
        <v>0</v>
      </c>
      <c r="O352" s="49">
        <v>50</v>
      </c>
      <c r="P352" s="49">
        <v>16.27</v>
      </c>
      <c r="Q352" s="49">
        <v>7.46</v>
      </c>
      <c r="R352" s="49">
        <v>5.6</v>
      </c>
      <c r="S352" s="49">
        <v>8.56</v>
      </c>
    </row>
    <row r="353" spans="1:19" ht="18">
      <c r="A353" s="49">
        <v>2388</v>
      </c>
      <c r="B353" s="49" t="s">
        <v>583</v>
      </c>
      <c r="C353" s="49">
        <v>0</v>
      </c>
      <c r="D353" s="49">
        <v>0</v>
      </c>
      <c r="E353" s="49">
        <v>0</v>
      </c>
      <c r="F353" s="49">
        <v>0</v>
      </c>
      <c r="G353" s="49">
        <v>0</v>
      </c>
      <c r="H353" s="49">
        <v>0</v>
      </c>
      <c r="I353" s="49">
        <v>0</v>
      </c>
      <c r="J353" s="49">
        <v>0</v>
      </c>
      <c r="K353" s="49">
        <v>7.79</v>
      </c>
      <c r="L353" s="49">
        <v>0</v>
      </c>
      <c r="M353" s="49">
        <v>66.25</v>
      </c>
      <c r="N353" s="49">
        <v>219.17</v>
      </c>
      <c r="O353" s="49">
        <v>358.5</v>
      </c>
      <c r="P353" s="49">
        <v>0</v>
      </c>
      <c r="Q353" s="49">
        <v>7.45</v>
      </c>
      <c r="R353" s="49">
        <v>11.01</v>
      </c>
      <c r="S353" s="49">
        <v>680.43</v>
      </c>
    </row>
    <row r="354" spans="1:19" ht="18">
      <c r="A354" s="49">
        <v>2390</v>
      </c>
      <c r="B354" s="49" t="s">
        <v>584</v>
      </c>
      <c r="C354" s="49">
        <v>11.73</v>
      </c>
      <c r="D354" s="49">
        <v>0</v>
      </c>
      <c r="E354" s="49">
        <v>0</v>
      </c>
      <c r="F354" s="49">
        <v>0</v>
      </c>
      <c r="G354" s="49">
        <v>0</v>
      </c>
      <c r="H354" s="49">
        <v>0</v>
      </c>
      <c r="I354" s="49">
        <v>34.1</v>
      </c>
      <c r="J354" s="49">
        <v>0</v>
      </c>
      <c r="K354" s="49">
        <v>55.66</v>
      </c>
      <c r="L354" s="49">
        <v>244.29</v>
      </c>
      <c r="M354" s="49">
        <v>0</v>
      </c>
      <c r="N354" s="49">
        <v>0</v>
      </c>
      <c r="O354" s="49">
        <v>0</v>
      </c>
      <c r="P354" s="49">
        <v>25.52</v>
      </c>
      <c r="Q354" s="49">
        <v>3.62</v>
      </c>
      <c r="R354" s="49">
        <v>0</v>
      </c>
      <c r="S354" s="49">
        <v>0</v>
      </c>
    </row>
    <row r="355" spans="1:19" ht="18">
      <c r="A355" s="49">
        <v>2392</v>
      </c>
      <c r="B355" s="49" t="s">
        <v>585</v>
      </c>
      <c r="C355" s="49">
        <v>12.69</v>
      </c>
      <c r="D355" s="49">
        <v>6.94</v>
      </c>
      <c r="E355" s="49">
        <v>31.17</v>
      </c>
      <c r="F355" s="49">
        <v>17.61</v>
      </c>
      <c r="G355" s="49">
        <v>12.06</v>
      </c>
      <c r="H355" s="49">
        <v>32.049999999999997</v>
      </c>
      <c r="I355" s="49">
        <v>11.09</v>
      </c>
      <c r="J355" s="49">
        <v>15.57</v>
      </c>
      <c r="K355" s="49">
        <v>10.32</v>
      </c>
      <c r="L355" s="49">
        <v>36.24</v>
      </c>
      <c r="M355" s="49">
        <v>15.72</v>
      </c>
      <c r="N355" s="49">
        <v>0</v>
      </c>
      <c r="O355" s="49">
        <v>9.85</v>
      </c>
      <c r="P355" s="49">
        <v>10.78</v>
      </c>
      <c r="Q355" s="49">
        <v>15.95</v>
      </c>
      <c r="R355" s="49">
        <v>12.38</v>
      </c>
      <c r="S355" s="49">
        <v>16.48</v>
      </c>
    </row>
    <row r="356" spans="1:19" ht="18">
      <c r="A356" s="49">
        <v>2393</v>
      </c>
      <c r="B356" s="49" t="s">
        <v>586</v>
      </c>
      <c r="C356" s="49">
        <v>20.66</v>
      </c>
      <c r="D356" s="49">
        <v>7.45</v>
      </c>
      <c r="E356" s="49">
        <v>39.6</v>
      </c>
      <c r="F356" s="49">
        <v>13.15</v>
      </c>
      <c r="G356" s="49">
        <v>15.5</v>
      </c>
      <c r="H356" s="49">
        <v>24.27</v>
      </c>
      <c r="I356" s="49">
        <v>26.25</v>
      </c>
      <c r="J356" s="49">
        <v>15.46</v>
      </c>
      <c r="K356" s="49">
        <v>11.32</v>
      </c>
      <c r="L356" s="49">
        <v>10.7</v>
      </c>
      <c r="M356" s="49">
        <v>13.87</v>
      </c>
      <c r="N356" s="49">
        <v>14.78</v>
      </c>
      <c r="O356" s="49">
        <v>20.81</v>
      </c>
      <c r="P356" s="49">
        <v>16.420000000000002</v>
      </c>
      <c r="Q356" s="49">
        <v>11.69</v>
      </c>
      <c r="R356" s="49">
        <v>10.59</v>
      </c>
      <c r="S356" s="49">
        <v>17.36</v>
      </c>
    </row>
    <row r="357" spans="1:19" ht="18">
      <c r="A357" s="49">
        <v>2395</v>
      </c>
      <c r="B357" s="49" t="s">
        <v>587</v>
      </c>
      <c r="C357" s="49">
        <v>12.94</v>
      </c>
      <c r="D357" s="49">
        <v>8.81</v>
      </c>
      <c r="E357" s="49">
        <v>20.059999999999999</v>
      </c>
      <c r="F357" s="49">
        <v>15.6</v>
      </c>
      <c r="G357" s="49">
        <v>13.05</v>
      </c>
      <c r="H357" s="49">
        <v>20.149999999999999</v>
      </c>
      <c r="I357" s="49">
        <v>29.93</v>
      </c>
      <c r="J357" s="49">
        <v>31.39</v>
      </c>
      <c r="K357" s="49">
        <v>26.74</v>
      </c>
      <c r="L357" s="49">
        <v>28.82</v>
      </c>
      <c r="M357" s="49">
        <v>24.68</v>
      </c>
      <c r="N357" s="49">
        <v>23.34</v>
      </c>
      <c r="O357" s="49">
        <v>29.01</v>
      </c>
      <c r="P357" s="49">
        <v>37.31</v>
      </c>
      <c r="Q357" s="49">
        <v>39.93</v>
      </c>
      <c r="R357" s="49">
        <v>24.55</v>
      </c>
      <c r="S357" s="49">
        <v>28.77</v>
      </c>
    </row>
    <row r="358" spans="1:19" ht="18">
      <c r="A358" s="49">
        <v>2397</v>
      </c>
      <c r="B358" s="49" t="s">
        <v>588</v>
      </c>
      <c r="C358" s="49">
        <v>14.36</v>
      </c>
      <c r="D358" s="49">
        <v>8.74</v>
      </c>
      <c r="E358" s="49">
        <v>16.45</v>
      </c>
      <c r="F358" s="49">
        <v>14.26</v>
      </c>
      <c r="G358" s="49">
        <v>13.91</v>
      </c>
      <c r="H358" s="49">
        <v>13.9</v>
      </c>
      <c r="I358" s="49">
        <v>17.010000000000002</v>
      </c>
      <c r="J358" s="49">
        <v>13.97</v>
      </c>
      <c r="K358" s="49">
        <v>13.85</v>
      </c>
      <c r="L358" s="49">
        <v>12.4</v>
      </c>
      <c r="M358" s="49">
        <v>14.94</v>
      </c>
      <c r="N358" s="49">
        <v>13.28</v>
      </c>
      <c r="O358" s="49">
        <v>14.96</v>
      </c>
      <c r="P358" s="49">
        <v>17.38</v>
      </c>
      <c r="Q358" s="49">
        <v>25.25</v>
      </c>
      <c r="R358" s="49">
        <v>8.33</v>
      </c>
      <c r="S358" s="49">
        <v>18.579999999999998</v>
      </c>
    </row>
    <row r="359" spans="1:19" ht="18">
      <c r="A359" s="49">
        <v>2399</v>
      </c>
      <c r="B359" s="49" t="s">
        <v>589</v>
      </c>
      <c r="C359" s="49">
        <v>7.87</v>
      </c>
      <c r="D359" s="49">
        <v>7.89</v>
      </c>
      <c r="E359" s="49">
        <v>10.86</v>
      </c>
      <c r="F359" s="49">
        <v>9.26</v>
      </c>
      <c r="G359" s="49">
        <v>7.5</v>
      </c>
      <c r="H359" s="49">
        <v>57.63</v>
      </c>
      <c r="I359" s="49">
        <v>25</v>
      </c>
      <c r="J359" s="49">
        <v>17.010000000000002</v>
      </c>
      <c r="K359" s="49">
        <v>0</v>
      </c>
      <c r="L359" s="49">
        <v>0</v>
      </c>
      <c r="M359" s="49">
        <v>20.87</v>
      </c>
      <c r="N359" s="49">
        <v>0</v>
      </c>
      <c r="O359" s="49">
        <v>0</v>
      </c>
      <c r="P359" s="49">
        <v>21.04</v>
      </c>
      <c r="Q359" s="49">
        <v>14.06</v>
      </c>
      <c r="R359" s="49">
        <v>16.63</v>
      </c>
      <c r="S359" s="49">
        <v>0</v>
      </c>
    </row>
    <row r="360" spans="1:19" ht="18">
      <c r="A360" s="49">
        <v>2401</v>
      </c>
      <c r="B360" s="49" t="s">
        <v>590</v>
      </c>
      <c r="C360" s="49">
        <v>12.06</v>
      </c>
      <c r="D360" s="49">
        <v>18.52</v>
      </c>
      <c r="E360" s="49">
        <v>0</v>
      </c>
      <c r="F360" s="49">
        <v>10.44</v>
      </c>
      <c r="G360" s="49">
        <v>0</v>
      </c>
      <c r="H360" s="49">
        <v>0</v>
      </c>
      <c r="I360" s="49">
        <v>0</v>
      </c>
      <c r="J360" s="49">
        <v>22.07</v>
      </c>
      <c r="K360" s="49">
        <v>16.88</v>
      </c>
      <c r="L360" s="49">
        <v>22.25</v>
      </c>
      <c r="M360" s="49">
        <v>20.25</v>
      </c>
      <c r="N360" s="49">
        <v>102.27</v>
      </c>
      <c r="O360" s="49">
        <v>0</v>
      </c>
      <c r="P360" s="49">
        <v>79.569999999999993</v>
      </c>
      <c r="Q360" s="49">
        <v>22.99</v>
      </c>
      <c r="R360" s="49">
        <v>18.21</v>
      </c>
      <c r="S360" s="49">
        <v>0</v>
      </c>
    </row>
    <row r="361" spans="1:19" ht="18">
      <c r="A361" s="49">
        <v>2402</v>
      </c>
      <c r="B361" s="49" t="s">
        <v>591</v>
      </c>
      <c r="C361" s="49">
        <v>25.6</v>
      </c>
      <c r="D361" s="49">
        <v>10.07</v>
      </c>
      <c r="E361" s="49">
        <v>95.22</v>
      </c>
      <c r="F361" s="49">
        <v>39.07</v>
      </c>
      <c r="G361" s="49">
        <v>0</v>
      </c>
      <c r="H361" s="49">
        <v>14.8</v>
      </c>
      <c r="I361" s="49">
        <v>17.29</v>
      </c>
      <c r="J361" s="49">
        <v>10.68</v>
      </c>
      <c r="K361" s="49">
        <v>20.329999999999998</v>
      </c>
      <c r="L361" s="49">
        <v>0</v>
      </c>
      <c r="M361" s="49">
        <v>0</v>
      </c>
      <c r="N361" s="49">
        <v>80.94</v>
      </c>
      <c r="O361" s="49">
        <v>20.18</v>
      </c>
      <c r="P361" s="49">
        <v>39.36</v>
      </c>
      <c r="Q361" s="49">
        <v>22.8</v>
      </c>
      <c r="R361" s="49">
        <v>19.78</v>
      </c>
      <c r="S361" s="49">
        <v>22.88</v>
      </c>
    </row>
    <row r="362" spans="1:19" ht="18">
      <c r="A362" s="49">
        <v>2404</v>
      </c>
      <c r="B362" s="49" t="s">
        <v>592</v>
      </c>
      <c r="C362" s="49">
        <v>7.36</v>
      </c>
      <c r="D362" s="49">
        <v>4.8</v>
      </c>
      <c r="E362" s="49">
        <v>21.77</v>
      </c>
      <c r="F362" s="49">
        <v>12</v>
      </c>
      <c r="G362" s="49">
        <v>6.23</v>
      </c>
      <c r="H362" s="49">
        <v>9.8000000000000007</v>
      </c>
      <c r="I362" s="49">
        <v>8.2899999999999991</v>
      </c>
      <c r="J362" s="49">
        <v>9.9700000000000006</v>
      </c>
      <c r="K362" s="49">
        <v>8.59</v>
      </c>
      <c r="L362" s="49">
        <v>8.8699999999999992</v>
      </c>
      <c r="M362" s="49">
        <v>10.1</v>
      </c>
      <c r="N362" s="49">
        <v>12.94</v>
      </c>
      <c r="O362" s="49">
        <v>13.48</v>
      </c>
      <c r="P362" s="49">
        <v>10.47</v>
      </c>
      <c r="Q362" s="49">
        <v>12.11</v>
      </c>
      <c r="R362" s="49">
        <v>9.0500000000000007</v>
      </c>
      <c r="S362" s="49">
        <v>10.61</v>
      </c>
    </row>
    <row r="363" spans="1:19" ht="18">
      <c r="A363" s="49">
        <v>2405</v>
      </c>
      <c r="B363" s="49" t="s">
        <v>593</v>
      </c>
      <c r="C363" s="49">
        <v>91.25</v>
      </c>
      <c r="D363" s="49">
        <v>20.309999999999999</v>
      </c>
      <c r="E363" s="49">
        <v>0</v>
      </c>
      <c r="F363" s="49">
        <v>0</v>
      </c>
      <c r="G363" s="49">
        <v>0</v>
      </c>
      <c r="H363" s="49">
        <v>9.42</v>
      </c>
      <c r="I363" s="49">
        <v>11.17</v>
      </c>
      <c r="J363" s="49">
        <v>0</v>
      </c>
      <c r="K363" s="49">
        <v>0</v>
      </c>
      <c r="L363" s="49">
        <v>0</v>
      </c>
      <c r="M363" s="49">
        <v>0</v>
      </c>
      <c r="N363" s="49">
        <v>0</v>
      </c>
      <c r="O363" s="49">
        <v>0</v>
      </c>
      <c r="P363" s="49">
        <v>0</v>
      </c>
      <c r="Q363" s="49">
        <v>70</v>
      </c>
      <c r="R363" s="49">
        <v>15.61</v>
      </c>
      <c r="S363" s="49">
        <v>0</v>
      </c>
    </row>
    <row r="364" spans="1:19" ht="18">
      <c r="A364" s="49">
        <v>2406</v>
      </c>
      <c r="B364" s="49" t="s">
        <v>594</v>
      </c>
      <c r="C364" s="49">
        <v>0</v>
      </c>
      <c r="D364" s="49">
        <v>0</v>
      </c>
      <c r="E364" s="49">
        <v>29.3</v>
      </c>
      <c r="F364" s="49">
        <v>20.27</v>
      </c>
      <c r="G364" s="49">
        <v>12.07</v>
      </c>
      <c r="H364" s="49">
        <v>17.91</v>
      </c>
      <c r="I364" s="49">
        <v>0</v>
      </c>
      <c r="J364" s="49">
        <v>0</v>
      </c>
      <c r="K364" s="49">
        <v>0</v>
      </c>
      <c r="L364" s="49">
        <v>25</v>
      </c>
      <c r="M364" s="49">
        <v>0</v>
      </c>
      <c r="N364" s="49">
        <v>0</v>
      </c>
      <c r="O364" s="49">
        <v>0</v>
      </c>
      <c r="P364" s="49">
        <v>0</v>
      </c>
      <c r="Q364" s="49">
        <v>88.85</v>
      </c>
      <c r="R364" s="49">
        <v>0</v>
      </c>
      <c r="S364" s="49">
        <v>0</v>
      </c>
    </row>
    <row r="365" spans="1:19" ht="18">
      <c r="A365" s="49">
        <v>2408</v>
      </c>
      <c r="B365" s="49" t="s">
        <v>595</v>
      </c>
      <c r="C365" s="49">
        <v>16.34</v>
      </c>
      <c r="D365" s="49">
        <v>0</v>
      </c>
      <c r="E365" s="49">
        <v>0</v>
      </c>
      <c r="F365" s="49">
        <v>0</v>
      </c>
      <c r="G365" s="49">
        <v>0</v>
      </c>
      <c r="H365" s="49">
        <v>0</v>
      </c>
      <c r="I365" s="49">
        <v>0</v>
      </c>
      <c r="J365" s="49">
        <v>8.25</v>
      </c>
      <c r="K365" s="49">
        <v>4.6500000000000004</v>
      </c>
      <c r="L365" s="49">
        <v>24.03</v>
      </c>
      <c r="M365" s="49">
        <v>5.46</v>
      </c>
      <c r="N365" s="49">
        <v>3.2</v>
      </c>
      <c r="O365" s="49">
        <v>15.44</v>
      </c>
      <c r="P365" s="49">
        <v>33.130000000000003</v>
      </c>
      <c r="Q365" s="49">
        <v>13.95</v>
      </c>
      <c r="R365" s="49">
        <v>7.14</v>
      </c>
      <c r="S365" s="49">
        <v>0</v>
      </c>
    </row>
    <row r="366" spans="1:19" ht="18">
      <c r="A366" s="49">
        <v>2409</v>
      </c>
      <c r="B366" s="49" t="s">
        <v>596</v>
      </c>
      <c r="C366" s="49">
        <v>19.78</v>
      </c>
      <c r="D366" s="49">
        <v>2.6</v>
      </c>
      <c r="E366" s="49">
        <v>0</v>
      </c>
      <c r="F366" s="49">
        <v>23.86</v>
      </c>
      <c r="G366" s="49">
        <v>0</v>
      </c>
      <c r="H366" s="49">
        <v>0</v>
      </c>
      <c r="I366" s="49">
        <v>0</v>
      </c>
      <c r="J366" s="49">
        <v>12.37</v>
      </c>
      <c r="K366" s="49">
        <v>4.8899999999999997</v>
      </c>
      <c r="L366" s="49">
        <v>0</v>
      </c>
      <c r="M366" s="49">
        <v>3.21</v>
      </c>
      <c r="N366" s="49">
        <v>8.42</v>
      </c>
      <c r="O366" s="49">
        <v>0</v>
      </c>
      <c r="P366" s="49">
        <v>0</v>
      </c>
      <c r="Q366" s="49">
        <v>3.71</v>
      </c>
      <c r="R366" s="49">
        <v>0</v>
      </c>
      <c r="S366" s="49">
        <v>0</v>
      </c>
    </row>
    <row r="367" spans="1:19" ht="18">
      <c r="A367" s="49">
        <v>2412</v>
      </c>
      <c r="B367" s="49" t="s">
        <v>597</v>
      </c>
      <c r="C367" s="49">
        <v>0</v>
      </c>
      <c r="D367" s="49">
        <v>13.21</v>
      </c>
      <c r="E367" s="49">
        <v>15.22</v>
      </c>
      <c r="F367" s="49">
        <v>15.12</v>
      </c>
      <c r="G367" s="49">
        <v>16.260000000000002</v>
      </c>
      <c r="H367" s="49">
        <v>17.899999999999999</v>
      </c>
      <c r="I367" s="49">
        <v>18.329999999999998</v>
      </c>
      <c r="J367" s="49">
        <v>18.32</v>
      </c>
      <c r="K367" s="49">
        <v>18.559999999999999</v>
      </c>
      <c r="L367" s="49">
        <v>18.87</v>
      </c>
      <c r="M367" s="49">
        <v>21.68</v>
      </c>
      <c r="N367" s="49">
        <v>24.51</v>
      </c>
      <c r="O367" s="49">
        <v>25.52</v>
      </c>
      <c r="P367" s="49">
        <v>25.65</v>
      </c>
      <c r="Q367" s="49">
        <v>25.6</v>
      </c>
      <c r="R367" s="49">
        <v>23.89</v>
      </c>
      <c r="S367" s="49">
        <v>25.1</v>
      </c>
    </row>
    <row r="368" spans="1:19" ht="18">
      <c r="A368" s="49">
        <v>2413</v>
      </c>
      <c r="B368" s="49" t="s">
        <v>598</v>
      </c>
      <c r="C368" s="49">
        <v>13.06</v>
      </c>
      <c r="D368" s="49">
        <v>0</v>
      </c>
      <c r="E368" s="49">
        <v>0</v>
      </c>
      <c r="F368" s="49">
        <v>15.32</v>
      </c>
      <c r="G368" s="49">
        <v>0</v>
      </c>
      <c r="H368" s="49">
        <v>0</v>
      </c>
      <c r="I368" s="49">
        <v>72</v>
      </c>
      <c r="J368" s="49">
        <v>64.319999999999993</v>
      </c>
      <c r="K368" s="49">
        <v>11.08</v>
      </c>
      <c r="L368" s="49">
        <v>18.52</v>
      </c>
      <c r="M368" s="49">
        <v>0</v>
      </c>
      <c r="N368" s="49">
        <v>0</v>
      </c>
      <c r="O368" s="49">
        <v>0</v>
      </c>
      <c r="P368" s="49">
        <v>0</v>
      </c>
      <c r="Q368" s="49">
        <v>281.25</v>
      </c>
      <c r="R368" s="49">
        <v>13.63</v>
      </c>
      <c r="S368" s="49">
        <v>15.67</v>
      </c>
    </row>
    <row r="369" spans="1:19" ht="18">
      <c r="A369" s="49">
        <v>2414</v>
      </c>
      <c r="B369" s="49" t="s">
        <v>599</v>
      </c>
      <c r="C369" s="49">
        <v>12.5</v>
      </c>
      <c r="D369" s="49">
        <v>6</v>
      </c>
      <c r="E369" s="49">
        <v>19.03</v>
      </c>
      <c r="F369" s="49">
        <v>13.05</v>
      </c>
      <c r="G369" s="49">
        <v>8.0399999999999991</v>
      </c>
      <c r="H369" s="49">
        <v>11.25</v>
      </c>
      <c r="I369" s="49">
        <v>14</v>
      </c>
      <c r="J369" s="49">
        <v>11.52</v>
      </c>
      <c r="K369" s="49">
        <v>11.58</v>
      </c>
      <c r="L369" s="49">
        <v>11.38</v>
      </c>
      <c r="M369" s="49">
        <v>12.33</v>
      </c>
      <c r="N369" s="49">
        <v>12.16</v>
      </c>
      <c r="O369" s="49">
        <v>13.28</v>
      </c>
      <c r="P369" s="49">
        <v>12.12</v>
      </c>
      <c r="Q369" s="49">
        <v>11.36</v>
      </c>
      <c r="R369" s="49">
        <v>9.11</v>
      </c>
      <c r="S369" s="49">
        <v>15.15</v>
      </c>
    </row>
    <row r="370" spans="1:19" ht="18">
      <c r="A370" s="49">
        <v>2415</v>
      </c>
      <c r="B370" s="49" t="s">
        <v>600</v>
      </c>
      <c r="C370" s="49">
        <v>19.55</v>
      </c>
      <c r="D370" s="49">
        <v>9.52</v>
      </c>
      <c r="E370" s="49">
        <v>0</v>
      </c>
      <c r="F370" s="49">
        <v>29.61</v>
      </c>
      <c r="G370" s="49">
        <v>50.53</v>
      </c>
      <c r="H370" s="49">
        <v>6.41</v>
      </c>
      <c r="I370" s="49">
        <v>6.78</v>
      </c>
      <c r="J370" s="49">
        <v>8.86</v>
      </c>
      <c r="K370" s="49">
        <v>15.9</v>
      </c>
      <c r="L370" s="49">
        <v>13.06</v>
      </c>
      <c r="M370" s="49">
        <v>14.48</v>
      </c>
      <c r="N370" s="49">
        <v>13.81</v>
      </c>
      <c r="O370" s="49">
        <v>31.33</v>
      </c>
      <c r="P370" s="49">
        <v>0</v>
      </c>
      <c r="Q370" s="49">
        <v>14.21</v>
      </c>
      <c r="R370" s="49">
        <v>31.88</v>
      </c>
      <c r="S370" s="49">
        <v>0</v>
      </c>
    </row>
    <row r="371" spans="1:19" ht="18">
      <c r="A371" s="49">
        <v>2417</v>
      </c>
      <c r="B371" s="49" t="s">
        <v>601</v>
      </c>
      <c r="C371" s="49">
        <v>16.75</v>
      </c>
      <c r="D371" s="49">
        <v>6.29</v>
      </c>
      <c r="E371" s="49">
        <v>12.74</v>
      </c>
      <c r="F371" s="49">
        <v>8.4499999999999993</v>
      </c>
      <c r="G371" s="49">
        <v>6.82</v>
      </c>
      <c r="H371" s="49">
        <v>0</v>
      </c>
      <c r="I371" s="49">
        <v>0</v>
      </c>
      <c r="J371" s="49">
        <v>0</v>
      </c>
      <c r="K371" s="49">
        <v>0</v>
      </c>
      <c r="L371" s="49">
        <v>0</v>
      </c>
      <c r="M371" s="49">
        <v>0</v>
      </c>
      <c r="N371" s="49">
        <v>0</v>
      </c>
      <c r="O371" s="49">
        <v>147.86000000000001</v>
      </c>
      <c r="P371" s="49">
        <v>9.9499999999999993</v>
      </c>
      <c r="Q371" s="49">
        <v>11.85</v>
      </c>
      <c r="R371" s="49">
        <v>79.290000000000006</v>
      </c>
      <c r="S371" s="49">
        <v>0</v>
      </c>
    </row>
    <row r="372" spans="1:19" ht="18">
      <c r="A372" s="49">
        <v>2419</v>
      </c>
      <c r="B372" s="49" t="s">
        <v>602</v>
      </c>
      <c r="C372" s="49">
        <v>0</v>
      </c>
      <c r="D372" s="49">
        <v>8.42</v>
      </c>
      <c r="E372" s="49">
        <v>21.65</v>
      </c>
      <c r="F372" s="49">
        <v>23.3</v>
      </c>
      <c r="G372" s="49">
        <v>9.19</v>
      </c>
      <c r="H372" s="49">
        <v>10.37</v>
      </c>
      <c r="I372" s="49">
        <v>15.82</v>
      </c>
      <c r="J372" s="49">
        <v>63.85</v>
      </c>
      <c r="K372" s="49">
        <v>27.03</v>
      </c>
      <c r="L372" s="49">
        <v>12.39</v>
      </c>
      <c r="M372" s="49">
        <v>11.38</v>
      </c>
      <c r="N372" s="49">
        <v>23.41</v>
      </c>
      <c r="O372" s="49">
        <v>25.69</v>
      </c>
      <c r="P372" s="49">
        <v>31.75</v>
      </c>
      <c r="Q372" s="49">
        <v>48.67</v>
      </c>
      <c r="R372" s="49">
        <v>20.65</v>
      </c>
      <c r="S372" s="49">
        <v>64.72</v>
      </c>
    </row>
    <row r="373" spans="1:19" ht="18">
      <c r="A373" s="49">
        <v>2420</v>
      </c>
      <c r="B373" s="49" t="s">
        <v>603</v>
      </c>
      <c r="C373" s="49">
        <v>11.81</v>
      </c>
      <c r="D373" s="49">
        <v>5.21</v>
      </c>
      <c r="E373" s="49">
        <v>36.130000000000003</v>
      </c>
      <c r="F373" s="49">
        <v>9.86</v>
      </c>
      <c r="G373" s="49">
        <v>8.9</v>
      </c>
      <c r="H373" s="49">
        <v>11.49</v>
      </c>
      <c r="I373" s="49">
        <v>14.16</v>
      </c>
      <c r="J373" s="49">
        <v>11.41</v>
      </c>
      <c r="K373" s="49">
        <v>10.029999999999999</v>
      </c>
      <c r="L373" s="49">
        <v>10.01</v>
      </c>
      <c r="M373" s="49">
        <v>10.24</v>
      </c>
      <c r="N373" s="49">
        <v>10.26</v>
      </c>
      <c r="O373" s="49">
        <v>10.57</v>
      </c>
      <c r="P373" s="49">
        <v>11.45</v>
      </c>
      <c r="Q373" s="49">
        <v>12.68</v>
      </c>
      <c r="R373" s="49">
        <v>8.7200000000000006</v>
      </c>
      <c r="S373" s="49">
        <v>12.94</v>
      </c>
    </row>
    <row r="374" spans="1:19" ht="18">
      <c r="A374" s="49">
        <v>2421</v>
      </c>
      <c r="B374" s="49" t="s">
        <v>604</v>
      </c>
      <c r="C374" s="49">
        <v>14.88</v>
      </c>
      <c r="D374" s="49">
        <v>30.89</v>
      </c>
      <c r="E374" s="49">
        <v>64</v>
      </c>
      <c r="F374" s="49">
        <v>9.68</v>
      </c>
      <c r="G374" s="49">
        <v>15.35</v>
      </c>
      <c r="H374" s="49">
        <v>16.79</v>
      </c>
      <c r="I374" s="49">
        <v>22.82</v>
      </c>
      <c r="J374" s="49">
        <v>12.56</v>
      </c>
      <c r="K374" s="49">
        <v>12.59</v>
      </c>
      <c r="L374" s="49">
        <v>12.92</v>
      </c>
      <c r="M374" s="49">
        <v>18.190000000000001</v>
      </c>
      <c r="N374" s="49">
        <v>15.46</v>
      </c>
      <c r="O374" s="49">
        <v>19.649999999999999</v>
      </c>
      <c r="P374" s="49">
        <v>14.74</v>
      </c>
      <c r="Q374" s="49">
        <v>27.24</v>
      </c>
      <c r="R374" s="49">
        <v>10.89</v>
      </c>
      <c r="S374" s="49">
        <v>19.62</v>
      </c>
    </row>
    <row r="375" spans="1:19" ht="18">
      <c r="A375" s="49">
        <v>2423</v>
      </c>
      <c r="B375" s="49" t="s">
        <v>605</v>
      </c>
      <c r="C375" s="49">
        <v>9.7200000000000006</v>
      </c>
      <c r="D375" s="49">
        <v>6.79</v>
      </c>
      <c r="E375" s="49">
        <v>28.03</v>
      </c>
      <c r="F375" s="49">
        <v>11.95</v>
      </c>
      <c r="G375" s="49">
        <v>7.51</v>
      </c>
      <c r="H375" s="49">
        <v>15.35</v>
      </c>
      <c r="I375" s="49">
        <v>20.57</v>
      </c>
      <c r="J375" s="49">
        <v>18.54</v>
      </c>
      <c r="K375" s="49">
        <v>12.43</v>
      </c>
      <c r="L375" s="49">
        <v>10.69</v>
      </c>
      <c r="M375" s="49">
        <v>10.73</v>
      </c>
      <c r="N375" s="49">
        <v>11.29</v>
      </c>
      <c r="O375" s="49">
        <v>11.83</v>
      </c>
      <c r="P375" s="49">
        <v>15.82</v>
      </c>
      <c r="Q375" s="49">
        <v>16.579999999999998</v>
      </c>
      <c r="R375" s="49">
        <v>10.220000000000001</v>
      </c>
      <c r="S375" s="49">
        <v>14.21</v>
      </c>
    </row>
    <row r="376" spans="1:19" ht="18">
      <c r="A376" s="49">
        <v>2424</v>
      </c>
      <c r="B376" s="49" t="s">
        <v>606</v>
      </c>
      <c r="C376" s="49">
        <v>0</v>
      </c>
      <c r="D376" s="49">
        <v>0</v>
      </c>
      <c r="E376" s="49">
        <v>0</v>
      </c>
      <c r="F376" s="49">
        <v>0</v>
      </c>
      <c r="G376" s="49">
        <v>7.31</v>
      </c>
      <c r="H376" s="49">
        <v>0</v>
      </c>
      <c r="I376" s="49">
        <v>46.32</v>
      </c>
      <c r="J376" s="49">
        <v>7.19</v>
      </c>
      <c r="K376" s="49">
        <v>0</v>
      </c>
      <c r="L376" s="49">
        <v>0</v>
      </c>
      <c r="M376" s="49">
        <v>0</v>
      </c>
      <c r="N376" s="49">
        <v>0</v>
      </c>
      <c r="O376" s="49">
        <v>0</v>
      </c>
      <c r="P376" s="49">
        <v>0</v>
      </c>
      <c r="Q376" s="49">
        <v>0</v>
      </c>
      <c r="R376" s="49">
        <v>0</v>
      </c>
      <c r="S376" s="49">
        <v>0</v>
      </c>
    </row>
    <row r="377" spans="1:19" ht="18">
      <c r="A377" s="49">
        <v>2425</v>
      </c>
      <c r="B377" s="49" t="s">
        <v>607</v>
      </c>
      <c r="C377" s="49">
        <v>0</v>
      </c>
      <c r="D377" s="49">
        <v>0</v>
      </c>
      <c r="E377" s="49">
        <v>0</v>
      </c>
      <c r="F377" s="49">
        <v>0</v>
      </c>
      <c r="G377" s="49">
        <v>0</v>
      </c>
      <c r="H377" s="49">
        <v>449</v>
      </c>
      <c r="I377" s="49">
        <v>13.85</v>
      </c>
      <c r="J377" s="49">
        <v>11.33</v>
      </c>
      <c r="K377" s="49">
        <v>11.15</v>
      </c>
      <c r="L377" s="49">
        <v>24.69</v>
      </c>
      <c r="M377" s="49">
        <v>312</v>
      </c>
      <c r="N377" s="49">
        <v>18.010000000000002</v>
      </c>
      <c r="O377" s="49">
        <v>22.8</v>
      </c>
      <c r="P377" s="49">
        <v>35</v>
      </c>
      <c r="Q377" s="49">
        <v>25.09</v>
      </c>
      <c r="R377" s="49">
        <v>7.87</v>
      </c>
      <c r="S377" s="49">
        <v>25.4</v>
      </c>
    </row>
    <row r="378" spans="1:19" ht="18">
      <c r="A378" s="49">
        <v>2426</v>
      </c>
      <c r="B378" s="49" t="s">
        <v>608</v>
      </c>
      <c r="C378" s="49">
        <v>14.97</v>
      </c>
      <c r="D378" s="49">
        <v>24.84</v>
      </c>
      <c r="E378" s="49">
        <v>0</v>
      </c>
      <c r="F378" s="49">
        <v>22.04</v>
      </c>
      <c r="G378" s="49">
        <v>0</v>
      </c>
      <c r="H378" s="49">
        <v>0</v>
      </c>
      <c r="I378" s="49">
        <v>0</v>
      </c>
      <c r="J378" s="49">
        <v>0</v>
      </c>
      <c r="K378" s="49">
        <v>10.86</v>
      </c>
      <c r="L378" s="49">
        <v>27.67</v>
      </c>
      <c r="M378" s="49">
        <v>17.7</v>
      </c>
      <c r="N378" s="49">
        <v>7.77</v>
      </c>
      <c r="O378" s="49">
        <v>129.58000000000001</v>
      </c>
      <c r="P378" s="49">
        <v>12.91</v>
      </c>
      <c r="Q378" s="49">
        <v>34.57</v>
      </c>
      <c r="R378" s="49">
        <v>12.39</v>
      </c>
      <c r="S378" s="49">
        <v>0</v>
      </c>
    </row>
    <row r="379" spans="1:19" ht="18">
      <c r="A379" s="49">
        <v>2427</v>
      </c>
      <c r="B379" s="49" t="s">
        <v>609</v>
      </c>
      <c r="C379" s="49">
        <v>0</v>
      </c>
      <c r="D379" s="49">
        <v>0</v>
      </c>
      <c r="E379" s="49">
        <v>152.86000000000001</v>
      </c>
      <c r="F379" s="49">
        <v>0</v>
      </c>
      <c r="G379" s="49">
        <v>41.73</v>
      </c>
      <c r="H379" s="49">
        <v>0</v>
      </c>
      <c r="I379" s="49">
        <v>0</v>
      </c>
      <c r="J379" s="49">
        <v>72</v>
      </c>
      <c r="K379" s="49">
        <v>52.42</v>
      </c>
      <c r="L379" s="49">
        <v>23.06</v>
      </c>
      <c r="M379" s="49">
        <v>23.93</v>
      </c>
      <c r="N379" s="49">
        <v>39.46</v>
      </c>
      <c r="O379" s="49">
        <v>14.13</v>
      </c>
      <c r="P379" s="49">
        <v>14.33</v>
      </c>
      <c r="Q379" s="49">
        <v>21.05</v>
      </c>
      <c r="R379" s="49">
        <v>9.9600000000000009</v>
      </c>
      <c r="S379" s="49">
        <v>23.17</v>
      </c>
    </row>
    <row r="380" spans="1:19" ht="18">
      <c r="A380" s="49">
        <v>2428</v>
      </c>
      <c r="B380" s="49" t="s">
        <v>610</v>
      </c>
      <c r="C380" s="49">
        <v>8.74</v>
      </c>
      <c r="D380" s="49">
        <v>7.01</v>
      </c>
      <c r="E380" s="49">
        <v>15.23</v>
      </c>
      <c r="F380" s="49">
        <v>11.73</v>
      </c>
      <c r="G380" s="49">
        <v>7.74</v>
      </c>
      <c r="H380" s="49">
        <v>8.3000000000000007</v>
      </c>
      <c r="I380" s="49">
        <v>11.31</v>
      </c>
      <c r="J380" s="49">
        <v>9.7100000000000009</v>
      </c>
      <c r="K380" s="49">
        <v>9.4700000000000006</v>
      </c>
      <c r="L380" s="49">
        <v>10.050000000000001</v>
      </c>
      <c r="M380" s="49">
        <v>10.14</v>
      </c>
      <c r="N380" s="49">
        <v>9.57</v>
      </c>
      <c r="O380" s="49">
        <v>11.77</v>
      </c>
      <c r="P380" s="49">
        <v>16.46</v>
      </c>
      <c r="Q380" s="49">
        <v>12.26</v>
      </c>
      <c r="R380" s="49">
        <v>10.16</v>
      </c>
      <c r="S380" s="49">
        <v>19.329999999999998</v>
      </c>
    </row>
    <row r="381" spans="1:19" ht="18">
      <c r="A381" s="49">
        <v>2429</v>
      </c>
      <c r="B381" s="49" t="s">
        <v>611</v>
      </c>
      <c r="C381" s="49">
        <v>0</v>
      </c>
      <c r="D381" s="49">
        <v>0</v>
      </c>
      <c r="E381" s="49">
        <v>0</v>
      </c>
      <c r="F381" s="49">
        <v>0</v>
      </c>
      <c r="G381" s="49">
        <v>0</v>
      </c>
      <c r="H381" s="49">
        <v>1.43</v>
      </c>
      <c r="I381" s="49">
        <v>0</v>
      </c>
      <c r="J381" s="49">
        <v>0</v>
      </c>
      <c r="K381" s="49">
        <v>0</v>
      </c>
      <c r="L381" s="49">
        <v>0</v>
      </c>
      <c r="M381" s="49">
        <v>0</v>
      </c>
      <c r="N381" s="49">
        <v>0</v>
      </c>
      <c r="O381" s="49">
        <v>0</v>
      </c>
      <c r="P381" s="49">
        <v>0</v>
      </c>
      <c r="Q381" s="49">
        <v>0</v>
      </c>
      <c r="R381" s="49">
        <v>0</v>
      </c>
      <c r="S381" s="49">
        <v>0</v>
      </c>
    </row>
    <row r="382" spans="1:19" ht="18">
      <c r="A382" s="49">
        <v>2430</v>
      </c>
      <c r="B382" s="49" t="s">
        <v>612</v>
      </c>
      <c r="C382" s="49">
        <v>0</v>
      </c>
      <c r="D382" s="49">
        <v>3.27</v>
      </c>
      <c r="E382" s="49">
        <v>8.5</v>
      </c>
      <c r="F382" s="49">
        <v>14.21</v>
      </c>
      <c r="G382" s="49">
        <v>10.220000000000001</v>
      </c>
      <c r="H382" s="49">
        <v>10.74</v>
      </c>
      <c r="I382" s="49">
        <v>12.32</v>
      </c>
      <c r="J382" s="49">
        <v>13.48</v>
      </c>
      <c r="K382" s="49">
        <v>55.66</v>
      </c>
      <c r="L382" s="49">
        <v>11.48</v>
      </c>
      <c r="M382" s="49">
        <v>13.82</v>
      </c>
      <c r="N382" s="49">
        <v>11.45</v>
      </c>
      <c r="O382" s="49">
        <v>17.32</v>
      </c>
      <c r="P382" s="49">
        <v>12.88</v>
      </c>
      <c r="Q382" s="49">
        <v>11.54</v>
      </c>
      <c r="R382" s="49">
        <v>7.74</v>
      </c>
      <c r="S382" s="49">
        <v>13.95</v>
      </c>
    </row>
    <row r="383" spans="1:19" ht="18">
      <c r="A383" s="49">
        <v>2431</v>
      </c>
      <c r="B383" s="49" t="s">
        <v>613</v>
      </c>
      <c r="C383" s="49">
        <v>0</v>
      </c>
      <c r="D383" s="49">
        <v>0</v>
      </c>
      <c r="E383" s="49">
        <v>22.57</v>
      </c>
      <c r="F383" s="49">
        <v>9.39</v>
      </c>
      <c r="G383" s="49">
        <v>0</v>
      </c>
      <c r="H383" s="49">
        <v>0</v>
      </c>
      <c r="I383" s="49">
        <v>221.25</v>
      </c>
      <c r="J383" s="49">
        <v>16.95</v>
      </c>
      <c r="K383" s="49">
        <v>26.79</v>
      </c>
      <c r="L383" s="49">
        <v>41.62</v>
      </c>
      <c r="M383" s="49">
        <v>31.1</v>
      </c>
      <c r="N383" s="49">
        <v>0</v>
      </c>
      <c r="O383" s="49">
        <v>0</v>
      </c>
      <c r="P383" s="49">
        <v>26.17</v>
      </c>
      <c r="Q383" s="49">
        <v>11.26</v>
      </c>
      <c r="R383" s="49">
        <v>0</v>
      </c>
      <c r="S383" s="49">
        <v>0</v>
      </c>
    </row>
    <row r="384" spans="1:19" ht="18">
      <c r="A384" s="49">
        <v>2433</v>
      </c>
      <c r="B384" s="49" t="s">
        <v>614</v>
      </c>
      <c r="C384" s="49">
        <v>45.12</v>
      </c>
      <c r="D384" s="49">
        <v>4.3899999999999997</v>
      </c>
      <c r="E384" s="49">
        <v>14.25</v>
      </c>
      <c r="F384" s="49">
        <v>13.74</v>
      </c>
      <c r="G384" s="49">
        <v>7.34</v>
      </c>
      <c r="H384" s="49">
        <v>9.15</v>
      </c>
      <c r="I384" s="49">
        <v>9.26</v>
      </c>
      <c r="J384" s="49">
        <v>13.38</v>
      </c>
      <c r="K384" s="49">
        <v>11.93</v>
      </c>
      <c r="L384" s="49">
        <v>12.63</v>
      </c>
      <c r="M384" s="49">
        <v>11.73</v>
      </c>
      <c r="N384" s="49">
        <v>11.79</v>
      </c>
      <c r="O384" s="49">
        <v>13.32</v>
      </c>
      <c r="P384" s="49">
        <v>13.1</v>
      </c>
      <c r="Q384" s="49">
        <v>13.39</v>
      </c>
      <c r="R384" s="49">
        <v>12.47</v>
      </c>
      <c r="S384" s="49">
        <v>14.99</v>
      </c>
    </row>
    <row r="385" spans="1:19" ht="18">
      <c r="A385" s="49">
        <v>2434</v>
      </c>
      <c r="B385" s="49" t="s">
        <v>615</v>
      </c>
      <c r="C385" s="49">
        <v>156.4</v>
      </c>
      <c r="D385" s="49">
        <v>33.08</v>
      </c>
      <c r="E385" s="49">
        <v>0</v>
      </c>
      <c r="F385" s="49">
        <v>0</v>
      </c>
      <c r="G385" s="49">
        <v>0</v>
      </c>
      <c r="H385" s="49">
        <v>0</v>
      </c>
      <c r="I385" s="49">
        <v>0</v>
      </c>
      <c r="J385" s="49">
        <v>19.78</v>
      </c>
      <c r="K385" s="49">
        <v>0</v>
      </c>
      <c r="L385" s="49">
        <v>0</v>
      </c>
      <c r="M385" s="49">
        <v>0</v>
      </c>
      <c r="N385" s="49">
        <v>0</v>
      </c>
      <c r="O385" s="49">
        <v>0</v>
      </c>
      <c r="P385" s="49">
        <v>0</v>
      </c>
      <c r="Q385" s="49">
        <v>56.67</v>
      </c>
      <c r="R385" s="49">
        <v>0</v>
      </c>
      <c r="S385" s="49">
        <v>0</v>
      </c>
    </row>
    <row r="386" spans="1:19" ht="18">
      <c r="A386" s="49">
        <v>2436</v>
      </c>
      <c r="B386" s="49" t="s">
        <v>616</v>
      </c>
      <c r="C386" s="49">
        <v>19.41</v>
      </c>
      <c r="D386" s="49">
        <v>15.06</v>
      </c>
      <c r="E386" s="49">
        <v>401.88</v>
      </c>
      <c r="F386" s="49">
        <v>27.92</v>
      </c>
      <c r="G386" s="49">
        <v>33.409999999999997</v>
      </c>
      <c r="H386" s="49">
        <v>114.5</v>
      </c>
      <c r="I386" s="49">
        <v>86.17</v>
      </c>
      <c r="J386" s="49">
        <v>35.58</v>
      </c>
      <c r="K386" s="49">
        <v>33.71</v>
      </c>
      <c r="L386" s="49">
        <v>37.54</v>
      </c>
      <c r="M386" s="49">
        <v>33.75</v>
      </c>
      <c r="N386" s="49">
        <v>13.3</v>
      </c>
      <c r="O386" s="49">
        <v>26.58</v>
      </c>
      <c r="P386" s="49">
        <v>34.479999999999997</v>
      </c>
      <c r="Q386" s="49">
        <v>23.33</v>
      </c>
      <c r="R386" s="49">
        <v>22.69</v>
      </c>
      <c r="S386" s="49">
        <v>65.13</v>
      </c>
    </row>
    <row r="387" spans="1:19" ht="18">
      <c r="A387" s="49">
        <v>2438</v>
      </c>
      <c r="B387" s="49" t="s">
        <v>617</v>
      </c>
      <c r="C387" s="49">
        <v>11.49</v>
      </c>
      <c r="D387" s="49">
        <v>0</v>
      </c>
      <c r="E387" s="49">
        <v>0</v>
      </c>
      <c r="F387" s="49">
        <v>0</v>
      </c>
      <c r="G387" s="49">
        <v>0</v>
      </c>
      <c r="H387" s="49">
        <v>4.47</v>
      </c>
      <c r="I387" s="49">
        <v>0</v>
      </c>
      <c r="J387" s="49">
        <v>22.28</v>
      </c>
      <c r="K387" s="49">
        <v>0</v>
      </c>
      <c r="L387" s="49">
        <v>0</v>
      </c>
      <c r="M387" s="49">
        <v>0</v>
      </c>
      <c r="N387" s="49">
        <v>0</v>
      </c>
      <c r="O387" s="49">
        <v>0</v>
      </c>
      <c r="P387" s="49">
        <v>0</v>
      </c>
      <c r="Q387" s="49">
        <v>531.66999999999996</v>
      </c>
      <c r="R387" s="49">
        <v>0</v>
      </c>
      <c r="S387" s="49">
        <v>0</v>
      </c>
    </row>
    <row r="388" spans="1:19" ht="18">
      <c r="A388" s="49">
        <v>2439</v>
      </c>
      <c r="B388" s="49" t="s">
        <v>618</v>
      </c>
      <c r="C388" s="49">
        <v>17</v>
      </c>
      <c r="D388" s="49">
        <v>5.58</v>
      </c>
      <c r="E388" s="49">
        <v>33.020000000000003</v>
      </c>
      <c r="F388" s="49">
        <v>10.85</v>
      </c>
      <c r="G388" s="49">
        <v>22.27</v>
      </c>
      <c r="H388" s="49">
        <v>15.82</v>
      </c>
      <c r="I388" s="49">
        <v>38.93</v>
      </c>
      <c r="J388" s="49">
        <v>14.59</v>
      </c>
      <c r="K388" s="49">
        <v>16.940000000000001</v>
      </c>
      <c r="L388" s="49">
        <v>14.18</v>
      </c>
      <c r="M388" s="49">
        <v>17.41</v>
      </c>
      <c r="N388" s="49">
        <v>8.2100000000000009</v>
      </c>
      <c r="O388" s="49">
        <v>10.47</v>
      </c>
      <c r="P388" s="49">
        <v>25.35</v>
      </c>
      <c r="Q388" s="49">
        <v>17.07</v>
      </c>
      <c r="R388" s="49">
        <v>10.67</v>
      </c>
      <c r="S388" s="49">
        <v>19.91</v>
      </c>
    </row>
    <row r="389" spans="1:19" ht="18">
      <c r="A389" s="49">
        <v>2440</v>
      </c>
      <c r="B389" s="49" t="s">
        <v>619</v>
      </c>
      <c r="C389" s="49">
        <v>0</v>
      </c>
      <c r="D389" s="49">
        <v>15.32</v>
      </c>
      <c r="E389" s="49">
        <v>0</v>
      </c>
      <c r="F389" s="49">
        <v>30.7</v>
      </c>
      <c r="G389" s="49">
        <v>0</v>
      </c>
      <c r="H389" s="49">
        <v>0</v>
      </c>
      <c r="I389" s="49">
        <v>0</v>
      </c>
      <c r="J389" s="49">
        <v>0</v>
      </c>
      <c r="K389" s="49">
        <v>192.25</v>
      </c>
      <c r="L389" s="49">
        <v>0</v>
      </c>
      <c r="M389" s="49">
        <v>16.89</v>
      </c>
      <c r="N389" s="49">
        <v>0</v>
      </c>
      <c r="O389" s="49">
        <v>0</v>
      </c>
      <c r="P389" s="49">
        <v>10.93</v>
      </c>
      <c r="Q389" s="49">
        <v>18.38</v>
      </c>
      <c r="R389" s="49">
        <v>0</v>
      </c>
      <c r="S389" s="49">
        <v>0</v>
      </c>
    </row>
    <row r="390" spans="1:19" ht="18">
      <c r="A390" s="49">
        <v>2441</v>
      </c>
      <c r="B390" s="49" t="s">
        <v>620</v>
      </c>
      <c r="C390" s="49">
        <v>8.09</v>
      </c>
      <c r="D390" s="49">
        <v>4.7</v>
      </c>
      <c r="E390" s="49">
        <v>15.98</v>
      </c>
      <c r="F390" s="49">
        <v>8.69</v>
      </c>
      <c r="G390" s="49">
        <v>14.04</v>
      </c>
      <c r="H390" s="49">
        <v>12.03</v>
      </c>
      <c r="I390" s="49">
        <v>11.18</v>
      </c>
      <c r="J390" s="49">
        <v>9.76</v>
      </c>
      <c r="K390" s="49">
        <v>10.130000000000001</v>
      </c>
      <c r="L390" s="49">
        <v>10.46</v>
      </c>
      <c r="M390" s="49">
        <v>12.06</v>
      </c>
      <c r="N390" s="49">
        <v>9.4600000000000009</v>
      </c>
      <c r="O390" s="49">
        <v>14.72</v>
      </c>
      <c r="P390" s="49">
        <v>13.24</v>
      </c>
      <c r="Q390" s="49">
        <v>10.64</v>
      </c>
      <c r="R390" s="49">
        <v>6.76</v>
      </c>
      <c r="S390" s="49">
        <v>19.010000000000002</v>
      </c>
    </row>
    <row r="391" spans="1:19" ht="18">
      <c r="A391" s="49">
        <v>2442</v>
      </c>
      <c r="B391" s="49" t="s">
        <v>621</v>
      </c>
      <c r="C391" s="49">
        <v>6.25</v>
      </c>
      <c r="D391" s="49">
        <v>0</v>
      </c>
      <c r="E391" s="49">
        <v>14.16</v>
      </c>
      <c r="F391" s="49">
        <v>4.6500000000000004</v>
      </c>
      <c r="G391" s="49">
        <v>0</v>
      </c>
      <c r="H391" s="49">
        <v>13.36</v>
      </c>
      <c r="I391" s="49">
        <v>12.35</v>
      </c>
      <c r="J391" s="49">
        <v>12.4</v>
      </c>
      <c r="K391" s="49">
        <v>19.29</v>
      </c>
      <c r="L391" s="49">
        <v>676</v>
      </c>
      <c r="M391" s="49">
        <v>0</v>
      </c>
      <c r="N391" s="49">
        <v>50</v>
      </c>
      <c r="O391" s="49">
        <v>3.46</v>
      </c>
      <c r="P391" s="49">
        <v>287.5</v>
      </c>
      <c r="Q391" s="49">
        <v>5.46</v>
      </c>
      <c r="R391" s="49">
        <v>22.84</v>
      </c>
      <c r="S391" s="49">
        <v>24.95</v>
      </c>
    </row>
    <row r="392" spans="1:19" ht="18">
      <c r="A392" s="49">
        <v>2443</v>
      </c>
      <c r="B392" s="49" t="s">
        <v>622</v>
      </c>
      <c r="C392" s="49">
        <v>0</v>
      </c>
      <c r="D392" s="49">
        <v>0</v>
      </c>
      <c r="E392" s="49">
        <v>0</v>
      </c>
      <c r="F392" s="49">
        <v>0</v>
      </c>
      <c r="G392" s="49">
        <v>0</v>
      </c>
      <c r="H392" s="49">
        <v>0</v>
      </c>
      <c r="I392" s="49">
        <v>0</v>
      </c>
      <c r="J392" s="49">
        <v>2.62</v>
      </c>
      <c r="K392" s="49">
        <v>0</v>
      </c>
      <c r="L392" s="49">
        <v>0</v>
      </c>
      <c r="M392" s="49">
        <v>0</v>
      </c>
      <c r="N392" s="49">
        <v>0</v>
      </c>
      <c r="O392" s="49">
        <v>0</v>
      </c>
      <c r="P392" s="49">
        <v>0</v>
      </c>
      <c r="Q392" s="49">
        <v>0</v>
      </c>
      <c r="R392" s="49">
        <v>0</v>
      </c>
      <c r="S392" s="49">
        <v>3.32</v>
      </c>
    </row>
    <row r="393" spans="1:19" ht="18">
      <c r="A393" s="49">
        <v>2444</v>
      </c>
      <c r="B393" s="49" t="s">
        <v>623</v>
      </c>
      <c r="C393" s="49">
        <v>0</v>
      </c>
      <c r="D393" s="49">
        <v>0</v>
      </c>
      <c r="E393" s="49">
        <v>0</v>
      </c>
      <c r="F393" s="49">
        <v>0</v>
      </c>
      <c r="G393" s="49">
        <v>0</v>
      </c>
      <c r="H393" s="49">
        <v>7.74</v>
      </c>
      <c r="I393" s="49">
        <v>0</v>
      </c>
      <c r="J393" s="49">
        <v>0</v>
      </c>
      <c r="K393" s="49">
        <v>0</v>
      </c>
      <c r="L393" s="49">
        <v>6.97</v>
      </c>
      <c r="M393" s="49">
        <v>348.75</v>
      </c>
      <c r="N393" s="49">
        <v>0</v>
      </c>
      <c r="O393" s="49">
        <v>0</v>
      </c>
      <c r="P393" s="49">
        <v>0</v>
      </c>
      <c r="Q393" s="49">
        <v>0</v>
      </c>
      <c r="R393" s="49">
        <v>16.07</v>
      </c>
      <c r="S393" s="49">
        <v>30</v>
      </c>
    </row>
    <row r="394" spans="1:19" ht="18">
      <c r="A394" s="49">
        <v>2449</v>
      </c>
      <c r="B394" s="49" t="s">
        <v>624</v>
      </c>
      <c r="C394" s="49">
        <v>10.19</v>
      </c>
      <c r="D394" s="49">
        <v>4.68</v>
      </c>
      <c r="E394" s="49">
        <v>0</v>
      </c>
      <c r="F394" s="49">
        <v>11.12</v>
      </c>
      <c r="G394" s="49">
        <v>17.12</v>
      </c>
      <c r="H394" s="49">
        <v>17.96</v>
      </c>
      <c r="I394" s="49">
        <v>13.19</v>
      </c>
      <c r="J394" s="49">
        <v>12.6</v>
      </c>
      <c r="K394" s="49">
        <v>10.67</v>
      </c>
      <c r="L394" s="49">
        <v>10.54</v>
      </c>
      <c r="M394" s="49">
        <v>14.83</v>
      </c>
      <c r="N394" s="49">
        <v>15.82</v>
      </c>
      <c r="O394" s="49">
        <v>18.68</v>
      </c>
      <c r="P394" s="49">
        <v>10.76</v>
      </c>
      <c r="Q394" s="49">
        <v>12.95</v>
      </c>
      <c r="R394" s="49">
        <v>6.35</v>
      </c>
      <c r="S394" s="49">
        <v>17.989999999999998</v>
      </c>
    </row>
    <row r="395" spans="1:19" ht="18">
      <c r="A395" s="49">
        <v>2450</v>
      </c>
      <c r="B395" s="49" t="s">
        <v>625</v>
      </c>
      <c r="C395" s="49">
        <v>12.15</v>
      </c>
      <c r="D395" s="49">
        <v>6.79</v>
      </c>
      <c r="E395" s="49">
        <v>11.53</v>
      </c>
      <c r="F395" s="49">
        <v>13.2</v>
      </c>
      <c r="G395" s="49">
        <v>18.23</v>
      </c>
      <c r="H395" s="49">
        <v>16.649999999999999</v>
      </c>
      <c r="I395" s="49">
        <v>15.66</v>
      </c>
      <c r="J395" s="49">
        <v>23.8</v>
      </c>
      <c r="K395" s="49">
        <v>12.95</v>
      </c>
      <c r="L395" s="49">
        <v>12.11</v>
      </c>
      <c r="M395" s="49">
        <v>14.13</v>
      </c>
      <c r="N395" s="49">
        <v>19.34</v>
      </c>
      <c r="O395" s="49">
        <v>19.11</v>
      </c>
      <c r="P395" s="49">
        <v>23.51</v>
      </c>
      <c r="Q395" s="49">
        <v>15.05</v>
      </c>
      <c r="R395" s="49">
        <v>11.85</v>
      </c>
      <c r="S395" s="49">
        <v>13.68</v>
      </c>
    </row>
    <row r="396" spans="1:19" ht="18">
      <c r="A396" s="49">
        <v>2451</v>
      </c>
      <c r="B396" s="49" t="s">
        <v>626</v>
      </c>
      <c r="C396" s="49">
        <v>11.89</v>
      </c>
      <c r="D396" s="49">
        <v>13.1</v>
      </c>
      <c r="E396" s="49">
        <v>14.1</v>
      </c>
      <c r="F396" s="49">
        <v>13.01</v>
      </c>
      <c r="G396" s="49">
        <v>13.82</v>
      </c>
      <c r="H396" s="49">
        <v>11.66</v>
      </c>
      <c r="I396" s="49">
        <v>12.02</v>
      </c>
      <c r="J396" s="49">
        <v>12.46</v>
      </c>
      <c r="K396" s="49">
        <v>10.73</v>
      </c>
      <c r="L396" s="49">
        <v>13.74</v>
      </c>
      <c r="M396" s="49">
        <v>11.57</v>
      </c>
      <c r="N396" s="49">
        <v>12.58</v>
      </c>
      <c r="O396" s="49">
        <v>19.48</v>
      </c>
      <c r="P396" s="49">
        <v>20.97</v>
      </c>
      <c r="Q396" s="49">
        <v>13.59</v>
      </c>
      <c r="R396" s="49">
        <v>9.7799999999999994</v>
      </c>
      <c r="S396" s="49">
        <v>22.96</v>
      </c>
    </row>
    <row r="397" spans="1:19" ht="18">
      <c r="A397" s="49">
        <v>2453</v>
      </c>
      <c r="B397" s="49" t="s">
        <v>627</v>
      </c>
      <c r="C397" s="49">
        <v>31.33</v>
      </c>
      <c r="D397" s="49">
        <v>38.630000000000003</v>
      </c>
      <c r="E397" s="49">
        <v>54.52</v>
      </c>
      <c r="F397" s="49">
        <v>18.62</v>
      </c>
      <c r="G397" s="49">
        <v>19.940000000000001</v>
      </c>
      <c r="H397" s="49">
        <v>14.16</v>
      </c>
      <c r="I397" s="49">
        <v>17.47</v>
      </c>
      <c r="J397" s="49">
        <v>14.54</v>
      </c>
      <c r="K397" s="49">
        <v>17.54</v>
      </c>
      <c r="L397" s="49">
        <v>20</v>
      </c>
      <c r="M397" s="49">
        <v>17.64</v>
      </c>
      <c r="N397" s="49">
        <v>14.18</v>
      </c>
      <c r="O397" s="49">
        <v>15.32</v>
      </c>
      <c r="P397" s="49">
        <v>12.93</v>
      </c>
      <c r="Q397" s="49">
        <v>14.22</v>
      </c>
      <c r="R397" s="49">
        <v>10.67</v>
      </c>
      <c r="S397" s="49">
        <v>19.34</v>
      </c>
    </row>
    <row r="398" spans="1:19" ht="18">
      <c r="A398" s="49">
        <v>2454</v>
      </c>
      <c r="B398" s="49" t="s">
        <v>628</v>
      </c>
      <c r="C398" s="49">
        <v>12.9</v>
      </c>
      <c r="D398" s="49">
        <v>10.46</v>
      </c>
      <c r="E398" s="49">
        <v>19.72</v>
      </c>
      <c r="F398" s="49">
        <v>12.8</v>
      </c>
      <c r="G398" s="49">
        <v>21.9</v>
      </c>
      <c r="H398" s="49">
        <v>31.84</v>
      </c>
      <c r="I398" s="49">
        <v>25.01</v>
      </c>
      <c r="J398" s="49">
        <v>16.190000000000001</v>
      </c>
      <c r="K398" s="49">
        <v>12.25</v>
      </c>
      <c r="L398" s="49">
        <v>14.77</v>
      </c>
      <c r="M398" s="49">
        <v>24.08</v>
      </c>
      <c r="N398" s="49">
        <v>13.4</v>
      </c>
      <c r="O398" s="49">
        <v>34.22</v>
      </c>
      <c r="P398" s="49">
        <v>36.369999999999997</v>
      </c>
      <c r="Q398" s="49">
        <v>19.7</v>
      </c>
      <c r="R398" s="49">
        <v>7.67</v>
      </c>
      <c r="S398" s="49">
        <v>23.15</v>
      </c>
    </row>
    <row r="399" spans="1:19" ht="18">
      <c r="A399" s="49">
        <v>2455</v>
      </c>
      <c r="B399" s="49" t="s">
        <v>629</v>
      </c>
      <c r="C399" s="49">
        <v>24.72</v>
      </c>
      <c r="D399" s="49">
        <v>19.440000000000001</v>
      </c>
      <c r="E399" s="49">
        <v>77.02</v>
      </c>
      <c r="F399" s="49">
        <v>25.42</v>
      </c>
      <c r="G399" s="49">
        <v>14.73</v>
      </c>
      <c r="H399" s="49">
        <v>17.28</v>
      </c>
      <c r="I399" s="49">
        <v>16.079999999999998</v>
      </c>
      <c r="J399" s="49">
        <v>19.350000000000001</v>
      </c>
      <c r="K399" s="49">
        <v>18.600000000000001</v>
      </c>
      <c r="L399" s="49">
        <v>17.309999999999999</v>
      </c>
      <c r="M399" s="49">
        <v>49</v>
      </c>
      <c r="N399" s="49">
        <v>27.84</v>
      </c>
      <c r="O399" s="49">
        <v>46.83</v>
      </c>
      <c r="P399" s="49">
        <v>40.43</v>
      </c>
      <c r="Q399" s="49">
        <v>32.880000000000003</v>
      </c>
      <c r="R399" s="49">
        <v>18.25</v>
      </c>
      <c r="S399" s="49">
        <v>99.07</v>
      </c>
    </row>
    <row r="400" spans="1:19" ht="18">
      <c r="A400" s="49">
        <v>2457</v>
      </c>
      <c r="B400" s="49" t="s">
        <v>630</v>
      </c>
      <c r="C400" s="49">
        <v>10.92</v>
      </c>
      <c r="D400" s="49">
        <v>6.98</v>
      </c>
      <c r="E400" s="49">
        <v>12.49</v>
      </c>
      <c r="F400" s="49">
        <v>8.0299999999999994</v>
      </c>
      <c r="G400" s="49">
        <v>6.5</v>
      </c>
      <c r="H400" s="49">
        <v>16.18</v>
      </c>
      <c r="I400" s="49">
        <v>22.5</v>
      </c>
      <c r="J400" s="49">
        <v>40.340000000000003</v>
      </c>
      <c r="K400" s="49">
        <v>0</v>
      </c>
      <c r="L400" s="49">
        <v>0</v>
      </c>
      <c r="M400" s="49">
        <v>18.8</v>
      </c>
      <c r="N400" s="49">
        <v>0</v>
      </c>
      <c r="O400" s="49">
        <v>0</v>
      </c>
      <c r="P400" s="49">
        <v>0</v>
      </c>
      <c r="Q400" s="49">
        <v>0</v>
      </c>
      <c r="R400" s="49">
        <v>0</v>
      </c>
      <c r="S400" s="49">
        <v>69.290000000000006</v>
      </c>
    </row>
    <row r="401" spans="1:19" ht="18">
      <c r="A401" s="49">
        <v>2458</v>
      </c>
      <c r="B401" s="49" t="s">
        <v>631</v>
      </c>
      <c r="C401" s="49">
        <v>52.56</v>
      </c>
      <c r="D401" s="49">
        <v>28.46</v>
      </c>
      <c r="E401" s="49">
        <v>76.62</v>
      </c>
      <c r="F401" s="49">
        <v>20.99</v>
      </c>
      <c r="G401" s="49">
        <v>27.28</v>
      </c>
      <c r="H401" s="49">
        <v>20.78</v>
      </c>
      <c r="I401" s="49">
        <v>12.7</v>
      </c>
      <c r="J401" s="49">
        <v>12.92</v>
      </c>
      <c r="K401" s="49">
        <v>19.829999999999998</v>
      </c>
      <c r="L401" s="49">
        <v>21.39</v>
      </c>
      <c r="M401" s="49">
        <v>19.29</v>
      </c>
      <c r="N401" s="49">
        <v>16.100000000000001</v>
      </c>
      <c r="O401" s="49">
        <v>13.59</v>
      </c>
      <c r="P401" s="49">
        <v>12.82</v>
      </c>
      <c r="Q401" s="49">
        <v>9.74</v>
      </c>
      <c r="R401" s="49">
        <v>7.15</v>
      </c>
      <c r="S401" s="49">
        <v>28.66</v>
      </c>
    </row>
    <row r="402" spans="1:19" ht="18">
      <c r="A402" s="49">
        <v>2459</v>
      </c>
      <c r="B402" s="49" t="s">
        <v>632</v>
      </c>
      <c r="C402" s="49">
        <v>9.39</v>
      </c>
      <c r="D402" s="49">
        <v>4.1399999999999997</v>
      </c>
      <c r="E402" s="49">
        <v>15.25</v>
      </c>
      <c r="F402" s="49">
        <v>10.14</v>
      </c>
      <c r="G402" s="49">
        <v>7.28</v>
      </c>
      <c r="H402" s="49">
        <v>9.5299999999999994</v>
      </c>
      <c r="I402" s="49">
        <v>10.3</v>
      </c>
      <c r="J402" s="49">
        <v>10</v>
      </c>
      <c r="K402" s="49">
        <v>8.74</v>
      </c>
      <c r="L402" s="49">
        <v>9.65</v>
      </c>
      <c r="M402" s="49">
        <v>10.42</v>
      </c>
      <c r="N402" s="49">
        <v>9.06</v>
      </c>
      <c r="O402" s="49">
        <v>11.05</v>
      </c>
      <c r="P402" s="49">
        <v>10.26</v>
      </c>
      <c r="Q402" s="49">
        <v>11.55</v>
      </c>
      <c r="R402" s="49">
        <v>9.52</v>
      </c>
      <c r="S402" s="49">
        <v>12.98</v>
      </c>
    </row>
    <row r="403" spans="1:19" ht="18">
      <c r="A403" s="49">
        <v>2460</v>
      </c>
      <c r="B403" s="49" t="s">
        <v>633</v>
      </c>
      <c r="C403" s="49">
        <v>9.94</v>
      </c>
      <c r="D403" s="49">
        <v>4.1900000000000004</v>
      </c>
      <c r="E403" s="49">
        <v>18.73</v>
      </c>
      <c r="F403" s="49">
        <v>9.4600000000000009</v>
      </c>
      <c r="G403" s="49">
        <v>10.99</v>
      </c>
      <c r="H403" s="49">
        <v>26.67</v>
      </c>
      <c r="I403" s="49">
        <v>0</v>
      </c>
      <c r="J403" s="49">
        <v>25</v>
      </c>
      <c r="K403" s="49">
        <v>0</v>
      </c>
      <c r="L403" s="49">
        <v>53.16</v>
      </c>
      <c r="M403" s="49">
        <v>0</v>
      </c>
      <c r="N403" s="49">
        <v>0</v>
      </c>
      <c r="O403" s="49">
        <v>0</v>
      </c>
      <c r="P403" s="49">
        <v>0</v>
      </c>
      <c r="Q403" s="49">
        <v>23.21</v>
      </c>
      <c r="R403" s="49">
        <v>0</v>
      </c>
      <c r="S403" s="49">
        <v>0</v>
      </c>
    </row>
    <row r="404" spans="1:19" ht="18">
      <c r="A404" s="49">
        <v>2461</v>
      </c>
      <c r="B404" s="49" t="s">
        <v>634</v>
      </c>
      <c r="C404" s="49">
        <v>9.19</v>
      </c>
      <c r="D404" s="49">
        <v>4.08</v>
      </c>
      <c r="E404" s="49">
        <v>0</v>
      </c>
      <c r="F404" s="49">
        <v>27.99</v>
      </c>
      <c r="G404" s="49">
        <v>0</v>
      </c>
      <c r="H404" s="49">
        <v>45.58</v>
      </c>
      <c r="I404" s="49">
        <v>12.88</v>
      </c>
      <c r="J404" s="49">
        <v>16.920000000000002</v>
      </c>
      <c r="K404" s="49">
        <v>17.73</v>
      </c>
      <c r="L404" s="49">
        <v>16.32</v>
      </c>
      <c r="M404" s="49">
        <v>10.31</v>
      </c>
      <c r="N404" s="49">
        <v>22.42</v>
      </c>
      <c r="O404" s="49">
        <v>50.26</v>
      </c>
      <c r="P404" s="49">
        <v>0</v>
      </c>
      <c r="Q404" s="49">
        <v>10</v>
      </c>
      <c r="R404" s="49">
        <v>12.9</v>
      </c>
      <c r="S404" s="49">
        <v>20.59</v>
      </c>
    </row>
    <row r="405" spans="1:19" ht="18">
      <c r="A405" s="49">
        <v>2462</v>
      </c>
      <c r="B405" s="49" t="s">
        <v>635</v>
      </c>
      <c r="C405" s="49">
        <v>10.29</v>
      </c>
      <c r="D405" s="49">
        <v>6.1</v>
      </c>
      <c r="E405" s="49">
        <v>12.02</v>
      </c>
      <c r="F405" s="49">
        <v>8.86</v>
      </c>
      <c r="G405" s="49">
        <v>8.5399999999999991</v>
      </c>
      <c r="H405" s="49">
        <v>7.72</v>
      </c>
      <c r="I405" s="49">
        <v>13.61</v>
      </c>
      <c r="J405" s="49">
        <v>12.96</v>
      </c>
      <c r="K405" s="49">
        <v>12.35</v>
      </c>
      <c r="L405" s="49">
        <v>26.6</v>
      </c>
      <c r="M405" s="49">
        <v>36.159999999999997</v>
      </c>
      <c r="N405" s="49">
        <v>0</v>
      </c>
      <c r="O405" s="49">
        <v>20.94</v>
      </c>
      <c r="P405" s="49">
        <v>29.53</v>
      </c>
      <c r="Q405" s="49">
        <v>33.31</v>
      </c>
      <c r="R405" s="49">
        <v>40.71</v>
      </c>
      <c r="S405" s="49">
        <v>15.3</v>
      </c>
    </row>
    <row r="406" spans="1:19" ht="18">
      <c r="A406" s="49">
        <v>2464</v>
      </c>
      <c r="B406" s="49" t="s">
        <v>636</v>
      </c>
      <c r="C406" s="49">
        <v>9.23</v>
      </c>
      <c r="D406" s="49">
        <v>4.76</v>
      </c>
      <c r="E406" s="49">
        <v>17.559999999999999</v>
      </c>
      <c r="F406" s="49">
        <v>10.87</v>
      </c>
      <c r="G406" s="49">
        <v>8.9600000000000009</v>
      </c>
      <c r="H406" s="49">
        <v>26.22</v>
      </c>
      <c r="I406" s="49">
        <v>12.83</v>
      </c>
      <c r="J406" s="49">
        <v>14.79</v>
      </c>
      <c r="K406" s="49">
        <v>13.25</v>
      </c>
      <c r="L406" s="49">
        <v>14.82</v>
      </c>
      <c r="M406" s="49">
        <v>23.81</v>
      </c>
      <c r="N406" s="49">
        <v>9.1300000000000008</v>
      </c>
      <c r="O406" s="49">
        <v>9.08</v>
      </c>
      <c r="P406" s="49">
        <v>17.809999999999999</v>
      </c>
      <c r="Q406" s="49">
        <v>16.260000000000002</v>
      </c>
      <c r="R406" s="49">
        <v>12.45</v>
      </c>
      <c r="S406" s="49">
        <v>128.57</v>
      </c>
    </row>
    <row r="407" spans="1:19" ht="18">
      <c r="A407" s="49">
        <v>2465</v>
      </c>
      <c r="B407" s="49" t="s">
        <v>637</v>
      </c>
      <c r="C407" s="49">
        <v>0</v>
      </c>
      <c r="D407" s="49">
        <v>0</v>
      </c>
      <c r="E407" s="49">
        <v>0</v>
      </c>
      <c r="F407" s="49">
        <v>1135</v>
      </c>
      <c r="G407" s="49">
        <v>0</v>
      </c>
      <c r="H407" s="49">
        <v>0</v>
      </c>
      <c r="I407" s="49">
        <v>0</v>
      </c>
      <c r="J407" s="49">
        <v>0</v>
      </c>
      <c r="K407" s="49">
        <v>25.35</v>
      </c>
      <c r="L407" s="49">
        <v>0</v>
      </c>
      <c r="M407" s="49">
        <v>0</v>
      </c>
      <c r="N407" s="49">
        <v>0</v>
      </c>
      <c r="O407" s="49">
        <v>0</v>
      </c>
      <c r="P407" s="49">
        <v>0</v>
      </c>
      <c r="Q407" s="49">
        <v>10.93</v>
      </c>
      <c r="R407" s="49">
        <v>0</v>
      </c>
      <c r="S407" s="49">
        <v>0</v>
      </c>
    </row>
    <row r="408" spans="1:19" ht="18">
      <c r="A408" s="49">
        <v>2466</v>
      </c>
      <c r="B408" s="49" t="s">
        <v>638</v>
      </c>
      <c r="C408" s="49">
        <v>25.66</v>
      </c>
      <c r="D408" s="49">
        <v>254.55</v>
      </c>
      <c r="E408" s="49">
        <v>0</v>
      </c>
      <c r="F408" s="49">
        <v>53.36</v>
      </c>
      <c r="G408" s="49">
        <v>240.91</v>
      </c>
      <c r="H408" s="49">
        <v>0</v>
      </c>
      <c r="I408" s="49">
        <v>0</v>
      </c>
      <c r="J408" s="49">
        <v>0</v>
      </c>
      <c r="K408" s="49">
        <v>0</v>
      </c>
      <c r="L408" s="49">
        <v>0</v>
      </c>
      <c r="M408" s="49">
        <v>319.55</v>
      </c>
      <c r="N408" s="49">
        <v>1657.5</v>
      </c>
      <c r="O408" s="49">
        <v>189.72</v>
      </c>
      <c r="P408" s="49">
        <v>109</v>
      </c>
      <c r="Q408" s="49">
        <v>1220</v>
      </c>
      <c r="R408" s="49">
        <v>43.75</v>
      </c>
      <c r="S408" s="49">
        <v>0</v>
      </c>
    </row>
    <row r="409" spans="1:19" ht="18">
      <c r="A409" s="49">
        <v>2467</v>
      </c>
      <c r="B409" s="49" t="s">
        <v>639</v>
      </c>
      <c r="C409" s="49">
        <v>7.89</v>
      </c>
      <c r="D409" s="49">
        <v>6.63</v>
      </c>
      <c r="E409" s="49">
        <v>25.56</v>
      </c>
      <c r="F409" s="49">
        <v>10.31</v>
      </c>
      <c r="G409" s="49">
        <v>6.11</v>
      </c>
      <c r="H409" s="49">
        <v>10.76</v>
      </c>
      <c r="I409" s="49">
        <v>10.82</v>
      </c>
      <c r="J409" s="49">
        <v>15.76</v>
      </c>
      <c r="K409" s="49">
        <v>24.51</v>
      </c>
      <c r="L409" s="49">
        <v>0</v>
      </c>
      <c r="M409" s="49">
        <v>11.62</v>
      </c>
      <c r="N409" s="49">
        <v>7.81</v>
      </c>
      <c r="O409" s="49">
        <v>9.3699999999999992</v>
      </c>
      <c r="P409" s="49">
        <v>15.89</v>
      </c>
      <c r="Q409" s="49">
        <v>12.49</v>
      </c>
      <c r="R409" s="49">
        <v>9</v>
      </c>
      <c r="S409" s="49">
        <v>18.899999999999999</v>
      </c>
    </row>
    <row r="410" spans="1:19" ht="18">
      <c r="A410" s="49">
        <v>2468</v>
      </c>
      <c r="B410" s="49" t="s">
        <v>640</v>
      </c>
      <c r="C410" s="49">
        <v>6.09</v>
      </c>
      <c r="D410" s="49">
        <v>9.56</v>
      </c>
      <c r="E410" s="49">
        <v>18.010000000000002</v>
      </c>
      <c r="F410" s="49">
        <v>14.25</v>
      </c>
      <c r="G410" s="49">
        <v>15.28</v>
      </c>
      <c r="H410" s="49">
        <v>54.72</v>
      </c>
      <c r="I410" s="49">
        <v>42.31</v>
      </c>
      <c r="J410" s="49">
        <v>20</v>
      </c>
      <c r="K410" s="49">
        <v>12.72</v>
      </c>
      <c r="L410" s="49">
        <v>13.95</v>
      </c>
      <c r="M410" s="49">
        <v>19.07</v>
      </c>
      <c r="N410" s="49">
        <v>17.5</v>
      </c>
      <c r="O410" s="49">
        <v>19.84</v>
      </c>
      <c r="P410" s="49">
        <v>17.920000000000002</v>
      </c>
      <c r="Q410" s="49">
        <v>32.950000000000003</v>
      </c>
      <c r="R410" s="49">
        <v>30.36</v>
      </c>
      <c r="S410" s="49">
        <v>28.74</v>
      </c>
    </row>
    <row r="411" spans="1:19" ht="18">
      <c r="A411" s="49">
        <v>2471</v>
      </c>
      <c r="B411" s="49" t="s">
        <v>641</v>
      </c>
      <c r="C411" s="49">
        <v>29.37</v>
      </c>
      <c r="D411" s="49">
        <v>0</v>
      </c>
      <c r="E411" s="49">
        <v>0</v>
      </c>
      <c r="F411" s="49">
        <v>81.39</v>
      </c>
      <c r="G411" s="49">
        <v>14.46</v>
      </c>
      <c r="H411" s="49">
        <v>8.18</v>
      </c>
      <c r="I411" s="49">
        <v>18.43</v>
      </c>
      <c r="J411" s="49">
        <v>21.67</v>
      </c>
      <c r="K411" s="49">
        <v>9.4499999999999993</v>
      </c>
      <c r="L411" s="49">
        <v>12.39</v>
      </c>
      <c r="M411" s="49">
        <v>14.09</v>
      </c>
      <c r="N411" s="49">
        <v>9.58</v>
      </c>
      <c r="O411" s="49">
        <v>12.72</v>
      </c>
      <c r="P411" s="49">
        <v>13.25</v>
      </c>
      <c r="Q411" s="49">
        <v>13.8</v>
      </c>
      <c r="R411" s="49">
        <v>8.2899999999999991</v>
      </c>
      <c r="S411" s="49">
        <v>14.81</v>
      </c>
    </row>
    <row r="412" spans="1:19" ht="18">
      <c r="A412" s="49">
        <v>2472</v>
      </c>
      <c r="B412" s="49" t="s">
        <v>642</v>
      </c>
      <c r="C412" s="49">
        <v>73.75</v>
      </c>
      <c r="D412" s="49">
        <v>50.67</v>
      </c>
      <c r="E412" s="49">
        <v>0</v>
      </c>
      <c r="F412" s="49">
        <v>16.440000000000001</v>
      </c>
      <c r="G412" s="49">
        <v>8.5500000000000007</v>
      </c>
      <c r="H412" s="49">
        <v>27.16</v>
      </c>
      <c r="I412" s="49">
        <v>13.41</v>
      </c>
      <c r="J412" s="49">
        <v>11.07</v>
      </c>
      <c r="K412" s="49">
        <v>8.44</v>
      </c>
      <c r="L412" s="49">
        <v>13.18</v>
      </c>
      <c r="M412" s="49">
        <v>17.13</v>
      </c>
      <c r="N412" s="49">
        <v>8.7899999999999991</v>
      </c>
      <c r="O412" s="49">
        <v>13</v>
      </c>
      <c r="P412" s="49">
        <v>12.76</v>
      </c>
      <c r="Q412" s="49">
        <v>12.57</v>
      </c>
      <c r="R412" s="49">
        <v>6.73</v>
      </c>
      <c r="S412" s="49">
        <v>13.73</v>
      </c>
    </row>
    <row r="413" spans="1:19" ht="18">
      <c r="A413" s="49">
        <v>2474</v>
      </c>
      <c r="B413" s="49" t="s">
        <v>643</v>
      </c>
      <c r="C413" s="49">
        <v>14.29</v>
      </c>
      <c r="D413" s="49">
        <v>6.06</v>
      </c>
      <c r="E413" s="49">
        <v>16.690000000000001</v>
      </c>
      <c r="F413" s="49">
        <v>21.09</v>
      </c>
      <c r="G413" s="49">
        <v>10.6</v>
      </c>
      <c r="H413" s="49">
        <v>12.02</v>
      </c>
      <c r="I413" s="49">
        <v>9.73</v>
      </c>
      <c r="J413" s="49">
        <v>12.69</v>
      </c>
      <c r="K413" s="49">
        <v>8.68</v>
      </c>
      <c r="L413" s="49">
        <v>8.82</v>
      </c>
      <c r="M413" s="49">
        <v>10.94</v>
      </c>
      <c r="N413" s="49">
        <v>5.91</v>
      </c>
      <c r="O413" s="49">
        <v>11.86</v>
      </c>
      <c r="P413" s="49">
        <v>14.65</v>
      </c>
      <c r="Q413" s="49">
        <v>6.24</v>
      </c>
      <c r="R413" s="49">
        <v>8.6300000000000008</v>
      </c>
      <c r="S413" s="49">
        <v>13.02</v>
      </c>
    </row>
    <row r="414" spans="1:19" ht="18">
      <c r="A414" s="49">
        <v>2476</v>
      </c>
      <c r="B414" s="49" t="s">
        <v>644</v>
      </c>
      <c r="C414" s="49">
        <v>12.17</v>
      </c>
      <c r="D414" s="49">
        <v>5.68</v>
      </c>
      <c r="E414" s="49">
        <v>19.72</v>
      </c>
      <c r="F414" s="49">
        <v>11.95</v>
      </c>
      <c r="G414" s="49">
        <v>10.6</v>
      </c>
      <c r="H414" s="49">
        <v>11.49</v>
      </c>
      <c r="I414" s="49">
        <v>14.47</v>
      </c>
      <c r="J414" s="49">
        <v>12.13</v>
      </c>
      <c r="K414" s="49">
        <v>10.79</v>
      </c>
      <c r="L414" s="49">
        <v>11.12</v>
      </c>
      <c r="M414" s="49">
        <v>11.2</v>
      </c>
      <c r="N414" s="49">
        <v>13.3</v>
      </c>
      <c r="O414" s="49">
        <v>12.19</v>
      </c>
      <c r="P414" s="49">
        <v>16.690000000000001</v>
      </c>
      <c r="Q414" s="49">
        <v>22.43</v>
      </c>
      <c r="R414" s="49">
        <v>10.06</v>
      </c>
      <c r="S414" s="49">
        <v>20.11</v>
      </c>
    </row>
    <row r="415" spans="1:19" ht="18">
      <c r="A415" s="49">
        <v>2477</v>
      </c>
      <c r="B415" s="49" t="s">
        <v>645</v>
      </c>
      <c r="C415" s="49">
        <v>9.6</v>
      </c>
      <c r="D415" s="49">
        <v>64.55</v>
      </c>
      <c r="E415" s="49">
        <v>0</v>
      </c>
      <c r="F415" s="49">
        <v>12.38</v>
      </c>
      <c r="G415" s="49">
        <v>0</v>
      </c>
      <c r="H415" s="49">
        <v>0</v>
      </c>
      <c r="I415" s="49">
        <v>3.77</v>
      </c>
      <c r="J415" s="49">
        <v>0</v>
      </c>
      <c r="K415" s="49">
        <v>17.07</v>
      </c>
      <c r="L415" s="49">
        <v>12.69</v>
      </c>
      <c r="M415" s="49">
        <v>13.2</v>
      </c>
      <c r="N415" s="49">
        <v>18.88</v>
      </c>
      <c r="O415" s="49">
        <v>16.399999999999999</v>
      </c>
      <c r="P415" s="49">
        <v>24.82</v>
      </c>
      <c r="Q415" s="49">
        <v>3.66</v>
      </c>
      <c r="R415" s="49">
        <v>24.44</v>
      </c>
      <c r="S415" s="49">
        <v>0</v>
      </c>
    </row>
    <row r="416" spans="1:19" ht="18">
      <c r="A416" s="49">
        <v>2478</v>
      </c>
      <c r="B416" s="49" t="s">
        <v>646</v>
      </c>
      <c r="C416" s="49">
        <v>16.96</v>
      </c>
      <c r="D416" s="49">
        <v>10.26</v>
      </c>
      <c r="E416" s="49">
        <v>39.83</v>
      </c>
      <c r="F416" s="49">
        <v>14.54</v>
      </c>
      <c r="G416" s="49">
        <v>13.37</v>
      </c>
      <c r="H416" s="49">
        <v>42.93</v>
      </c>
      <c r="I416" s="49">
        <v>44.85</v>
      </c>
      <c r="J416" s="49">
        <v>39.67</v>
      </c>
      <c r="K416" s="49">
        <v>15.27</v>
      </c>
      <c r="L416" s="49">
        <v>15.53</v>
      </c>
      <c r="M416" s="49">
        <v>36.06</v>
      </c>
      <c r="N416" s="49">
        <v>8.39</v>
      </c>
      <c r="O416" s="49">
        <v>12.59</v>
      </c>
      <c r="P416" s="49">
        <v>17.88</v>
      </c>
      <c r="Q416" s="49">
        <v>11.6</v>
      </c>
      <c r="R416" s="49">
        <v>7.89</v>
      </c>
      <c r="S416" s="49">
        <v>18.91</v>
      </c>
    </row>
    <row r="417" spans="1:19" ht="18">
      <c r="A417" s="49">
        <v>2480</v>
      </c>
      <c r="B417" s="49" t="s">
        <v>647</v>
      </c>
      <c r="C417" s="49">
        <v>10.65</v>
      </c>
      <c r="D417" s="49">
        <v>4.8099999999999996</v>
      </c>
      <c r="E417" s="49">
        <v>18.23</v>
      </c>
      <c r="F417" s="49">
        <v>14.28</v>
      </c>
      <c r="G417" s="49">
        <v>11.86</v>
      </c>
      <c r="H417" s="49">
        <v>11.26</v>
      </c>
      <c r="I417" s="49">
        <v>13.72</v>
      </c>
      <c r="J417" s="49">
        <v>19.149999999999999</v>
      </c>
      <c r="K417" s="49">
        <v>12</v>
      </c>
      <c r="L417" s="49">
        <v>11.96</v>
      </c>
      <c r="M417" s="49">
        <v>12.66</v>
      </c>
      <c r="N417" s="49">
        <v>11.45</v>
      </c>
      <c r="O417" s="49">
        <v>12.85</v>
      </c>
      <c r="P417" s="49">
        <v>14.65</v>
      </c>
      <c r="Q417" s="49">
        <v>14</v>
      </c>
      <c r="R417" s="49">
        <v>12.05</v>
      </c>
      <c r="S417" s="49">
        <v>16.309999999999999</v>
      </c>
    </row>
    <row r="418" spans="1:19" ht="18">
      <c r="A418" s="49">
        <v>2481</v>
      </c>
      <c r="B418" s="49" t="s">
        <v>648</v>
      </c>
      <c r="C418" s="49">
        <v>20.46</v>
      </c>
      <c r="D418" s="49">
        <v>9.92</v>
      </c>
      <c r="E418" s="49">
        <v>0</v>
      </c>
      <c r="F418" s="49">
        <v>12.72</v>
      </c>
      <c r="G418" s="49">
        <v>11.37</v>
      </c>
      <c r="H418" s="49">
        <v>0</v>
      </c>
      <c r="I418" s="49">
        <v>0</v>
      </c>
      <c r="J418" s="49">
        <v>83.33</v>
      </c>
      <c r="K418" s="49">
        <v>21.94</v>
      </c>
      <c r="L418" s="49">
        <v>10.51</v>
      </c>
      <c r="M418" s="49">
        <v>14.78</v>
      </c>
      <c r="N418" s="49">
        <v>0</v>
      </c>
      <c r="O418" s="49">
        <v>16.989999999999998</v>
      </c>
      <c r="P418" s="49">
        <v>21.3</v>
      </c>
      <c r="Q418" s="49">
        <v>20.98</v>
      </c>
      <c r="R418" s="49">
        <v>10.76</v>
      </c>
      <c r="S418" s="49">
        <v>31.16</v>
      </c>
    </row>
    <row r="419" spans="1:19" ht="18">
      <c r="A419" s="49">
        <v>2482</v>
      </c>
      <c r="B419" s="49" t="s">
        <v>649</v>
      </c>
      <c r="C419" s="49">
        <v>16.11</v>
      </c>
      <c r="D419" s="49">
        <v>28.13</v>
      </c>
      <c r="E419" s="49">
        <v>62.34</v>
      </c>
      <c r="F419" s="49">
        <v>44.62</v>
      </c>
      <c r="G419" s="49">
        <v>20</v>
      </c>
      <c r="H419" s="49">
        <v>0</v>
      </c>
      <c r="I419" s="49">
        <v>146.82</v>
      </c>
      <c r="J419" s="49">
        <v>0</v>
      </c>
      <c r="K419" s="49">
        <v>16.46</v>
      </c>
      <c r="L419" s="49">
        <v>0</v>
      </c>
      <c r="M419" s="49">
        <v>0</v>
      </c>
      <c r="N419" s="49">
        <v>0</v>
      </c>
      <c r="O419" s="49">
        <v>21.4</v>
      </c>
      <c r="P419" s="49">
        <v>0</v>
      </c>
      <c r="Q419" s="49">
        <v>0</v>
      </c>
      <c r="R419" s="49">
        <v>10.72</v>
      </c>
      <c r="S419" s="49">
        <v>12.41</v>
      </c>
    </row>
    <row r="420" spans="1:19" ht="18">
      <c r="A420" s="49">
        <v>2483</v>
      </c>
      <c r="B420" s="49" t="s">
        <v>650</v>
      </c>
      <c r="C420" s="49">
        <v>10.84</v>
      </c>
      <c r="D420" s="49">
        <v>33.200000000000003</v>
      </c>
      <c r="E420" s="49">
        <v>0</v>
      </c>
      <c r="F420" s="49">
        <v>9.92</v>
      </c>
      <c r="G420" s="49">
        <v>0</v>
      </c>
      <c r="H420" s="49">
        <v>0</v>
      </c>
      <c r="I420" s="49">
        <v>35.25</v>
      </c>
      <c r="J420" s="49">
        <v>13.98</v>
      </c>
      <c r="K420" s="49">
        <v>9.89</v>
      </c>
      <c r="L420" s="49">
        <v>13.94</v>
      </c>
      <c r="M420" s="49">
        <v>14.5</v>
      </c>
      <c r="N420" s="49">
        <v>11.55</v>
      </c>
      <c r="O420" s="49">
        <v>12.16</v>
      </c>
      <c r="P420" s="49">
        <v>22.95</v>
      </c>
      <c r="Q420" s="49">
        <v>23.06</v>
      </c>
      <c r="R420" s="49">
        <v>14.46</v>
      </c>
      <c r="S420" s="49">
        <v>49.18</v>
      </c>
    </row>
    <row r="421" spans="1:19" ht="18">
      <c r="A421" s="49">
        <v>2484</v>
      </c>
      <c r="B421" s="49" t="s">
        <v>651</v>
      </c>
      <c r="C421" s="49">
        <v>11.42</v>
      </c>
      <c r="D421" s="49">
        <v>7.13</v>
      </c>
      <c r="E421" s="49">
        <v>0</v>
      </c>
      <c r="F421" s="49">
        <v>0</v>
      </c>
      <c r="G421" s="49">
        <v>0</v>
      </c>
      <c r="H421" s="49">
        <v>0</v>
      </c>
      <c r="I421" s="49">
        <v>86.11</v>
      </c>
      <c r="J421" s="49">
        <v>15.24</v>
      </c>
      <c r="K421" s="49">
        <v>9.84</v>
      </c>
      <c r="L421" s="49">
        <v>15.55</v>
      </c>
      <c r="M421" s="49">
        <v>14.79</v>
      </c>
      <c r="N421" s="49">
        <v>12.31</v>
      </c>
      <c r="O421" s="49">
        <v>17.38</v>
      </c>
      <c r="P421" s="49">
        <v>27.76</v>
      </c>
      <c r="Q421" s="49">
        <v>20.149999999999999</v>
      </c>
      <c r="R421" s="49">
        <v>6.8</v>
      </c>
      <c r="S421" s="49">
        <v>15.37</v>
      </c>
    </row>
    <row r="422" spans="1:19" ht="18">
      <c r="A422" s="49">
        <v>2485</v>
      </c>
      <c r="B422" s="49" t="s">
        <v>652</v>
      </c>
      <c r="C422" s="49">
        <v>17.88</v>
      </c>
      <c r="D422" s="49">
        <v>6.15</v>
      </c>
      <c r="E422" s="49">
        <v>16.72</v>
      </c>
      <c r="F422" s="49">
        <v>15.9</v>
      </c>
      <c r="G422" s="49">
        <v>11.67</v>
      </c>
      <c r="H422" s="49">
        <v>12.36</v>
      </c>
      <c r="I422" s="49">
        <v>18.02</v>
      </c>
      <c r="J422" s="49">
        <v>17.350000000000001</v>
      </c>
      <c r="K422" s="49">
        <v>20.82</v>
      </c>
      <c r="L422" s="49">
        <v>15.78</v>
      </c>
      <c r="M422" s="49">
        <v>63.2</v>
      </c>
      <c r="N422" s="49">
        <v>40.4</v>
      </c>
      <c r="O422" s="49">
        <v>45.33</v>
      </c>
      <c r="P422" s="49">
        <v>0</v>
      </c>
      <c r="Q422" s="49">
        <v>0</v>
      </c>
      <c r="R422" s="49">
        <v>0</v>
      </c>
      <c r="S422" s="49">
        <v>91.67</v>
      </c>
    </row>
    <row r="423" spans="1:19" ht="18">
      <c r="A423" s="49">
        <v>2486</v>
      </c>
      <c r="B423" s="49" t="s">
        <v>653</v>
      </c>
      <c r="C423" s="49">
        <v>12.06</v>
      </c>
      <c r="D423" s="49">
        <v>4.53</v>
      </c>
      <c r="E423" s="49">
        <v>21.48</v>
      </c>
      <c r="F423" s="49">
        <v>15.02</v>
      </c>
      <c r="G423" s="49">
        <v>0</v>
      </c>
      <c r="H423" s="49">
        <v>161.82</v>
      </c>
      <c r="I423" s="49">
        <v>41.28</v>
      </c>
      <c r="J423" s="49">
        <v>15.95</v>
      </c>
      <c r="K423" s="49">
        <v>0</v>
      </c>
      <c r="L423" s="49">
        <v>0</v>
      </c>
      <c r="M423" s="49">
        <v>0</v>
      </c>
      <c r="N423" s="49">
        <v>0</v>
      </c>
      <c r="O423" s="49">
        <v>0</v>
      </c>
      <c r="P423" s="49">
        <v>0</v>
      </c>
      <c r="Q423" s="49">
        <v>39.92</v>
      </c>
      <c r="R423" s="49">
        <v>38.07</v>
      </c>
      <c r="S423" s="49">
        <v>74.290000000000006</v>
      </c>
    </row>
    <row r="424" spans="1:19" ht="18">
      <c r="A424" s="49">
        <v>2488</v>
      </c>
      <c r="B424" s="49" t="s">
        <v>654</v>
      </c>
      <c r="C424" s="49">
        <v>9.43</v>
      </c>
      <c r="D424" s="49">
        <v>5.4</v>
      </c>
      <c r="E424" s="49">
        <v>15.6</v>
      </c>
      <c r="F424" s="49">
        <v>10.45</v>
      </c>
      <c r="G424" s="49">
        <v>22.16</v>
      </c>
      <c r="H424" s="49">
        <v>0</v>
      </c>
      <c r="I424" s="49">
        <v>12.05</v>
      </c>
      <c r="J424" s="49">
        <v>7.23</v>
      </c>
      <c r="K424" s="49">
        <v>8.7799999999999994</v>
      </c>
      <c r="L424" s="49">
        <v>8.7200000000000006</v>
      </c>
      <c r="M424" s="49">
        <v>8.2200000000000006</v>
      </c>
      <c r="N424" s="49">
        <v>9.4600000000000009</v>
      </c>
      <c r="O424" s="49">
        <v>9.18</v>
      </c>
      <c r="P424" s="49">
        <v>13.03</v>
      </c>
      <c r="Q424" s="49">
        <v>14.86</v>
      </c>
      <c r="R424" s="49">
        <v>7.87</v>
      </c>
      <c r="S424" s="49">
        <v>9.33</v>
      </c>
    </row>
    <row r="425" spans="1:19" ht="18">
      <c r="A425" s="49">
        <v>2489</v>
      </c>
      <c r="B425" s="49" t="s">
        <v>655</v>
      </c>
      <c r="C425" s="49">
        <v>13.2</v>
      </c>
      <c r="D425" s="49">
        <v>5.2</v>
      </c>
      <c r="E425" s="49">
        <v>15.44</v>
      </c>
      <c r="F425" s="49">
        <v>11.19</v>
      </c>
      <c r="G425" s="49">
        <v>9.81</v>
      </c>
      <c r="H425" s="49">
        <v>10.51</v>
      </c>
      <c r="I425" s="49">
        <v>12.32</v>
      </c>
      <c r="J425" s="49">
        <v>14.44</v>
      </c>
      <c r="K425" s="49">
        <v>14.32</v>
      </c>
      <c r="L425" s="49">
        <v>6.71</v>
      </c>
      <c r="M425" s="49">
        <v>0</v>
      </c>
      <c r="N425" s="49">
        <v>0</v>
      </c>
      <c r="O425" s="49">
        <v>32.270000000000003</v>
      </c>
      <c r="P425" s="49">
        <v>0</v>
      </c>
      <c r="Q425" s="49">
        <v>2.23</v>
      </c>
      <c r="R425" s="49">
        <v>0</v>
      </c>
      <c r="S425" s="49">
        <v>0</v>
      </c>
    </row>
    <row r="426" spans="1:19" ht="18">
      <c r="A426" s="49">
        <v>2491</v>
      </c>
      <c r="B426" s="49" t="s">
        <v>656</v>
      </c>
      <c r="C426" s="49">
        <v>0</v>
      </c>
      <c r="D426" s="49">
        <v>0</v>
      </c>
      <c r="E426" s="49">
        <v>0</v>
      </c>
      <c r="F426" s="49">
        <v>0</v>
      </c>
      <c r="G426" s="49">
        <v>0</v>
      </c>
      <c r="H426" s="49">
        <v>0</v>
      </c>
      <c r="I426" s="49">
        <v>0</v>
      </c>
      <c r="J426" s="49">
        <v>2.46</v>
      </c>
      <c r="K426" s="49">
        <v>0</v>
      </c>
      <c r="L426" s="49">
        <v>15.37</v>
      </c>
      <c r="M426" s="49">
        <v>12.1</v>
      </c>
      <c r="N426" s="49">
        <v>0</v>
      </c>
      <c r="O426" s="49">
        <v>0</v>
      </c>
      <c r="P426" s="49">
        <v>1.92</v>
      </c>
      <c r="Q426" s="49">
        <v>11.65</v>
      </c>
      <c r="R426" s="49">
        <v>0</v>
      </c>
      <c r="S426" s="49">
        <v>48.28</v>
      </c>
    </row>
    <row r="427" spans="1:19" ht="18">
      <c r="A427" s="49">
        <v>2492</v>
      </c>
      <c r="B427" s="49" t="s">
        <v>657</v>
      </c>
      <c r="C427" s="49">
        <v>8.1</v>
      </c>
      <c r="D427" s="49">
        <v>18.43</v>
      </c>
      <c r="E427" s="49">
        <v>0</v>
      </c>
      <c r="F427" s="49">
        <v>13.56</v>
      </c>
      <c r="G427" s="49">
        <v>0</v>
      </c>
      <c r="H427" s="49">
        <v>0</v>
      </c>
      <c r="I427" s="49">
        <v>0</v>
      </c>
      <c r="J427" s="49">
        <v>32.840000000000003</v>
      </c>
      <c r="K427" s="49">
        <v>10.26</v>
      </c>
      <c r="L427" s="49">
        <v>9.5500000000000007</v>
      </c>
      <c r="M427" s="49">
        <v>22.29</v>
      </c>
      <c r="N427" s="49">
        <v>4.74</v>
      </c>
      <c r="O427" s="49">
        <v>11.17</v>
      </c>
      <c r="P427" s="49">
        <v>18.34</v>
      </c>
      <c r="Q427" s="49">
        <v>9.36</v>
      </c>
      <c r="R427" s="49">
        <v>12.42</v>
      </c>
      <c r="S427" s="49">
        <v>35.24</v>
      </c>
    </row>
    <row r="428" spans="1:19" ht="18">
      <c r="A428" s="49">
        <v>2493</v>
      </c>
      <c r="B428" s="49" t="s">
        <v>658</v>
      </c>
      <c r="C428" s="49">
        <v>12.42</v>
      </c>
      <c r="D428" s="49">
        <v>8.86</v>
      </c>
      <c r="E428" s="49">
        <v>0</v>
      </c>
      <c r="F428" s="49">
        <v>14.92</v>
      </c>
      <c r="G428" s="49">
        <v>5.87</v>
      </c>
      <c r="H428" s="49">
        <v>8.0299999999999994</v>
      </c>
      <c r="I428" s="49">
        <v>9.9600000000000009</v>
      </c>
      <c r="J428" s="49">
        <v>10.58</v>
      </c>
      <c r="K428" s="49">
        <v>7.5</v>
      </c>
      <c r="L428" s="49">
        <v>9.39</v>
      </c>
      <c r="M428" s="49">
        <v>11.35</v>
      </c>
      <c r="N428" s="49">
        <v>10.210000000000001</v>
      </c>
      <c r="O428" s="49">
        <v>10.88</v>
      </c>
      <c r="P428" s="49">
        <v>13.51</v>
      </c>
      <c r="Q428" s="49">
        <v>14.49</v>
      </c>
      <c r="R428" s="49">
        <v>8.9499999999999993</v>
      </c>
      <c r="S428" s="49">
        <v>12.92</v>
      </c>
    </row>
    <row r="429" spans="1:19" ht="18">
      <c r="A429" s="49">
        <v>2495</v>
      </c>
      <c r="B429" s="49" t="s">
        <v>659</v>
      </c>
      <c r="C429" s="49">
        <v>8.69</v>
      </c>
      <c r="D429" s="49">
        <v>5.99</v>
      </c>
      <c r="E429" s="49">
        <v>18.34</v>
      </c>
      <c r="F429" s="49">
        <v>17.510000000000002</v>
      </c>
      <c r="G429" s="49">
        <v>16.12</v>
      </c>
      <c r="H429" s="49">
        <v>28.89</v>
      </c>
      <c r="I429" s="49">
        <v>146</v>
      </c>
      <c r="J429" s="49">
        <v>55.63</v>
      </c>
      <c r="K429" s="49">
        <v>16.91</v>
      </c>
      <c r="L429" s="49">
        <v>18.350000000000001</v>
      </c>
      <c r="M429" s="49">
        <v>20.28</v>
      </c>
      <c r="N429" s="49">
        <v>38.06</v>
      </c>
      <c r="O429" s="49">
        <v>12.71</v>
      </c>
      <c r="P429" s="49">
        <v>0</v>
      </c>
      <c r="Q429" s="49">
        <v>76</v>
      </c>
      <c r="R429" s="49">
        <v>23.07</v>
      </c>
      <c r="S429" s="49">
        <v>18.850000000000001</v>
      </c>
    </row>
    <row r="430" spans="1:19" ht="18">
      <c r="A430" s="49">
        <v>2496</v>
      </c>
      <c r="B430" s="49" t="s">
        <v>660</v>
      </c>
      <c r="C430" s="49">
        <v>0</v>
      </c>
      <c r="D430" s="49">
        <v>0</v>
      </c>
      <c r="E430" s="49">
        <v>0</v>
      </c>
      <c r="F430" s="49">
        <v>0</v>
      </c>
      <c r="G430" s="49">
        <v>0</v>
      </c>
      <c r="H430" s="49">
        <v>0</v>
      </c>
      <c r="I430" s="49">
        <v>46.33</v>
      </c>
      <c r="J430" s="49">
        <v>0</v>
      </c>
      <c r="K430" s="49">
        <v>0</v>
      </c>
      <c r="L430" s="49">
        <v>0</v>
      </c>
      <c r="M430" s="49">
        <v>18</v>
      </c>
      <c r="N430" s="49">
        <v>12.72</v>
      </c>
      <c r="O430" s="49">
        <v>10.8</v>
      </c>
      <c r="P430" s="49">
        <v>14.97</v>
      </c>
      <c r="Q430" s="49">
        <v>16.89</v>
      </c>
      <c r="R430" s="49">
        <v>13.03</v>
      </c>
      <c r="S430" s="49">
        <v>13.23</v>
      </c>
    </row>
    <row r="431" spans="1:19" ht="18">
      <c r="A431" s="49">
        <v>2497</v>
      </c>
      <c r="B431" s="49" t="s">
        <v>661</v>
      </c>
      <c r="C431" s="49">
        <v>49.64</v>
      </c>
      <c r="D431" s="49">
        <v>0</v>
      </c>
      <c r="E431" s="49">
        <v>0</v>
      </c>
      <c r="F431" s="49">
        <v>241.11</v>
      </c>
      <c r="G431" s="49">
        <v>14.62</v>
      </c>
      <c r="H431" s="49">
        <v>15.45</v>
      </c>
      <c r="I431" s="49">
        <v>27.34</v>
      </c>
      <c r="J431" s="49">
        <v>15.37</v>
      </c>
      <c r="K431" s="49">
        <v>10.91</v>
      </c>
      <c r="L431" s="49">
        <v>1597.5</v>
      </c>
      <c r="M431" s="49">
        <v>0</v>
      </c>
      <c r="N431" s="49">
        <v>0</v>
      </c>
      <c r="O431" s="49">
        <v>0</v>
      </c>
      <c r="P431" s="49">
        <v>0</v>
      </c>
      <c r="Q431" s="49">
        <v>516.88</v>
      </c>
      <c r="R431" s="49">
        <v>24.38</v>
      </c>
      <c r="S431" s="49">
        <v>29.28</v>
      </c>
    </row>
    <row r="432" spans="1:19" ht="18">
      <c r="A432" s="49">
        <v>2498</v>
      </c>
      <c r="B432" s="49" t="s">
        <v>662</v>
      </c>
      <c r="C432" s="49">
        <v>13.02</v>
      </c>
      <c r="D432" s="49">
        <v>8.09</v>
      </c>
      <c r="E432" s="49">
        <v>11.49</v>
      </c>
      <c r="F432" s="49">
        <v>24.31</v>
      </c>
      <c r="G432" s="49">
        <v>6.51</v>
      </c>
      <c r="H432" s="49">
        <v>9.59</v>
      </c>
      <c r="I432" s="49">
        <v>0</v>
      </c>
      <c r="J432" s="49">
        <v>87.65</v>
      </c>
      <c r="K432" s="49">
        <v>0</v>
      </c>
      <c r="L432" s="49">
        <v>0</v>
      </c>
      <c r="M432" s="49">
        <v>0</v>
      </c>
      <c r="N432" s="49">
        <v>4.38</v>
      </c>
      <c r="O432" s="49">
        <v>0</v>
      </c>
      <c r="P432" s="49">
        <v>0</v>
      </c>
      <c r="Q432" s="49">
        <v>0</v>
      </c>
      <c r="R432" s="49">
        <v>0</v>
      </c>
      <c r="S432" s="49">
        <v>0</v>
      </c>
    </row>
    <row r="433" spans="1:19" ht="18">
      <c r="A433" s="49">
        <v>2501</v>
      </c>
      <c r="B433" s="49" t="s">
        <v>663</v>
      </c>
      <c r="C433" s="49">
        <v>58.08</v>
      </c>
      <c r="D433" s="49">
        <v>12.95</v>
      </c>
      <c r="E433" s="49">
        <v>165</v>
      </c>
      <c r="F433" s="49">
        <v>23</v>
      </c>
      <c r="G433" s="49">
        <v>54.47</v>
      </c>
      <c r="H433" s="49">
        <v>5.73</v>
      </c>
      <c r="I433" s="49">
        <v>16.21</v>
      </c>
      <c r="J433" s="49">
        <v>33.24</v>
      </c>
      <c r="K433" s="49">
        <v>5.43</v>
      </c>
      <c r="L433" s="49">
        <v>8.7899999999999991</v>
      </c>
      <c r="M433" s="49">
        <v>9.35</v>
      </c>
      <c r="N433" s="49">
        <v>7.28</v>
      </c>
      <c r="O433" s="49">
        <v>17.61</v>
      </c>
      <c r="P433" s="49">
        <v>17.93</v>
      </c>
      <c r="Q433" s="49">
        <v>25.33</v>
      </c>
      <c r="R433" s="49">
        <v>14.95</v>
      </c>
      <c r="S433" s="49">
        <v>11.13</v>
      </c>
    </row>
    <row r="434" spans="1:19" ht="18">
      <c r="A434" s="49">
        <v>2504</v>
      </c>
      <c r="B434" s="49" t="s">
        <v>664</v>
      </c>
      <c r="C434" s="49">
        <v>15.54</v>
      </c>
      <c r="D434" s="49">
        <v>11.78</v>
      </c>
      <c r="E434" s="49">
        <v>59</v>
      </c>
      <c r="F434" s="49">
        <v>22.47</v>
      </c>
      <c r="G434" s="49">
        <v>17.420000000000002</v>
      </c>
      <c r="H434" s="49">
        <v>186.67</v>
      </c>
      <c r="I434" s="49">
        <v>37.58</v>
      </c>
      <c r="J434" s="49">
        <v>15.79</v>
      </c>
      <c r="K434" s="49">
        <v>24.16</v>
      </c>
      <c r="L434" s="49">
        <v>0</v>
      </c>
      <c r="M434" s="49">
        <v>0</v>
      </c>
      <c r="N434" s="49">
        <v>46.44</v>
      </c>
      <c r="O434" s="49">
        <v>29.39</v>
      </c>
      <c r="P434" s="49">
        <v>12.89</v>
      </c>
      <c r="Q434" s="49">
        <v>12.35</v>
      </c>
      <c r="R434" s="49">
        <v>6.99</v>
      </c>
      <c r="S434" s="49">
        <v>10.95</v>
      </c>
    </row>
    <row r="435" spans="1:19" ht="18">
      <c r="A435" s="49">
        <v>2505</v>
      </c>
      <c r="B435" s="49" t="s">
        <v>665</v>
      </c>
      <c r="C435" s="49">
        <v>7.19</v>
      </c>
      <c r="D435" s="49">
        <v>5.44</v>
      </c>
      <c r="E435" s="49">
        <v>0</v>
      </c>
      <c r="F435" s="49">
        <v>208.33</v>
      </c>
      <c r="G435" s="49">
        <v>0</v>
      </c>
      <c r="H435" s="49">
        <v>12.67</v>
      </c>
      <c r="I435" s="49">
        <v>5.8</v>
      </c>
      <c r="J435" s="49">
        <v>5.31</v>
      </c>
      <c r="K435" s="49">
        <v>29.05</v>
      </c>
      <c r="L435" s="49">
        <v>0</v>
      </c>
      <c r="M435" s="49">
        <v>30.6</v>
      </c>
      <c r="N435" s="49">
        <v>0</v>
      </c>
      <c r="O435" s="49">
        <v>111.67</v>
      </c>
      <c r="P435" s="49">
        <v>0</v>
      </c>
      <c r="Q435" s="49">
        <v>9.07</v>
      </c>
      <c r="R435" s="49">
        <v>9.81</v>
      </c>
      <c r="S435" s="49">
        <v>81.03</v>
      </c>
    </row>
    <row r="436" spans="1:19" ht="18">
      <c r="A436" s="49">
        <v>2506</v>
      </c>
      <c r="B436" s="49" t="s">
        <v>666</v>
      </c>
      <c r="C436" s="49">
        <v>0</v>
      </c>
      <c r="D436" s="49">
        <v>0</v>
      </c>
      <c r="E436" s="49">
        <v>10.1</v>
      </c>
      <c r="F436" s="49">
        <v>6.64</v>
      </c>
      <c r="G436" s="49">
        <v>3.24</v>
      </c>
      <c r="H436" s="49">
        <v>133.5</v>
      </c>
      <c r="I436" s="49">
        <v>20.6</v>
      </c>
      <c r="J436" s="49">
        <v>6.17</v>
      </c>
      <c r="K436" s="49">
        <v>23.43</v>
      </c>
      <c r="L436" s="49">
        <v>19.91</v>
      </c>
      <c r="M436" s="49">
        <v>0</v>
      </c>
      <c r="N436" s="49">
        <v>0</v>
      </c>
      <c r="O436" s="49">
        <v>18.670000000000002</v>
      </c>
      <c r="P436" s="49">
        <v>0</v>
      </c>
      <c r="Q436" s="49">
        <v>19.48</v>
      </c>
      <c r="R436" s="49">
        <v>4.6500000000000004</v>
      </c>
      <c r="S436" s="49">
        <v>0</v>
      </c>
    </row>
    <row r="437" spans="1:19" ht="18">
      <c r="A437" s="49">
        <v>2509</v>
      </c>
      <c r="B437" s="49" t="s">
        <v>667</v>
      </c>
      <c r="C437" s="49">
        <v>7.31</v>
      </c>
      <c r="D437" s="49">
        <v>4.83</v>
      </c>
      <c r="E437" s="49">
        <v>9.86</v>
      </c>
      <c r="F437" s="49">
        <v>29.62</v>
      </c>
      <c r="G437" s="49">
        <v>4.53</v>
      </c>
      <c r="H437" s="49">
        <v>9.36</v>
      </c>
      <c r="I437" s="49">
        <v>8.9</v>
      </c>
      <c r="J437" s="49">
        <v>0</v>
      </c>
      <c r="K437" s="49">
        <v>0</v>
      </c>
      <c r="L437" s="49">
        <v>4.47</v>
      </c>
      <c r="M437" s="49">
        <v>0</v>
      </c>
      <c r="N437" s="49">
        <v>0</v>
      </c>
      <c r="O437" s="49">
        <v>3.37</v>
      </c>
      <c r="P437" s="49">
        <v>32.46</v>
      </c>
      <c r="Q437" s="49">
        <v>17.739999999999998</v>
      </c>
      <c r="R437" s="49">
        <v>0</v>
      </c>
      <c r="S437" s="49">
        <v>0</v>
      </c>
    </row>
    <row r="438" spans="1:19" ht="18">
      <c r="A438" s="49">
        <v>2511</v>
      </c>
      <c r="B438" s="49" t="s">
        <v>668</v>
      </c>
      <c r="C438" s="49">
        <v>14.75</v>
      </c>
      <c r="D438" s="49">
        <v>0</v>
      </c>
      <c r="E438" s="49">
        <v>20.329999999999998</v>
      </c>
      <c r="F438" s="49">
        <v>10.7</v>
      </c>
      <c r="G438" s="49">
        <v>8.2200000000000006</v>
      </c>
      <c r="H438" s="49">
        <v>14.38</v>
      </c>
      <c r="I438" s="49">
        <v>36.56</v>
      </c>
      <c r="J438" s="49">
        <v>7.65</v>
      </c>
      <c r="K438" s="49">
        <v>6.76</v>
      </c>
      <c r="L438" s="49">
        <v>8.9700000000000006</v>
      </c>
      <c r="M438" s="49">
        <v>10.76</v>
      </c>
      <c r="N438" s="49">
        <v>12.75</v>
      </c>
      <c r="O438" s="49">
        <v>13.72</v>
      </c>
      <c r="P438" s="49">
        <v>39.659999999999997</v>
      </c>
      <c r="Q438" s="49">
        <v>13.4</v>
      </c>
      <c r="R438" s="49">
        <v>11.93</v>
      </c>
      <c r="S438" s="49">
        <v>22.65</v>
      </c>
    </row>
    <row r="439" spans="1:19" ht="18">
      <c r="A439" s="49">
        <v>2514</v>
      </c>
      <c r="B439" s="49" t="s">
        <v>669</v>
      </c>
      <c r="C439" s="49">
        <v>8.43</v>
      </c>
      <c r="D439" s="49">
        <v>0</v>
      </c>
      <c r="E439" s="49">
        <v>0</v>
      </c>
      <c r="F439" s="49">
        <v>6.49</v>
      </c>
      <c r="G439" s="49">
        <v>6.26</v>
      </c>
      <c r="H439" s="49">
        <v>51.05</v>
      </c>
      <c r="I439" s="49">
        <v>13.29</v>
      </c>
      <c r="J439" s="49">
        <v>20.61</v>
      </c>
      <c r="K439" s="49">
        <v>0</v>
      </c>
      <c r="L439" s="49">
        <v>8.4600000000000009</v>
      </c>
      <c r="M439" s="49">
        <v>6.67</v>
      </c>
      <c r="N439" s="49">
        <v>27.86</v>
      </c>
      <c r="O439" s="49">
        <v>24.84</v>
      </c>
      <c r="P439" s="49">
        <v>51.25</v>
      </c>
      <c r="Q439" s="49">
        <v>2.92</v>
      </c>
      <c r="R439" s="49">
        <v>18.88</v>
      </c>
      <c r="S439" s="49">
        <v>11.61</v>
      </c>
    </row>
    <row r="440" spans="1:19" ht="18">
      <c r="A440" s="49">
        <v>2515</v>
      </c>
      <c r="B440" s="49" t="s">
        <v>670</v>
      </c>
      <c r="C440" s="49">
        <v>11.87</v>
      </c>
      <c r="D440" s="49">
        <v>20.74</v>
      </c>
      <c r="E440" s="49">
        <v>0</v>
      </c>
      <c r="F440" s="49">
        <v>24.76</v>
      </c>
      <c r="G440" s="49">
        <v>28.36</v>
      </c>
      <c r="H440" s="49">
        <v>67</v>
      </c>
      <c r="I440" s="49">
        <v>69.150000000000006</v>
      </c>
      <c r="J440" s="49">
        <v>24.09</v>
      </c>
      <c r="K440" s="49">
        <v>7.02</v>
      </c>
      <c r="L440" s="49">
        <v>0</v>
      </c>
      <c r="M440" s="49">
        <v>41</v>
      </c>
      <c r="N440" s="49">
        <v>27.38</v>
      </c>
      <c r="O440" s="49">
        <v>59.85</v>
      </c>
      <c r="P440" s="49">
        <v>29.41</v>
      </c>
      <c r="Q440" s="49">
        <v>27.45</v>
      </c>
      <c r="R440" s="49">
        <v>4.2</v>
      </c>
      <c r="S440" s="49">
        <v>30.93</v>
      </c>
    </row>
    <row r="441" spans="1:19" ht="18">
      <c r="A441" s="49">
        <v>2516</v>
      </c>
      <c r="B441" s="49" t="s">
        <v>671</v>
      </c>
      <c r="C441" s="49">
        <v>0</v>
      </c>
      <c r="D441" s="49">
        <v>8.06</v>
      </c>
      <c r="E441" s="49">
        <v>11.2</v>
      </c>
      <c r="F441" s="49">
        <v>8.3699999999999992</v>
      </c>
      <c r="G441" s="49">
        <v>5.28</v>
      </c>
      <c r="H441" s="49">
        <v>11.33</v>
      </c>
      <c r="I441" s="49">
        <v>0</v>
      </c>
      <c r="J441" s="49">
        <v>7.77</v>
      </c>
      <c r="K441" s="49">
        <v>14.54</v>
      </c>
      <c r="L441" s="49">
        <v>10.52</v>
      </c>
      <c r="M441" s="49">
        <v>0</v>
      </c>
      <c r="N441" s="49">
        <v>0</v>
      </c>
      <c r="O441" s="49">
        <v>30.25</v>
      </c>
      <c r="P441" s="49">
        <v>0</v>
      </c>
      <c r="Q441" s="49">
        <v>0</v>
      </c>
      <c r="R441" s="49">
        <v>0</v>
      </c>
      <c r="S441" s="49">
        <v>0</v>
      </c>
    </row>
    <row r="442" spans="1:19" ht="18">
      <c r="A442" s="49">
        <v>2520</v>
      </c>
      <c r="B442" s="49" t="s">
        <v>672</v>
      </c>
      <c r="C442" s="49">
        <v>47.92</v>
      </c>
      <c r="D442" s="49">
        <v>4.51</v>
      </c>
      <c r="E442" s="49">
        <v>15.43</v>
      </c>
      <c r="F442" s="49">
        <v>10.37</v>
      </c>
      <c r="G442" s="49">
        <v>7.36</v>
      </c>
      <c r="H442" s="49">
        <v>12.69</v>
      </c>
      <c r="I442" s="49">
        <v>21.72</v>
      </c>
      <c r="J442" s="49">
        <v>5.94</v>
      </c>
      <c r="K442" s="49">
        <v>5.67</v>
      </c>
      <c r="L442" s="49">
        <v>7.38</v>
      </c>
      <c r="M442" s="49">
        <v>24.88</v>
      </c>
      <c r="N442" s="49">
        <v>0</v>
      </c>
      <c r="O442" s="49">
        <v>10.32</v>
      </c>
      <c r="P442" s="49">
        <v>8.35</v>
      </c>
      <c r="Q442" s="49">
        <v>4.4400000000000004</v>
      </c>
      <c r="R442" s="49">
        <v>5.96</v>
      </c>
      <c r="S442" s="49">
        <v>9.64</v>
      </c>
    </row>
    <row r="443" spans="1:19" ht="18">
      <c r="A443" s="49">
        <v>2524</v>
      </c>
      <c r="B443" s="49" t="s">
        <v>673</v>
      </c>
      <c r="C443" s="49">
        <v>9.08</v>
      </c>
      <c r="D443" s="49">
        <v>5.73</v>
      </c>
      <c r="E443" s="49">
        <v>27.54</v>
      </c>
      <c r="F443" s="49">
        <v>15.63</v>
      </c>
      <c r="G443" s="49">
        <v>6.48</v>
      </c>
      <c r="H443" s="49">
        <v>14.2</v>
      </c>
      <c r="I443" s="49">
        <v>5.34</v>
      </c>
      <c r="J443" s="49">
        <v>10.99</v>
      </c>
      <c r="K443" s="49">
        <v>15.36</v>
      </c>
      <c r="L443" s="49">
        <v>29.86</v>
      </c>
      <c r="M443" s="49">
        <v>10.93</v>
      </c>
      <c r="N443" s="49">
        <v>12.82</v>
      </c>
      <c r="O443" s="49">
        <v>9.76</v>
      </c>
      <c r="P443" s="49">
        <v>8.57</v>
      </c>
      <c r="Q443" s="49">
        <v>9.83</v>
      </c>
      <c r="R443" s="49">
        <v>11.48</v>
      </c>
      <c r="S443" s="49">
        <v>14.19</v>
      </c>
    </row>
    <row r="444" spans="1:19" ht="18">
      <c r="A444" s="49">
        <v>2527</v>
      </c>
      <c r="B444" s="49" t="s">
        <v>674</v>
      </c>
      <c r="C444" s="49">
        <v>158.75</v>
      </c>
      <c r="D444" s="49">
        <v>30</v>
      </c>
      <c r="E444" s="49">
        <v>0</v>
      </c>
      <c r="F444" s="49">
        <v>12.77</v>
      </c>
      <c r="G444" s="49">
        <v>5.59</v>
      </c>
      <c r="H444" s="49">
        <v>42.1</v>
      </c>
      <c r="I444" s="49">
        <v>0</v>
      </c>
      <c r="J444" s="49">
        <v>3.96</v>
      </c>
      <c r="K444" s="49">
        <v>8.59</v>
      </c>
      <c r="L444" s="49">
        <v>21.7</v>
      </c>
      <c r="M444" s="49">
        <v>0</v>
      </c>
      <c r="N444" s="49">
        <v>52.09</v>
      </c>
      <c r="O444" s="49">
        <v>6.17</v>
      </c>
      <c r="P444" s="49">
        <v>15.36</v>
      </c>
      <c r="Q444" s="49">
        <v>5.08</v>
      </c>
      <c r="R444" s="49">
        <v>9.41</v>
      </c>
      <c r="S444" s="49">
        <v>14.16</v>
      </c>
    </row>
    <row r="445" spans="1:19" ht="18">
      <c r="A445" s="49">
        <v>2528</v>
      </c>
      <c r="B445" s="49" t="s">
        <v>675</v>
      </c>
      <c r="C445" s="49">
        <v>0</v>
      </c>
      <c r="D445" s="49">
        <v>0</v>
      </c>
      <c r="E445" s="49">
        <v>0</v>
      </c>
      <c r="F445" s="49">
        <v>14.14</v>
      </c>
      <c r="G445" s="49">
        <v>0</v>
      </c>
      <c r="H445" s="49">
        <v>27.71</v>
      </c>
      <c r="I445" s="49">
        <v>0</v>
      </c>
      <c r="J445" s="49">
        <v>5.98</v>
      </c>
      <c r="K445" s="49">
        <v>0</v>
      </c>
      <c r="L445" s="49">
        <v>63.5</v>
      </c>
      <c r="M445" s="49">
        <v>392</v>
      </c>
      <c r="N445" s="49">
        <v>0</v>
      </c>
      <c r="O445" s="49">
        <v>0</v>
      </c>
      <c r="P445" s="49">
        <v>0</v>
      </c>
      <c r="Q445" s="49">
        <v>33.979999999999997</v>
      </c>
      <c r="R445" s="49">
        <v>12.31</v>
      </c>
      <c r="S445" s="49">
        <v>37.549999999999997</v>
      </c>
    </row>
    <row r="446" spans="1:19" ht="18">
      <c r="A446" s="49">
        <v>2530</v>
      </c>
      <c r="B446" s="49" t="s">
        <v>676</v>
      </c>
      <c r="C446" s="49">
        <v>9.39</v>
      </c>
      <c r="D446" s="49">
        <v>0</v>
      </c>
      <c r="E446" s="49">
        <v>0</v>
      </c>
      <c r="F446" s="49">
        <v>7.65</v>
      </c>
      <c r="G446" s="49">
        <v>7</v>
      </c>
      <c r="H446" s="49">
        <v>88.5</v>
      </c>
      <c r="I446" s="49">
        <v>302.5</v>
      </c>
      <c r="J446" s="49">
        <v>0</v>
      </c>
      <c r="K446" s="49">
        <v>0</v>
      </c>
      <c r="L446" s="49">
        <v>3.21</v>
      </c>
      <c r="M446" s="49">
        <v>0</v>
      </c>
      <c r="N446" s="49">
        <v>392.5</v>
      </c>
      <c r="O446" s="49">
        <v>0</v>
      </c>
      <c r="P446" s="49">
        <v>0</v>
      </c>
      <c r="Q446" s="49">
        <v>0</v>
      </c>
      <c r="R446" s="49">
        <v>246.43</v>
      </c>
      <c r="S446" s="49">
        <v>94.34</v>
      </c>
    </row>
    <row r="447" spans="1:19" ht="18">
      <c r="A447" s="49">
        <v>2534</v>
      </c>
      <c r="B447" s="49" t="s">
        <v>677</v>
      </c>
      <c r="C447" s="49">
        <v>4.74</v>
      </c>
      <c r="D447" s="49">
        <v>4.8600000000000003</v>
      </c>
      <c r="E447" s="49">
        <v>15.1</v>
      </c>
      <c r="F447" s="49">
        <v>7.26</v>
      </c>
      <c r="G447" s="49">
        <v>266</v>
      </c>
      <c r="H447" s="49">
        <v>8.5</v>
      </c>
      <c r="I447" s="49">
        <v>0</v>
      </c>
      <c r="J447" s="49">
        <v>72.86</v>
      </c>
      <c r="K447" s="49">
        <v>28.91</v>
      </c>
      <c r="L447" s="49">
        <v>30.66</v>
      </c>
      <c r="M447" s="49">
        <v>6.45</v>
      </c>
      <c r="N447" s="49">
        <v>5.28</v>
      </c>
      <c r="O447" s="49">
        <v>14.28</v>
      </c>
      <c r="P447" s="49">
        <v>15.31</v>
      </c>
      <c r="Q447" s="49">
        <v>13.48</v>
      </c>
      <c r="R447" s="49">
        <v>9.24</v>
      </c>
      <c r="S447" s="49">
        <v>6.51</v>
      </c>
    </row>
    <row r="448" spans="1:19" ht="18">
      <c r="A448" s="49">
        <v>2535</v>
      </c>
      <c r="B448" s="49" t="s">
        <v>678</v>
      </c>
      <c r="C448" s="49">
        <v>12.32</v>
      </c>
      <c r="D448" s="49">
        <v>10.39</v>
      </c>
      <c r="E448" s="49">
        <v>17.190000000000001</v>
      </c>
      <c r="F448" s="49">
        <v>18.3</v>
      </c>
      <c r="G448" s="49">
        <v>6.85</v>
      </c>
      <c r="H448" s="49">
        <v>10.92</v>
      </c>
      <c r="I448" s="49">
        <v>7.17</v>
      </c>
      <c r="J448" s="49">
        <v>7.71</v>
      </c>
      <c r="K448" s="49">
        <v>9.6</v>
      </c>
      <c r="L448" s="49">
        <v>8.68</v>
      </c>
      <c r="M448" s="49">
        <v>6.74</v>
      </c>
      <c r="N448" s="49">
        <v>8</v>
      </c>
      <c r="O448" s="49">
        <v>10.68</v>
      </c>
      <c r="P448" s="49">
        <v>9.17</v>
      </c>
      <c r="Q448" s="49">
        <v>8.6199999999999992</v>
      </c>
      <c r="R448" s="49">
        <v>8.4499999999999993</v>
      </c>
      <c r="S448" s="49">
        <v>9</v>
      </c>
    </row>
    <row r="449" spans="1:19" ht="18">
      <c r="A449" s="49">
        <v>2536</v>
      </c>
      <c r="B449" s="49" t="s">
        <v>679</v>
      </c>
      <c r="C449" s="49">
        <v>5.38</v>
      </c>
      <c r="D449" s="49">
        <v>3.26</v>
      </c>
      <c r="E449" s="49">
        <v>8.52</v>
      </c>
      <c r="F449" s="49">
        <v>21.53</v>
      </c>
      <c r="G449" s="49">
        <v>10.42</v>
      </c>
      <c r="H449" s="49">
        <v>6.73</v>
      </c>
      <c r="I449" s="49">
        <v>136.82</v>
      </c>
      <c r="J449" s="49">
        <v>6.38</v>
      </c>
      <c r="K449" s="49">
        <v>3.99</v>
      </c>
      <c r="L449" s="49">
        <v>5.35</v>
      </c>
      <c r="M449" s="49">
        <v>0</v>
      </c>
      <c r="N449" s="49">
        <v>7.4</v>
      </c>
      <c r="O449" s="49">
        <v>14.27</v>
      </c>
      <c r="P449" s="49">
        <v>10.95</v>
      </c>
      <c r="Q449" s="49">
        <v>77.17</v>
      </c>
      <c r="R449" s="49">
        <v>0</v>
      </c>
      <c r="S449" s="49">
        <v>0</v>
      </c>
    </row>
    <row r="450" spans="1:19" ht="18">
      <c r="A450" s="49">
        <v>2537</v>
      </c>
      <c r="B450" s="49" t="s">
        <v>680</v>
      </c>
      <c r="C450" s="49">
        <v>0</v>
      </c>
      <c r="D450" s="49">
        <v>0</v>
      </c>
      <c r="E450" s="49">
        <v>46.73</v>
      </c>
      <c r="F450" s="49">
        <v>225</v>
      </c>
      <c r="G450" s="49">
        <v>3.23</v>
      </c>
      <c r="H450" s="49">
        <v>11.84</v>
      </c>
      <c r="I450" s="49">
        <v>5.0599999999999996</v>
      </c>
      <c r="J450" s="49">
        <v>8.0299999999999994</v>
      </c>
      <c r="K450" s="49">
        <v>29.29</v>
      </c>
      <c r="L450" s="49">
        <v>2.65</v>
      </c>
      <c r="M450" s="49">
        <v>0</v>
      </c>
      <c r="N450" s="49">
        <v>0</v>
      </c>
      <c r="O450" s="49">
        <v>0</v>
      </c>
      <c r="P450" s="49">
        <v>57.35</v>
      </c>
      <c r="Q450" s="49">
        <v>9.86</v>
      </c>
      <c r="R450" s="49">
        <v>12.7</v>
      </c>
      <c r="S450" s="49">
        <v>0</v>
      </c>
    </row>
    <row r="451" spans="1:19" ht="18">
      <c r="A451" s="49">
        <v>2538</v>
      </c>
      <c r="B451" s="49" t="s">
        <v>681</v>
      </c>
      <c r="C451" s="49">
        <v>11.12</v>
      </c>
      <c r="D451" s="49">
        <v>5.59</v>
      </c>
      <c r="E451" s="49">
        <v>11.96</v>
      </c>
      <c r="F451" s="49">
        <v>22.48</v>
      </c>
      <c r="G451" s="49">
        <v>5.95</v>
      </c>
      <c r="H451" s="49">
        <v>13.96</v>
      </c>
      <c r="I451" s="49">
        <v>8.18</v>
      </c>
      <c r="J451" s="49">
        <v>5.16</v>
      </c>
      <c r="K451" s="49">
        <v>3.53</v>
      </c>
      <c r="L451" s="49">
        <v>0</v>
      </c>
      <c r="M451" s="49">
        <v>1030</v>
      </c>
      <c r="N451" s="49">
        <v>176.43</v>
      </c>
      <c r="O451" s="49">
        <v>117.27</v>
      </c>
      <c r="P451" s="49">
        <v>0</v>
      </c>
      <c r="Q451" s="49">
        <v>0</v>
      </c>
      <c r="R451" s="49">
        <v>18.329999999999998</v>
      </c>
      <c r="S451" s="49">
        <v>14.67</v>
      </c>
    </row>
    <row r="452" spans="1:19" ht="18">
      <c r="A452" s="49">
        <v>2539</v>
      </c>
      <c r="B452" s="49" t="s">
        <v>682</v>
      </c>
      <c r="C452" s="49">
        <v>0</v>
      </c>
      <c r="D452" s="49">
        <v>0</v>
      </c>
      <c r="E452" s="49">
        <v>10.45</v>
      </c>
      <c r="F452" s="49">
        <v>88.7</v>
      </c>
      <c r="G452" s="49">
        <v>8.19</v>
      </c>
      <c r="H452" s="49">
        <v>16.25</v>
      </c>
      <c r="I452" s="49">
        <v>25.98</v>
      </c>
      <c r="J452" s="49">
        <v>4.78</v>
      </c>
      <c r="K452" s="49">
        <v>8.1199999999999992</v>
      </c>
      <c r="L452" s="49">
        <v>18.53</v>
      </c>
      <c r="M452" s="49">
        <v>7.39</v>
      </c>
      <c r="N452" s="49">
        <v>20.77</v>
      </c>
      <c r="O452" s="49">
        <v>16.670000000000002</v>
      </c>
      <c r="P452" s="49">
        <v>12.96</v>
      </c>
      <c r="Q452" s="49">
        <v>23.38</v>
      </c>
      <c r="R452" s="49">
        <v>12.04</v>
      </c>
      <c r="S452" s="49">
        <v>41.02</v>
      </c>
    </row>
    <row r="453" spans="1:19" ht="18">
      <c r="A453" s="49">
        <v>2540</v>
      </c>
      <c r="B453" s="49" t="s">
        <v>683</v>
      </c>
      <c r="C453" s="49">
        <v>1.98</v>
      </c>
      <c r="D453" s="49">
        <v>0</v>
      </c>
      <c r="E453" s="49">
        <v>1.73</v>
      </c>
      <c r="F453" s="49">
        <v>0</v>
      </c>
      <c r="G453" s="49">
        <v>0</v>
      </c>
      <c r="H453" s="49">
        <v>0</v>
      </c>
      <c r="I453" s="49">
        <v>0</v>
      </c>
      <c r="J453" s="49">
        <v>11.73</v>
      </c>
      <c r="K453" s="49">
        <v>72.39</v>
      </c>
      <c r="L453" s="49">
        <v>10.88</v>
      </c>
      <c r="M453" s="49">
        <v>45.65</v>
      </c>
      <c r="N453" s="49">
        <v>18.82</v>
      </c>
      <c r="O453" s="49">
        <v>54.49</v>
      </c>
      <c r="P453" s="49">
        <v>15.64</v>
      </c>
      <c r="Q453" s="49">
        <v>13.1</v>
      </c>
      <c r="R453" s="49">
        <v>23.41</v>
      </c>
      <c r="S453" s="49">
        <v>33.32</v>
      </c>
    </row>
    <row r="454" spans="1:19" ht="18">
      <c r="A454" s="49">
        <v>2542</v>
      </c>
      <c r="B454" s="49" t="s">
        <v>684</v>
      </c>
      <c r="C454" s="49">
        <v>5.19</v>
      </c>
      <c r="D454" s="49">
        <v>4.8600000000000003</v>
      </c>
      <c r="E454" s="49">
        <v>10.79</v>
      </c>
      <c r="F454" s="49">
        <v>6.86</v>
      </c>
      <c r="G454" s="49">
        <v>4.4000000000000004</v>
      </c>
      <c r="H454" s="49">
        <v>7.86</v>
      </c>
      <c r="I454" s="49">
        <v>4.7300000000000004</v>
      </c>
      <c r="J454" s="49">
        <v>5.77</v>
      </c>
      <c r="K454" s="49">
        <v>11.92</v>
      </c>
      <c r="L454" s="49">
        <v>4.63</v>
      </c>
      <c r="M454" s="49">
        <v>17.2</v>
      </c>
      <c r="N454" s="49">
        <v>10.14</v>
      </c>
      <c r="O454" s="49">
        <v>12.51</v>
      </c>
      <c r="P454" s="49">
        <v>16.86</v>
      </c>
      <c r="Q454" s="49">
        <v>7.63</v>
      </c>
      <c r="R454" s="49">
        <v>28.58</v>
      </c>
      <c r="S454" s="49">
        <v>13.69</v>
      </c>
    </row>
    <row r="455" spans="1:19" ht="18">
      <c r="A455" s="49">
        <v>2543</v>
      </c>
      <c r="B455" s="49" t="s">
        <v>685</v>
      </c>
      <c r="C455" s="49">
        <v>12.38</v>
      </c>
      <c r="D455" s="49">
        <v>7.66</v>
      </c>
      <c r="E455" s="49">
        <v>0</v>
      </c>
      <c r="F455" s="49">
        <v>0</v>
      </c>
      <c r="G455" s="49">
        <v>7.78</v>
      </c>
      <c r="H455" s="49">
        <v>123</v>
      </c>
      <c r="I455" s="49">
        <v>22.29</v>
      </c>
      <c r="J455" s="49">
        <v>6.97</v>
      </c>
      <c r="K455" s="49">
        <v>8.9600000000000009</v>
      </c>
      <c r="L455" s="49">
        <v>23.72</v>
      </c>
      <c r="M455" s="49">
        <v>91.67</v>
      </c>
      <c r="N455" s="49">
        <v>0</v>
      </c>
      <c r="O455" s="49">
        <v>0</v>
      </c>
      <c r="P455" s="49">
        <v>39.89</v>
      </c>
      <c r="Q455" s="49">
        <v>33.04</v>
      </c>
      <c r="R455" s="49">
        <v>4.1500000000000004</v>
      </c>
      <c r="S455" s="49">
        <v>18.32</v>
      </c>
    </row>
    <row r="456" spans="1:19" ht="18">
      <c r="A456" s="49">
        <v>2545</v>
      </c>
      <c r="B456" s="49" t="s">
        <v>686</v>
      </c>
      <c r="C456" s="49">
        <v>3.63</v>
      </c>
      <c r="D456" s="49">
        <v>4.58</v>
      </c>
      <c r="E456" s="49">
        <v>13</v>
      </c>
      <c r="F456" s="49">
        <v>157.1</v>
      </c>
      <c r="G456" s="49">
        <v>11.17</v>
      </c>
      <c r="H456" s="49">
        <v>5.39</v>
      </c>
      <c r="I456" s="49">
        <v>8.0399999999999991</v>
      </c>
      <c r="J456" s="49">
        <v>16.329999999999998</v>
      </c>
      <c r="K456" s="49">
        <v>13.26</v>
      </c>
      <c r="L456" s="49">
        <v>4.9800000000000004</v>
      </c>
      <c r="M456" s="49">
        <v>0</v>
      </c>
      <c r="N456" s="49">
        <v>28.39</v>
      </c>
      <c r="O456" s="49">
        <v>31.75</v>
      </c>
      <c r="P456" s="49">
        <v>8.7200000000000006</v>
      </c>
      <c r="Q456" s="49">
        <v>8.3000000000000007</v>
      </c>
      <c r="R456" s="49">
        <v>4.17</v>
      </c>
      <c r="S456" s="49">
        <v>119.58</v>
      </c>
    </row>
    <row r="457" spans="1:19" ht="18">
      <c r="A457" s="49">
        <v>2546</v>
      </c>
      <c r="B457" s="49" t="s">
        <v>687</v>
      </c>
      <c r="C457" s="49">
        <v>8.6300000000000008</v>
      </c>
      <c r="D457" s="49">
        <v>11.12</v>
      </c>
      <c r="E457" s="49">
        <v>9.52</v>
      </c>
      <c r="F457" s="49">
        <v>9.25</v>
      </c>
      <c r="G457" s="49">
        <v>7.39</v>
      </c>
      <c r="H457" s="49">
        <v>33.82</v>
      </c>
      <c r="I457" s="49">
        <v>9.02</v>
      </c>
      <c r="J457" s="49">
        <v>8.3699999999999992</v>
      </c>
      <c r="K457" s="49">
        <v>10.35</v>
      </c>
      <c r="L457" s="49">
        <v>10</v>
      </c>
      <c r="M457" s="49">
        <v>8.33</v>
      </c>
      <c r="N457" s="49">
        <v>8.01</v>
      </c>
      <c r="O457" s="49">
        <v>8.81</v>
      </c>
      <c r="P457" s="49">
        <v>10.87</v>
      </c>
      <c r="Q457" s="49">
        <v>7.06</v>
      </c>
      <c r="R457" s="49">
        <v>8.0299999999999994</v>
      </c>
      <c r="S457" s="49">
        <v>8.27</v>
      </c>
    </row>
    <row r="458" spans="1:19" ht="18">
      <c r="A458" s="49">
        <v>2547</v>
      </c>
      <c r="B458" s="49" t="s">
        <v>688</v>
      </c>
      <c r="C458" s="49">
        <v>11.16</v>
      </c>
      <c r="D458" s="49">
        <v>11.25</v>
      </c>
      <c r="E458" s="49">
        <v>17.579999999999998</v>
      </c>
      <c r="F458" s="49">
        <v>8.19</v>
      </c>
      <c r="G458" s="49">
        <v>3.96</v>
      </c>
      <c r="H458" s="49">
        <v>70.430000000000007</v>
      </c>
      <c r="I458" s="49">
        <v>2.2400000000000002</v>
      </c>
      <c r="J458" s="49">
        <v>9.27</v>
      </c>
      <c r="K458" s="49">
        <v>0</v>
      </c>
      <c r="L458" s="49">
        <v>0</v>
      </c>
      <c r="M458" s="49">
        <v>0</v>
      </c>
      <c r="N458" s="49">
        <v>2.86</v>
      </c>
      <c r="O458" s="49">
        <v>166.43</v>
      </c>
      <c r="P458" s="49">
        <v>31.71</v>
      </c>
      <c r="Q458" s="49">
        <v>54.25</v>
      </c>
      <c r="R458" s="49">
        <v>30.43</v>
      </c>
      <c r="S458" s="49">
        <v>0</v>
      </c>
    </row>
    <row r="459" spans="1:19" ht="18">
      <c r="A459" s="49">
        <v>2548</v>
      </c>
      <c r="B459" s="49" t="s">
        <v>689</v>
      </c>
      <c r="C459" s="49">
        <v>7.64</v>
      </c>
      <c r="D459" s="49">
        <v>2.89</v>
      </c>
      <c r="E459" s="49">
        <v>7.92</v>
      </c>
      <c r="F459" s="49">
        <v>9.4</v>
      </c>
      <c r="G459" s="49">
        <v>4.96</v>
      </c>
      <c r="H459" s="49">
        <v>23.52</v>
      </c>
      <c r="I459" s="49">
        <v>5.37</v>
      </c>
      <c r="J459" s="49">
        <v>0</v>
      </c>
      <c r="K459" s="49">
        <v>4.2300000000000004</v>
      </c>
      <c r="L459" s="49">
        <v>11.5</v>
      </c>
      <c r="M459" s="49">
        <v>5.61</v>
      </c>
      <c r="N459" s="49">
        <v>25.99</v>
      </c>
      <c r="O459" s="49">
        <v>7.65</v>
      </c>
      <c r="P459" s="49">
        <v>10.68</v>
      </c>
      <c r="Q459" s="49">
        <v>11.31</v>
      </c>
      <c r="R459" s="49">
        <v>5.78</v>
      </c>
      <c r="S459" s="49">
        <v>12.98</v>
      </c>
    </row>
    <row r="460" spans="1:19" ht="18">
      <c r="A460" s="49">
        <v>2596</v>
      </c>
      <c r="B460" s="49" t="s">
        <v>1278</v>
      </c>
      <c r="C460" s="49">
        <v>0</v>
      </c>
      <c r="D460" s="49">
        <v>0</v>
      </c>
      <c r="E460" s="49">
        <v>11.93</v>
      </c>
      <c r="F460" s="49">
        <v>12.29</v>
      </c>
      <c r="G460" s="49">
        <v>0</v>
      </c>
      <c r="H460" s="49">
        <v>12.05</v>
      </c>
      <c r="I460" s="49">
        <v>6.15</v>
      </c>
      <c r="J460" s="49">
        <v>4.7300000000000004</v>
      </c>
      <c r="K460" s="49">
        <v>19.61</v>
      </c>
      <c r="L460" s="49">
        <v>6.99</v>
      </c>
      <c r="M460" s="49">
        <v>6.69</v>
      </c>
      <c r="N460" s="49">
        <v>4.2</v>
      </c>
      <c r="O460" s="49">
        <v>0</v>
      </c>
      <c r="P460" s="49">
        <v>12.74</v>
      </c>
      <c r="Q460" s="49">
        <v>8.65</v>
      </c>
      <c r="R460" s="49">
        <v>10.23</v>
      </c>
      <c r="S460" s="49">
        <v>114.32</v>
      </c>
    </row>
    <row r="461" spans="1:19" ht="18">
      <c r="A461" s="49">
        <v>2597</v>
      </c>
      <c r="B461" s="49" t="s">
        <v>690</v>
      </c>
      <c r="C461" s="49">
        <v>0</v>
      </c>
      <c r="D461" s="49">
        <v>0</v>
      </c>
      <c r="E461" s="49">
        <v>0</v>
      </c>
      <c r="F461" s="49">
        <v>9.8000000000000007</v>
      </c>
      <c r="G461" s="49">
        <v>0</v>
      </c>
      <c r="H461" s="49">
        <v>14.07</v>
      </c>
      <c r="I461" s="49">
        <v>9.11</v>
      </c>
      <c r="J461" s="49">
        <v>7.27</v>
      </c>
      <c r="K461" s="49">
        <v>6.82</v>
      </c>
      <c r="L461" s="49">
        <v>9.3000000000000007</v>
      </c>
      <c r="M461" s="49">
        <v>9.84</v>
      </c>
      <c r="N461" s="49">
        <v>11.59</v>
      </c>
      <c r="O461" s="49">
        <v>14.3</v>
      </c>
      <c r="P461" s="49">
        <v>11.62</v>
      </c>
      <c r="Q461" s="49">
        <v>12.75</v>
      </c>
      <c r="R461" s="49">
        <v>11.18</v>
      </c>
      <c r="S461" s="49">
        <v>12.12</v>
      </c>
    </row>
    <row r="462" spans="1:19" ht="18">
      <c r="A462" s="49">
        <v>2601</v>
      </c>
      <c r="B462" s="49" t="s">
        <v>691</v>
      </c>
      <c r="C462" s="49">
        <v>32.07</v>
      </c>
      <c r="D462" s="49">
        <v>3.8</v>
      </c>
      <c r="E462" s="49">
        <v>10</v>
      </c>
      <c r="F462" s="49">
        <v>17.57</v>
      </c>
      <c r="G462" s="49">
        <v>11.97</v>
      </c>
      <c r="H462" s="49">
        <v>30.34</v>
      </c>
      <c r="I462" s="49">
        <v>0</v>
      </c>
      <c r="J462" s="49">
        <v>99.72</v>
      </c>
      <c r="K462" s="49">
        <v>0</v>
      </c>
      <c r="L462" s="49">
        <v>0</v>
      </c>
      <c r="M462" s="49">
        <v>56.25</v>
      </c>
      <c r="N462" s="49">
        <v>19.73</v>
      </c>
      <c r="O462" s="49">
        <v>5.75</v>
      </c>
      <c r="P462" s="49">
        <v>0</v>
      </c>
      <c r="Q462" s="49">
        <v>54.58</v>
      </c>
      <c r="R462" s="49">
        <v>67.23</v>
      </c>
      <c r="S462" s="49">
        <v>0</v>
      </c>
    </row>
    <row r="463" spans="1:19" ht="18">
      <c r="A463" s="49">
        <v>2603</v>
      </c>
      <c r="B463" s="49" t="s">
        <v>692</v>
      </c>
      <c r="C463" s="49">
        <v>12.49</v>
      </c>
      <c r="D463" s="49">
        <v>9.42</v>
      </c>
      <c r="E463" s="49">
        <v>0</v>
      </c>
      <c r="F463" s="49">
        <v>10.199999999999999</v>
      </c>
      <c r="G463" s="49">
        <v>14.17</v>
      </c>
      <c r="H463" s="49">
        <v>0</v>
      </c>
      <c r="I463" s="49">
        <v>0</v>
      </c>
      <c r="J463" s="49">
        <v>77.239999999999995</v>
      </c>
      <c r="K463" s="49">
        <v>0</v>
      </c>
      <c r="L463" s="49">
        <v>0</v>
      </c>
      <c r="M463" s="49">
        <v>9.9700000000000006</v>
      </c>
      <c r="N463" s="49">
        <v>0</v>
      </c>
      <c r="O463" s="49">
        <v>53.91</v>
      </c>
      <c r="P463" s="49">
        <v>18.329999999999998</v>
      </c>
      <c r="Q463" s="49">
        <v>4.3899999999999997</v>
      </c>
      <c r="R463" s="49">
        <v>0.9</v>
      </c>
      <c r="S463" s="49">
        <v>4.91</v>
      </c>
    </row>
    <row r="464" spans="1:19" ht="18">
      <c r="A464" s="49">
        <v>2605</v>
      </c>
      <c r="B464" s="49" t="s">
        <v>693</v>
      </c>
      <c r="C464" s="49">
        <v>8.2200000000000006</v>
      </c>
      <c r="D464" s="49">
        <v>5.63</v>
      </c>
      <c r="E464" s="49">
        <v>7.6</v>
      </c>
      <c r="F464" s="49">
        <v>9.75</v>
      </c>
      <c r="G464" s="49">
        <v>8.01</v>
      </c>
      <c r="H464" s="49">
        <v>8.8699999999999992</v>
      </c>
      <c r="I464" s="49">
        <v>14.34</v>
      </c>
      <c r="J464" s="49">
        <v>13.93</v>
      </c>
      <c r="K464" s="49">
        <v>12.52</v>
      </c>
      <c r="L464" s="49">
        <v>15.85</v>
      </c>
      <c r="M464" s="49">
        <v>25.48</v>
      </c>
      <c r="N464" s="49">
        <v>79.75</v>
      </c>
      <c r="O464" s="49">
        <v>0</v>
      </c>
      <c r="P464" s="49">
        <v>19.079999999999998</v>
      </c>
      <c r="Q464" s="49">
        <v>74.87</v>
      </c>
      <c r="R464" s="49">
        <v>52.63</v>
      </c>
      <c r="S464" s="49">
        <v>25.87</v>
      </c>
    </row>
    <row r="465" spans="1:19" ht="18">
      <c r="A465" s="49">
        <v>2606</v>
      </c>
      <c r="B465" s="49" t="s">
        <v>694</v>
      </c>
      <c r="C465" s="49">
        <v>9.83</v>
      </c>
      <c r="D465" s="49">
        <v>2.99</v>
      </c>
      <c r="E465" s="49">
        <v>9.07</v>
      </c>
      <c r="F465" s="49">
        <v>7.91</v>
      </c>
      <c r="G465" s="49">
        <v>12.39</v>
      </c>
      <c r="H465" s="49">
        <v>16.41</v>
      </c>
      <c r="I465" s="49">
        <v>41.15</v>
      </c>
      <c r="J465" s="49">
        <v>17.45</v>
      </c>
      <c r="K465" s="49">
        <v>24.45</v>
      </c>
      <c r="L465" s="49">
        <v>0</v>
      </c>
      <c r="M465" s="49">
        <v>36.5</v>
      </c>
      <c r="N465" s="49">
        <v>14.59</v>
      </c>
      <c r="O465" s="49">
        <v>23.83</v>
      </c>
      <c r="P465" s="49">
        <v>28.6</v>
      </c>
      <c r="Q465" s="49">
        <v>14.28</v>
      </c>
      <c r="R465" s="49">
        <v>7.29</v>
      </c>
      <c r="S465" s="49">
        <v>18.670000000000002</v>
      </c>
    </row>
    <row r="466" spans="1:19" ht="18">
      <c r="A466" s="49">
        <v>2607</v>
      </c>
      <c r="B466" s="49" t="s">
        <v>695</v>
      </c>
      <c r="C466" s="49">
        <v>17.02</v>
      </c>
      <c r="D466" s="49">
        <v>25.35</v>
      </c>
      <c r="E466" s="49">
        <v>37.630000000000003</v>
      </c>
      <c r="F466" s="49">
        <v>24.61</v>
      </c>
      <c r="G466" s="49">
        <v>20.51</v>
      </c>
      <c r="H466" s="49">
        <v>39.51</v>
      </c>
      <c r="I466" s="49">
        <v>43.33</v>
      </c>
      <c r="J466" s="49">
        <v>33.36</v>
      </c>
      <c r="K466" s="49">
        <v>16.89</v>
      </c>
      <c r="L466" s="49">
        <v>17.07</v>
      </c>
      <c r="M466" s="49">
        <v>19.38</v>
      </c>
      <c r="N466" s="49">
        <v>14.84</v>
      </c>
      <c r="O466" s="49">
        <v>18.64</v>
      </c>
      <c r="P466" s="49">
        <v>28.13</v>
      </c>
      <c r="Q466" s="49">
        <v>37.56</v>
      </c>
      <c r="R466" s="49">
        <v>8.8800000000000008</v>
      </c>
      <c r="S466" s="49">
        <v>11.49</v>
      </c>
    </row>
    <row r="467" spans="1:19" ht="18">
      <c r="A467" s="49">
        <v>2608</v>
      </c>
      <c r="B467" s="49" t="s">
        <v>696</v>
      </c>
      <c r="C467" s="49">
        <v>0</v>
      </c>
      <c r="D467" s="49">
        <v>74.209999999999994</v>
      </c>
      <c r="E467" s="49">
        <v>53.37</v>
      </c>
      <c r="F467" s="49">
        <v>25.87</v>
      </c>
      <c r="G467" s="49">
        <v>21.45</v>
      </c>
      <c r="H467" s="49">
        <v>31.82</v>
      </c>
      <c r="I467" s="49">
        <v>25.64</v>
      </c>
      <c r="J467" s="49">
        <v>19.77</v>
      </c>
      <c r="K467" s="49">
        <v>14.6</v>
      </c>
      <c r="L467" s="49">
        <v>16.28</v>
      </c>
      <c r="M467" s="49">
        <v>15.36</v>
      </c>
      <c r="N467" s="49">
        <v>14.31</v>
      </c>
      <c r="O467" s="49">
        <v>13.47</v>
      </c>
      <c r="P467" s="49">
        <v>14.59</v>
      </c>
      <c r="Q467" s="49">
        <v>15.13</v>
      </c>
      <c r="R467" s="49">
        <v>13.13</v>
      </c>
      <c r="S467" s="49">
        <v>10.52</v>
      </c>
    </row>
    <row r="468" spans="1:19" ht="18">
      <c r="A468" s="49">
        <v>2609</v>
      </c>
      <c r="B468" s="49" t="s">
        <v>697</v>
      </c>
      <c r="C468" s="49">
        <v>16.73</v>
      </c>
      <c r="D468" s="49">
        <v>6.2</v>
      </c>
      <c r="E468" s="49">
        <v>0</v>
      </c>
      <c r="F468" s="49">
        <v>13.78</v>
      </c>
      <c r="G468" s="49">
        <v>0</v>
      </c>
      <c r="H468" s="49">
        <v>0</v>
      </c>
      <c r="I468" s="49">
        <v>0</v>
      </c>
      <c r="J468" s="49">
        <v>34.39</v>
      </c>
      <c r="K468" s="49">
        <v>0</v>
      </c>
      <c r="L468" s="49">
        <v>0</v>
      </c>
      <c r="M468" s="49">
        <v>0</v>
      </c>
      <c r="N468" s="49">
        <v>0</v>
      </c>
      <c r="O468" s="49">
        <v>0</v>
      </c>
      <c r="P468" s="49">
        <v>88.64</v>
      </c>
      <c r="Q468" s="49">
        <v>3.52</v>
      </c>
      <c r="R468" s="49">
        <v>1.03</v>
      </c>
      <c r="S468" s="49">
        <v>8.61</v>
      </c>
    </row>
    <row r="469" spans="1:19" ht="18">
      <c r="A469" s="49">
        <v>2610</v>
      </c>
      <c r="B469" s="49" t="s">
        <v>698</v>
      </c>
      <c r="C469" s="49">
        <v>145.5</v>
      </c>
      <c r="D469" s="49">
        <v>0</v>
      </c>
      <c r="E469" s="49">
        <v>0</v>
      </c>
      <c r="F469" s="49">
        <v>9.2799999999999994</v>
      </c>
      <c r="G469" s="49">
        <v>66</v>
      </c>
      <c r="H469" s="49">
        <v>0</v>
      </c>
      <c r="I469" s="49">
        <v>0</v>
      </c>
      <c r="J469" s="49">
        <v>0</v>
      </c>
      <c r="K469" s="49">
        <v>9.4499999999999993</v>
      </c>
      <c r="L469" s="49">
        <v>20.67</v>
      </c>
      <c r="M469" s="49">
        <v>0</v>
      </c>
      <c r="N469" s="49">
        <v>23.91</v>
      </c>
      <c r="O469" s="49">
        <v>302</v>
      </c>
      <c r="P469" s="49">
        <v>0</v>
      </c>
      <c r="Q469" s="49">
        <v>42.38</v>
      </c>
      <c r="R469" s="49">
        <v>10</v>
      </c>
      <c r="S469" s="49">
        <v>21.44</v>
      </c>
    </row>
    <row r="470" spans="1:19" ht="18">
      <c r="A470" s="49">
        <v>2611</v>
      </c>
      <c r="B470" s="49" t="s">
        <v>699</v>
      </c>
      <c r="C470" s="49">
        <v>10.59</v>
      </c>
      <c r="D470" s="49">
        <v>0</v>
      </c>
      <c r="E470" s="49">
        <v>0</v>
      </c>
      <c r="F470" s="49">
        <v>29.9</v>
      </c>
      <c r="G470" s="49">
        <v>0</v>
      </c>
      <c r="H470" s="49">
        <v>2.73</v>
      </c>
      <c r="I470" s="49">
        <v>0</v>
      </c>
      <c r="J470" s="49">
        <v>15.26</v>
      </c>
      <c r="K470" s="49">
        <v>20.03</v>
      </c>
      <c r="L470" s="49">
        <v>0</v>
      </c>
      <c r="M470" s="49">
        <v>0</v>
      </c>
      <c r="N470" s="49">
        <v>68.099999999999994</v>
      </c>
      <c r="O470" s="49">
        <v>14.12</v>
      </c>
      <c r="P470" s="49">
        <v>0</v>
      </c>
      <c r="Q470" s="49">
        <v>7.24</v>
      </c>
      <c r="R470" s="49">
        <v>0</v>
      </c>
      <c r="S470" s="49">
        <v>11.14</v>
      </c>
    </row>
    <row r="471" spans="1:19" ht="18">
      <c r="A471" s="49">
        <v>2612</v>
      </c>
      <c r="B471" s="49" t="s">
        <v>700</v>
      </c>
      <c r="C471" s="49">
        <v>10.29</v>
      </c>
      <c r="D471" s="49">
        <v>3.51</v>
      </c>
      <c r="E471" s="49">
        <v>6.12</v>
      </c>
      <c r="F471" s="49">
        <v>8.9600000000000009</v>
      </c>
      <c r="G471" s="49">
        <v>9.26</v>
      </c>
      <c r="H471" s="49">
        <v>18.97</v>
      </c>
      <c r="I471" s="49">
        <v>20.05</v>
      </c>
      <c r="J471" s="49">
        <v>29.83</v>
      </c>
      <c r="K471" s="49">
        <v>15.99</v>
      </c>
      <c r="L471" s="49">
        <v>22</v>
      </c>
      <c r="M471" s="49">
        <v>0</v>
      </c>
      <c r="N471" s="49">
        <v>12.26</v>
      </c>
      <c r="O471" s="49">
        <v>13.58</v>
      </c>
      <c r="P471" s="49">
        <v>18.2</v>
      </c>
      <c r="Q471" s="49">
        <v>14.94</v>
      </c>
      <c r="R471" s="49">
        <v>10.01</v>
      </c>
      <c r="S471" s="49">
        <v>20.32</v>
      </c>
    </row>
    <row r="472" spans="1:19" ht="18">
      <c r="A472" s="49">
        <v>2613</v>
      </c>
      <c r="B472" s="49" t="s">
        <v>701</v>
      </c>
      <c r="C472" s="49">
        <v>10.07</v>
      </c>
      <c r="D472" s="49">
        <v>9</v>
      </c>
      <c r="E472" s="49">
        <v>0</v>
      </c>
      <c r="F472" s="49">
        <v>37.659999999999997</v>
      </c>
      <c r="G472" s="49">
        <v>13.27</v>
      </c>
      <c r="H472" s="49">
        <v>23.72</v>
      </c>
      <c r="I472" s="49">
        <v>21.3</v>
      </c>
      <c r="J472" s="49">
        <v>12.81</v>
      </c>
      <c r="K472" s="49">
        <v>36.94</v>
      </c>
      <c r="L472" s="49">
        <v>23.21</v>
      </c>
      <c r="M472" s="49">
        <v>29.77</v>
      </c>
      <c r="N472" s="49">
        <v>17.260000000000002</v>
      </c>
      <c r="O472" s="49">
        <v>110</v>
      </c>
      <c r="P472" s="49">
        <v>120.53</v>
      </c>
      <c r="Q472" s="49">
        <v>25.63</v>
      </c>
      <c r="R472" s="49">
        <v>13.73</v>
      </c>
      <c r="S472" s="49">
        <v>43.77</v>
      </c>
    </row>
    <row r="473" spans="1:19" ht="18">
      <c r="A473" s="49">
        <v>2614</v>
      </c>
      <c r="B473" s="49" t="s">
        <v>702</v>
      </c>
      <c r="C473" s="49">
        <v>10.14</v>
      </c>
      <c r="D473" s="49">
        <v>0</v>
      </c>
      <c r="E473" s="49">
        <v>0</v>
      </c>
      <c r="F473" s="49">
        <v>10.210000000000001</v>
      </c>
      <c r="G473" s="49">
        <v>0</v>
      </c>
      <c r="H473" s="49">
        <v>0</v>
      </c>
      <c r="I473" s="49">
        <v>0</v>
      </c>
      <c r="J473" s="49">
        <v>0</v>
      </c>
      <c r="K473" s="49">
        <v>0</v>
      </c>
      <c r="L473" s="49">
        <v>0</v>
      </c>
      <c r="M473" s="49">
        <v>0</v>
      </c>
      <c r="N473" s="49">
        <v>1.71</v>
      </c>
      <c r="O473" s="49">
        <v>0</v>
      </c>
      <c r="P473" s="49">
        <v>13.32</v>
      </c>
      <c r="Q473" s="49">
        <v>21.74</v>
      </c>
      <c r="R473" s="49">
        <v>54.3</v>
      </c>
      <c r="S473" s="49">
        <v>0</v>
      </c>
    </row>
    <row r="474" spans="1:19" ht="18">
      <c r="A474" s="49">
        <v>2615</v>
      </c>
      <c r="B474" s="49" t="s">
        <v>703</v>
      </c>
      <c r="C474" s="49">
        <v>12.88</v>
      </c>
      <c r="D474" s="49">
        <v>9.43</v>
      </c>
      <c r="E474" s="49">
        <v>0</v>
      </c>
      <c r="F474" s="49">
        <v>9.7899999999999991</v>
      </c>
      <c r="G474" s="49">
        <v>24.02</v>
      </c>
      <c r="H474" s="49">
        <v>40.85</v>
      </c>
      <c r="I474" s="49">
        <v>27.19</v>
      </c>
      <c r="J474" s="49">
        <v>12.85</v>
      </c>
      <c r="K474" s="49">
        <v>6.84</v>
      </c>
      <c r="L474" s="49">
        <v>543.33000000000004</v>
      </c>
      <c r="M474" s="49">
        <v>15.52</v>
      </c>
      <c r="N474" s="49">
        <v>24.92</v>
      </c>
      <c r="O474" s="49">
        <v>15.42</v>
      </c>
      <c r="P474" s="49">
        <v>24.72</v>
      </c>
      <c r="Q474" s="49">
        <v>6.29</v>
      </c>
      <c r="R474" s="49">
        <v>1.77</v>
      </c>
      <c r="S474" s="49">
        <v>0</v>
      </c>
    </row>
    <row r="475" spans="1:19" ht="18">
      <c r="A475" s="49">
        <v>2616</v>
      </c>
      <c r="B475" s="49" t="s">
        <v>704</v>
      </c>
      <c r="C475" s="49">
        <v>9.2899999999999991</v>
      </c>
      <c r="D475" s="49">
        <v>8.09</v>
      </c>
      <c r="E475" s="49">
        <v>13.96</v>
      </c>
      <c r="F475" s="49">
        <v>10.56</v>
      </c>
      <c r="G475" s="49">
        <v>8.94</v>
      </c>
      <c r="H475" s="49">
        <v>9.11</v>
      </c>
      <c r="I475" s="49">
        <v>12.23</v>
      </c>
      <c r="J475" s="49">
        <v>11.82</v>
      </c>
      <c r="K475" s="49">
        <v>11.71</v>
      </c>
      <c r="L475" s="49">
        <v>10.37</v>
      </c>
      <c r="M475" s="49">
        <v>7.09</v>
      </c>
      <c r="N475" s="49">
        <v>16.37</v>
      </c>
      <c r="O475" s="49">
        <v>14.7</v>
      </c>
      <c r="P475" s="49">
        <v>12.13</v>
      </c>
      <c r="Q475" s="49">
        <v>11.93</v>
      </c>
      <c r="R475" s="49">
        <v>15.49</v>
      </c>
      <c r="S475" s="49">
        <v>29.13</v>
      </c>
    </row>
    <row r="476" spans="1:19" ht="18">
      <c r="A476" s="49">
        <v>2617</v>
      </c>
      <c r="B476" s="49" t="s">
        <v>705</v>
      </c>
      <c r="C476" s="49">
        <v>16.88</v>
      </c>
      <c r="D476" s="49">
        <v>5.88</v>
      </c>
      <c r="E476" s="49">
        <v>8.52</v>
      </c>
      <c r="F476" s="49">
        <v>10.220000000000001</v>
      </c>
      <c r="G476" s="49">
        <v>12.53</v>
      </c>
      <c r="H476" s="49">
        <v>13.89</v>
      </c>
      <c r="I476" s="49">
        <v>20.21</v>
      </c>
      <c r="J476" s="49">
        <v>30.63</v>
      </c>
      <c r="K476" s="49">
        <v>30</v>
      </c>
      <c r="L476" s="49">
        <v>0</v>
      </c>
      <c r="M476" s="49">
        <v>51.88</v>
      </c>
      <c r="N476" s="49">
        <v>7.57</v>
      </c>
      <c r="O476" s="49">
        <v>12.07</v>
      </c>
      <c r="P476" s="49">
        <v>17.579999999999998</v>
      </c>
      <c r="Q476" s="49">
        <v>14.46</v>
      </c>
      <c r="R476" s="49">
        <v>5.51</v>
      </c>
      <c r="S476" s="49">
        <v>7.6</v>
      </c>
    </row>
    <row r="477" spans="1:19" ht="18">
      <c r="A477" s="49">
        <v>2618</v>
      </c>
      <c r="B477" s="49" t="s">
        <v>706</v>
      </c>
      <c r="C477" s="49">
        <v>0</v>
      </c>
      <c r="D477" s="49">
        <v>0</v>
      </c>
      <c r="E477" s="49">
        <v>0</v>
      </c>
      <c r="F477" s="49">
        <v>9</v>
      </c>
      <c r="G477" s="49">
        <v>24.3</v>
      </c>
      <c r="H477" s="49">
        <v>0</v>
      </c>
      <c r="I477" s="49">
        <v>103.75</v>
      </c>
      <c r="J477" s="49">
        <v>0</v>
      </c>
      <c r="K477" s="49">
        <v>13.68</v>
      </c>
      <c r="L477" s="49">
        <v>11.59</v>
      </c>
      <c r="M477" s="49">
        <v>15.85</v>
      </c>
      <c r="N477" s="49">
        <v>10.9</v>
      </c>
      <c r="O477" s="49">
        <v>17.63</v>
      </c>
      <c r="P477" s="49">
        <v>0</v>
      </c>
      <c r="Q477" s="49">
        <v>0</v>
      </c>
      <c r="R477" s="49">
        <v>11.13</v>
      </c>
      <c r="S477" s="49">
        <v>9.92</v>
      </c>
    </row>
    <row r="478" spans="1:19" ht="18">
      <c r="A478" s="49">
        <v>2630</v>
      </c>
      <c r="B478" s="49" t="s">
        <v>707</v>
      </c>
      <c r="C478" s="49">
        <v>0</v>
      </c>
      <c r="D478" s="49">
        <v>0</v>
      </c>
      <c r="E478" s="49">
        <v>0</v>
      </c>
      <c r="F478" s="49">
        <v>0</v>
      </c>
      <c r="G478" s="49">
        <v>0</v>
      </c>
      <c r="H478" s="49">
        <v>0</v>
      </c>
      <c r="I478" s="49">
        <v>0</v>
      </c>
      <c r="J478" s="49">
        <v>0</v>
      </c>
      <c r="K478" s="49">
        <v>0</v>
      </c>
      <c r="L478" s="49">
        <v>0</v>
      </c>
      <c r="M478" s="49">
        <v>0</v>
      </c>
      <c r="N478" s="49">
        <v>0</v>
      </c>
      <c r="O478" s="49">
        <v>26.96</v>
      </c>
      <c r="P478" s="49">
        <v>46.89</v>
      </c>
      <c r="Q478" s="49">
        <v>39.06</v>
      </c>
      <c r="R478" s="49">
        <v>104.38</v>
      </c>
      <c r="S478" s="49">
        <v>267.86</v>
      </c>
    </row>
    <row r="479" spans="1:19" ht="18">
      <c r="A479" s="49">
        <v>2633</v>
      </c>
      <c r="B479" s="49" t="s">
        <v>708</v>
      </c>
      <c r="C479" s="49">
        <v>0</v>
      </c>
      <c r="D479" s="49">
        <v>0</v>
      </c>
      <c r="E479" s="49">
        <v>0</v>
      </c>
      <c r="F479" s="49">
        <v>0</v>
      </c>
      <c r="G479" s="49">
        <v>0</v>
      </c>
      <c r="H479" s="49">
        <v>0</v>
      </c>
      <c r="I479" s="49">
        <v>0</v>
      </c>
      <c r="J479" s="49">
        <v>0</v>
      </c>
      <c r="K479" s="49">
        <v>0</v>
      </c>
      <c r="L479" s="49">
        <v>4.3600000000000003</v>
      </c>
      <c r="M479" s="49">
        <v>25.82</v>
      </c>
      <c r="N479" s="49">
        <v>17.36</v>
      </c>
      <c r="O479" s="49">
        <v>26.48</v>
      </c>
      <c r="P479" s="49">
        <v>34.840000000000003</v>
      </c>
      <c r="Q479" s="49">
        <v>31.49</v>
      </c>
      <c r="R479" s="49">
        <v>53.24</v>
      </c>
      <c r="S479" s="49">
        <v>26.02</v>
      </c>
    </row>
    <row r="480" spans="1:19" ht="18">
      <c r="A480" s="49">
        <v>2634</v>
      </c>
      <c r="B480" s="49" t="s">
        <v>709</v>
      </c>
      <c r="C480" s="49">
        <v>0</v>
      </c>
      <c r="D480" s="49">
        <v>0</v>
      </c>
      <c r="E480" s="49">
        <v>0</v>
      </c>
      <c r="F480" s="49">
        <v>0</v>
      </c>
      <c r="G480" s="49">
        <v>0</v>
      </c>
      <c r="H480" s="49">
        <v>0</v>
      </c>
      <c r="I480" s="49">
        <v>0</v>
      </c>
      <c r="J480" s="49">
        <v>29.09</v>
      </c>
      <c r="K480" s="49">
        <v>15.52</v>
      </c>
      <c r="L480" s="49">
        <v>18.54</v>
      </c>
      <c r="M480" s="49">
        <v>20.14</v>
      </c>
      <c r="N480" s="49">
        <v>13.18</v>
      </c>
      <c r="O480" s="49">
        <v>17.43</v>
      </c>
      <c r="P480" s="49">
        <v>38.159999999999997</v>
      </c>
      <c r="Q480" s="49">
        <v>57.55</v>
      </c>
      <c r="R480" s="49">
        <v>21.54</v>
      </c>
      <c r="S480" s="49">
        <v>22.81</v>
      </c>
    </row>
    <row r="481" spans="1:19" ht="18">
      <c r="A481" s="49">
        <v>2636</v>
      </c>
      <c r="B481" s="49" t="s">
        <v>710</v>
      </c>
      <c r="C481" s="49">
        <v>0</v>
      </c>
      <c r="D481" s="49">
        <v>0</v>
      </c>
      <c r="E481" s="49">
        <v>65.52</v>
      </c>
      <c r="F481" s="49">
        <v>12.73</v>
      </c>
      <c r="G481" s="49">
        <v>9.4600000000000009</v>
      </c>
      <c r="H481" s="49">
        <v>18</v>
      </c>
      <c r="I481" s="49">
        <v>18.649999999999999</v>
      </c>
      <c r="J481" s="49">
        <v>18.91</v>
      </c>
      <c r="K481" s="49">
        <v>12.89</v>
      </c>
      <c r="L481" s="49">
        <v>15.21</v>
      </c>
      <c r="M481" s="49">
        <v>12.82</v>
      </c>
      <c r="N481" s="49">
        <v>8.59</v>
      </c>
      <c r="O481" s="49">
        <v>9.9</v>
      </c>
      <c r="P481" s="49">
        <v>11.56</v>
      </c>
      <c r="Q481" s="49">
        <v>6.36</v>
      </c>
      <c r="R481" s="49">
        <v>3.07</v>
      </c>
      <c r="S481" s="49">
        <v>8.27</v>
      </c>
    </row>
    <row r="482" spans="1:19" ht="18">
      <c r="A482" s="49">
        <v>2637</v>
      </c>
      <c r="B482" s="49" t="s">
        <v>711</v>
      </c>
      <c r="C482" s="49">
        <v>0</v>
      </c>
      <c r="D482" s="49">
        <v>0</v>
      </c>
      <c r="E482" s="49">
        <v>0</v>
      </c>
      <c r="F482" s="49">
        <v>6.76</v>
      </c>
      <c r="G482" s="49">
        <v>7.94</v>
      </c>
      <c r="H482" s="49">
        <v>7.59</v>
      </c>
      <c r="I482" s="49">
        <v>9.1</v>
      </c>
      <c r="J482" s="49">
        <v>10.73</v>
      </c>
      <c r="K482" s="49">
        <v>7.65</v>
      </c>
      <c r="L482" s="49">
        <v>12.04</v>
      </c>
      <c r="M482" s="49">
        <v>27.26</v>
      </c>
      <c r="N482" s="49">
        <v>12.29</v>
      </c>
      <c r="O482" s="49">
        <v>7.86</v>
      </c>
      <c r="P482" s="49">
        <v>143.82</v>
      </c>
      <c r="Q482" s="49">
        <v>10.97</v>
      </c>
      <c r="R482" s="49">
        <v>3.64</v>
      </c>
      <c r="S482" s="49">
        <v>13.3</v>
      </c>
    </row>
    <row r="483" spans="1:19" ht="18">
      <c r="A483" s="49">
        <v>2640</v>
      </c>
      <c r="B483" s="49" t="s">
        <v>1279</v>
      </c>
      <c r="C483" s="49">
        <v>0</v>
      </c>
      <c r="D483" s="49">
        <v>0</v>
      </c>
      <c r="E483" s="49">
        <v>0</v>
      </c>
      <c r="F483" s="49">
        <v>0</v>
      </c>
      <c r="G483" s="49">
        <v>0</v>
      </c>
      <c r="H483" s="49">
        <v>16.899999999999999</v>
      </c>
      <c r="I483" s="49">
        <v>32.53</v>
      </c>
      <c r="J483" s="49">
        <v>20.79</v>
      </c>
      <c r="K483" s="49">
        <v>12.1</v>
      </c>
      <c r="L483" s="49">
        <v>16.22</v>
      </c>
      <c r="M483" s="49">
        <v>15.19</v>
      </c>
      <c r="N483" s="49">
        <v>13.06</v>
      </c>
      <c r="O483" s="49">
        <v>15.92</v>
      </c>
      <c r="P483" s="49">
        <v>16.09</v>
      </c>
      <c r="Q483" s="49">
        <v>21.47</v>
      </c>
      <c r="R483" s="49">
        <v>14.3</v>
      </c>
      <c r="S483" s="49">
        <v>17.100000000000001</v>
      </c>
    </row>
    <row r="484" spans="1:19" ht="18">
      <c r="A484" s="49">
        <v>2641</v>
      </c>
      <c r="B484" s="49" t="s">
        <v>1280</v>
      </c>
      <c r="C484" s="49">
        <v>0</v>
      </c>
      <c r="D484" s="49">
        <v>0</v>
      </c>
      <c r="E484" s="49">
        <v>0</v>
      </c>
      <c r="F484" s="49">
        <v>0</v>
      </c>
      <c r="G484" s="49">
        <v>0</v>
      </c>
      <c r="H484" s="49">
        <v>0</v>
      </c>
      <c r="I484" s="49">
        <v>0</v>
      </c>
      <c r="J484" s="49">
        <v>21.54</v>
      </c>
      <c r="K484" s="49">
        <v>28.66</v>
      </c>
      <c r="L484" s="49">
        <v>69.709999999999994</v>
      </c>
      <c r="M484" s="49">
        <v>119.17</v>
      </c>
      <c r="N484" s="49">
        <v>0</v>
      </c>
      <c r="O484" s="49">
        <v>14.51</v>
      </c>
      <c r="P484" s="49">
        <v>19.7</v>
      </c>
      <c r="Q484" s="49">
        <v>21.03</v>
      </c>
      <c r="R484" s="49">
        <v>4.63</v>
      </c>
      <c r="S484" s="49">
        <v>7.62</v>
      </c>
    </row>
    <row r="485" spans="1:19" ht="18">
      <c r="A485" s="49">
        <v>2642</v>
      </c>
      <c r="B485" s="49" t="s">
        <v>712</v>
      </c>
      <c r="C485" s="49">
        <v>0</v>
      </c>
      <c r="D485" s="49">
        <v>0</v>
      </c>
      <c r="E485" s="49">
        <v>0</v>
      </c>
      <c r="F485" s="49">
        <v>0</v>
      </c>
      <c r="G485" s="49">
        <v>0</v>
      </c>
      <c r="H485" s="49">
        <v>0</v>
      </c>
      <c r="I485" s="49">
        <v>23.2</v>
      </c>
      <c r="J485" s="49">
        <v>31.91</v>
      </c>
      <c r="K485" s="49">
        <v>16.88</v>
      </c>
      <c r="L485" s="49">
        <v>32.700000000000003</v>
      </c>
      <c r="M485" s="49">
        <v>22.27</v>
      </c>
      <c r="N485" s="49">
        <v>46.49</v>
      </c>
      <c r="O485" s="49">
        <v>19.84</v>
      </c>
      <c r="P485" s="49">
        <v>16.690000000000001</v>
      </c>
      <c r="Q485" s="49">
        <v>27.44</v>
      </c>
      <c r="R485" s="49">
        <v>26.09</v>
      </c>
      <c r="S485" s="49">
        <v>34.54</v>
      </c>
    </row>
    <row r="486" spans="1:19" ht="18">
      <c r="A486" s="49">
        <v>2643</v>
      </c>
      <c r="B486" s="49" t="s">
        <v>1281</v>
      </c>
      <c r="C486" s="49">
        <v>0</v>
      </c>
      <c r="D486" s="49">
        <v>0</v>
      </c>
      <c r="E486" s="49">
        <v>0</v>
      </c>
      <c r="F486" s="49">
        <v>0</v>
      </c>
      <c r="G486" s="49">
        <v>0</v>
      </c>
      <c r="H486" s="49">
        <v>0</v>
      </c>
      <c r="I486" s="49">
        <v>0</v>
      </c>
      <c r="J486" s="49">
        <v>0</v>
      </c>
      <c r="K486" s="49">
        <v>0</v>
      </c>
      <c r="L486" s="49">
        <v>9.27</v>
      </c>
      <c r="M486" s="49">
        <v>14.79</v>
      </c>
      <c r="N486" s="49">
        <v>11.07</v>
      </c>
      <c r="O486" s="49">
        <v>10.69</v>
      </c>
      <c r="P486" s="49">
        <v>10.68</v>
      </c>
      <c r="Q486" s="49">
        <v>9.19</v>
      </c>
      <c r="R486" s="49">
        <v>3.9</v>
      </c>
      <c r="S486" s="49">
        <v>10.07</v>
      </c>
    </row>
    <row r="487" spans="1:19" ht="18">
      <c r="A487" s="49">
        <v>2701</v>
      </c>
      <c r="B487" s="49" t="s">
        <v>713</v>
      </c>
      <c r="C487" s="49">
        <v>11.81</v>
      </c>
      <c r="D487" s="49">
        <v>19.61</v>
      </c>
      <c r="E487" s="49">
        <v>23.33</v>
      </c>
      <c r="F487" s="49">
        <v>27.14</v>
      </c>
      <c r="G487" s="49">
        <v>25.2</v>
      </c>
      <c r="H487" s="49">
        <v>26.09</v>
      </c>
      <c r="I487" s="49">
        <v>23.44</v>
      </c>
      <c r="J487" s="49">
        <v>21.41</v>
      </c>
      <c r="K487" s="49">
        <v>17.77</v>
      </c>
      <c r="L487" s="49">
        <v>16.13</v>
      </c>
      <c r="M487" s="49">
        <v>16.48</v>
      </c>
      <c r="N487" s="49">
        <v>17.03</v>
      </c>
      <c r="O487" s="49">
        <v>14.35</v>
      </c>
      <c r="P487" s="49">
        <v>28.84</v>
      </c>
      <c r="Q487" s="49">
        <v>45.19</v>
      </c>
      <c r="R487" s="49">
        <v>25.42</v>
      </c>
      <c r="S487" s="49">
        <v>28.26</v>
      </c>
    </row>
    <row r="488" spans="1:19" ht="18">
      <c r="A488" s="49">
        <v>2702</v>
      </c>
      <c r="B488" s="49" t="s">
        <v>714</v>
      </c>
      <c r="C488" s="49">
        <v>42.33</v>
      </c>
      <c r="D488" s="49">
        <v>125</v>
      </c>
      <c r="E488" s="49">
        <v>36.479999999999997</v>
      </c>
      <c r="F488" s="49">
        <v>34.07</v>
      </c>
      <c r="G488" s="49">
        <v>22.11</v>
      </c>
      <c r="H488" s="49">
        <v>21</v>
      </c>
      <c r="I488" s="49">
        <v>35.770000000000003</v>
      </c>
      <c r="J488" s="49">
        <v>30.28</v>
      </c>
      <c r="K488" s="49">
        <v>21.37</v>
      </c>
      <c r="L488" s="49">
        <v>27.46</v>
      </c>
      <c r="M488" s="49">
        <v>49.31</v>
      </c>
      <c r="N488" s="49">
        <v>18.98</v>
      </c>
      <c r="O488" s="49">
        <v>34.19</v>
      </c>
      <c r="P488" s="49">
        <v>0</v>
      </c>
      <c r="Q488" s="49">
        <v>0</v>
      </c>
      <c r="R488" s="49">
        <v>1.62</v>
      </c>
      <c r="S488" s="49">
        <v>9.66</v>
      </c>
    </row>
    <row r="489" spans="1:19" ht="18">
      <c r="A489" s="49">
        <v>2704</v>
      </c>
      <c r="B489" s="49" t="s">
        <v>715</v>
      </c>
      <c r="C489" s="49">
        <v>28.65</v>
      </c>
      <c r="D489" s="49">
        <v>35.26</v>
      </c>
      <c r="E489" s="49">
        <v>100.9</v>
      </c>
      <c r="F489" s="49">
        <v>84.21</v>
      </c>
      <c r="G489" s="49">
        <v>29.16</v>
      </c>
      <c r="H489" s="49">
        <v>33.92</v>
      </c>
      <c r="I489" s="49">
        <v>31.32</v>
      </c>
      <c r="J489" s="49">
        <v>24.91</v>
      </c>
      <c r="K489" s="49">
        <v>24.47</v>
      </c>
      <c r="L489" s="49">
        <v>21.23</v>
      </c>
      <c r="M489" s="49">
        <v>18.75</v>
      </c>
      <c r="N489" s="49">
        <v>18.399999999999999</v>
      </c>
      <c r="O489" s="49">
        <v>30.26</v>
      </c>
      <c r="P489" s="49">
        <v>112.22</v>
      </c>
      <c r="Q489" s="49">
        <v>0</v>
      </c>
      <c r="R489" s="49">
        <v>232.86</v>
      </c>
      <c r="S489" s="49">
        <v>11.04</v>
      </c>
    </row>
    <row r="490" spans="1:19" ht="18">
      <c r="A490" s="49">
        <v>2705</v>
      </c>
      <c r="B490" s="49" t="s">
        <v>716</v>
      </c>
      <c r="C490" s="49">
        <v>0</v>
      </c>
      <c r="D490" s="49">
        <v>0</v>
      </c>
      <c r="E490" s="49">
        <v>0</v>
      </c>
      <c r="F490" s="49">
        <v>530</v>
      </c>
      <c r="G490" s="49">
        <v>8.17</v>
      </c>
      <c r="H490" s="49">
        <v>0</v>
      </c>
      <c r="I490" s="49">
        <v>0</v>
      </c>
      <c r="J490" s="49">
        <v>0</v>
      </c>
      <c r="K490" s="49">
        <v>10.050000000000001</v>
      </c>
      <c r="L490" s="49">
        <v>0</v>
      </c>
      <c r="M490" s="49">
        <v>0</v>
      </c>
      <c r="N490" s="49">
        <v>0</v>
      </c>
      <c r="O490" s="49">
        <v>0</v>
      </c>
      <c r="P490" s="49">
        <v>0</v>
      </c>
      <c r="Q490" s="49">
        <v>0</v>
      </c>
      <c r="R490" s="49">
        <v>0</v>
      </c>
      <c r="S490" s="49">
        <v>0</v>
      </c>
    </row>
    <row r="491" spans="1:19" ht="18">
      <c r="A491" s="49">
        <v>2706</v>
      </c>
      <c r="B491" s="49" t="s">
        <v>717</v>
      </c>
      <c r="C491" s="49">
        <v>11.91</v>
      </c>
      <c r="D491" s="49">
        <v>14.81</v>
      </c>
      <c r="E491" s="49">
        <v>20.46</v>
      </c>
      <c r="F491" s="49">
        <v>34.19</v>
      </c>
      <c r="G491" s="49">
        <v>27.94</v>
      </c>
      <c r="H491" s="49">
        <v>27.19</v>
      </c>
      <c r="I491" s="49">
        <v>21.33</v>
      </c>
      <c r="J491" s="49">
        <v>20.05</v>
      </c>
      <c r="K491" s="49">
        <v>16.940000000000001</v>
      </c>
      <c r="L491" s="49">
        <v>15.09</v>
      </c>
      <c r="M491" s="49">
        <v>15.87</v>
      </c>
      <c r="N491" s="49">
        <v>15.66</v>
      </c>
      <c r="O491" s="49">
        <v>13.73</v>
      </c>
      <c r="P491" s="49">
        <v>42.58</v>
      </c>
      <c r="Q491" s="49">
        <v>48</v>
      </c>
      <c r="R491" s="49">
        <v>24.82</v>
      </c>
      <c r="S491" s="49">
        <v>30</v>
      </c>
    </row>
    <row r="492" spans="1:19" ht="18">
      <c r="A492" s="49">
        <v>2707</v>
      </c>
      <c r="B492" s="49" t="s">
        <v>718</v>
      </c>
      <c r="C492" s="49">
        <v>21.71</v>
      </c>
      <c r="D492" s="49">
        <v>27.46</v>
      </c>
      <c r="E492" s="49">
        <v>45.76</v>
      </c>
      <c r="F492" s="49">
        <v>51.55</v>
      </c>
      <c r="G492" s="49">
        <v>32.799999999999997</v>
      </c>
      <c r="H492" s="49">
        <v>36.4</v>
      </c>
      <c r="I492" s="49">
        <v>34.409999999999997</v>
      </c>
      <c r="J492" s="49">
        <v>36.11</v>
      </c>
      <c r="K492" s="49">
        <v>24.44</v>
      </c>
      <c r="L492" s="49">
        <v>21.75</v>
      </c>
      <c r="M492" s="49">
        <v>18.64</v>
      </c>
      <c r="N492" s="49">
        <v>12.84</v>
      </c>
      <c r="O492" s="49">
        <v>15.58</v>
      </c>
      <c r="P492" s="49">
        <v>22.54</v>
      </c>
      <c r="Q492" s="49">
        <v>9.14</v>
      </c>
      <c r="R492" s="49">
        <v>36.520000000000003</v>
      </c>
      <c r="S492" s="49">
        <v>21.72</v>
      </c>
    </row>
    <row r="493" spans="1:19" ht="18">
      <c r="A493" s="49">
        <v>2712</v>
      </c>
      <c r="B493" s="49" t="s">
        <v>719</v>
      </c>
      <c r="C493" s="49">
        <v>0</v>
      </c>
      <c r="D493" s="49">
        <v>0</v>
      </c>
      <c r="E493" s="49">
        <v>0</v>
      </c>
      <c r="F493" s="49">
        <v>0</v>
      </c>
      <c r="G493" s="49">
        <v>0</v>
      </c>
      <c r="H493" s="49">
        <v>0</v>
      </c>
      <c r="I493" s="49">
        <v>37.89</v>
      </c>
      <c r="J493" s="49">
        <v>23.05</v>
      </c>
      <c r="K493" s="49">
        <v>31.57</v>
      </c>
      <c r="L493" s="49">
        <v>38.29</v>
      </c>
      <c r="M493" s="49">
        <v>170</v>
      </c>
      <c r="N493" s="49">
        <v>0</v>
      </c>
      <c r="O493" s="49">
        <v>0</v>
      </c>
      <c r="P493" s="49">
        <v>79.849999999999994</v>
      </c>
      <c r="Q493" s="49">
        <v>1423.33</v>
      </c>
      <c r="R493" s="49">
        <v>534.16999999999996</v>
      </c>
      <c r="S493" s="49">
        <v>58.17</v>
      </c>
    </row>
    <row r="494" spans="1:19" ht="18">
      <c r="A494" s="49">
        <v>2718</v>
      </c>
      <c r="B494" s="49" t="s">
        <v>1282</v>
      </c>
      <c r="C494" s="49">
        <v>0</v>
      </c>
      <c r="D494" s="49">
        <v>0</v>
      </c>
      <c r="E494" s="49">
        <v>0</v>
      </c>
      <c r="F494" s="49">
        <v>0</v>
      </c>
      <c r="G494" s="49">
        <v>32.83</v>
      </c>
      <c r="H494" s="49">
        <v>33.08</v>
      </c>
      <c r="I494" s="49">
        <v>38.520000000000003</v>
      </c>
      <c r="J494" s="49">
        <v>162.5</v>
      </c>
      <c r="K494" s="49">
        <v>22.52</v>
      </c>
      <c r="L494" s="49">
        <v>31.41</v>
      </c>
      <c r="M494" s="49">
        <v>147.65</v>
      </c>
      <c r="N494" s="49">
        <v>0</v>
      </c>
      <c r="O494" s="49">
        <v>0</v>
      </c>
      <c r="P494" s="49">
        <v>0</v>
      </c>
      <c r="Q494" s="49">
        <v>0</v>
      </c>
      <c r="R494" s="49">
        <v>0</v>
      </c>
      <c r="S494" s="49">
        <v>7.45</v>
      </c>
    </row>
    <row r="495" spans="1:19" ht="18">
      <c r="A495" s="49">
        <v>2719</v>
      </c>
      <c r="B495" s="49" t="s">
        <v>1283</v>
      </c>
      <c r="C495" s="49">
        <v>0</v>
      </c>
      <c r="D495" s="49">
        <v>0</v>
      </c>
      <c r="E495" s="49">
        <v>0</v>
      </c>
      <c r="F495" s="49">
        <v>0</v>
      </c>
      <c r="G495" s="49">
        <v>0</v>
      </c>
      <c r="H495" s="49">
        <v>38.83</v>
      </c>
      <c r="I495" s="49">
        <v>24.68</v>
      </c>
      <c r="J495" s="49">
        <v>31.01</v>
      </c>
      <c r="K495" s="49">
        <v>59.64</v>
      </c>
      <c r="L495" s="49">
        <v>0</v>
      </c>
      <c r="M495" s="49">
        <v>0</v>
      </c>
      <c r="N495" s="49">
        <v>0</v>
      </c>
      <c r="O495" s="49">
        <v>0</v>
      </c>
      <c r="P495" s="49">
        <v>0</v>
      </c>
      <c r="Q495" s="49">
        <v>0</v>
      </c>
      <c r="R495" s="49">
        <v>0</v>
      </c>
      <c r="S495" s="49">
        <v>0</v>
      </c>
    </row>
    <row r="496" spans="1:19" ht="18">
      <c r="A496" s="49">
        <v>2722</v>
      </c>
      <c r="B496" s="49" t="s">
        <v>720</v>
      </c>
      <c r="C496" s="49">
        <v>0</v>
      </c>
      <c r="D496" s="49">
        <v>0</v>
      </c>
      <c r="E496" s="49">
        <v>0</v>
      </c>
      <c r="F496" s="49">
        <v>0</v>
      </c>
      <c r="G496" s="49">
        <v>0</v>
      </c>
      <c r="H496" s="49">
        <v>23.92</v>
      </c>
      <c r="I496" s="49">
        <v>21.77</v>
      </c>
      <c r="J496" s="49">
        <v>27.06</v>
      </c>
      <c r="K496" s="49">
        <v>27.65</v>
      </c>
      <c r="L496" s="49">
        <v>29.31</v>
      </c>
      <c r="M496" s="49">
        <v>40.67</v>
      </c>
      <c r="N496" s="49">
        <v>500</v>
      </c>
      <c r="O496" s="49">
        <v>47.17</v>
      </c>
      <c r="P496" s="49">
        <v>45.4</v>
      </c>
      <c r="Q496" s="49">
        <v>1600</v>
      </c>
      <c r="R496" s="49">
        <v>21.69</v>
      </c>
      <c r="S496" s="49">
        <v>66.319999999999993</v>
      </c>
    </row>
    <row r="497" spans="1:19" ht="18">
      <c r="A497" s="49">
        <v>2723</v>
      </c>
      <c r="B497" s="49" t="s">
        <v>721</v>
      </c>
      <c r="C497" s="49">
        <v>0</v>
      </c>
      <c r="D497" s="49">
        <v>0</v>
      </c>
      <c r="E497" s="49">
        <v>0</v>
      </c>
      <c r="F497" s="49">
        <v>49.49</v>
      </c>
      <c r="G497" s="49">
        <v>27.32</v>
      </c>
      <c r="H497" s="49">
        <v>23.34</v>
      </c>
      <c r="I497" s="49">
        <v>43.8</v>
      </c>
      <c r="J497" s="49">
        <v>55.88</v>
      </c>
      <c r="K497" s="49">
        <v>33.15</v>
      </c>
      <c r="L497" s="49">
        <v>22.85</v>
      </c>
      <c r="M497" s="49">
        <v>34.36</v>
      </c>
      <c r="N497" s="49">
        <v>18.97</v>
      </c>
      <c r="O497" s="49">
        <v>20.93</v>
      </c>
      <c r="P497" s="49">
        <v>30.59</v>
      </c>
      <c r="Q497" s="49">
        <v>16.03</v>
      </c>
      <c r="R497" s="49">
        <v>51.18</v>
      </c>
      <c r="S497" s="49">
        <v>21.01</v>
      </c>
    </row>
    <row r="498" spans="1:19" ht="18">
      <c r="A498" s="49">
        <v>2724</v>
      </c>
      <c r="B498" s="49" t="s">
        <v>1284</v>
      </c>
      <c r="C498" s="49">
        <v>0</v>
      </c>
      <c r="D498" s="49">
        <v>0</v>
      </c>
      <c r="E498" s="49">
        <v>0</v>
      </c>
      <c r="F498" s="49">
        <v>0</v>
      </c>
      <c r="G498" s="49">
        <v>0</v>
      </c>
      <c r="H498" s="49">
        <v>18.86</v>
      </c>
      <c r="I498" s="49">
        <v>27.97</v>
      </c>
      <c r="J498" s="49">
        <v>16.72</v>
      </c>
      <c r="K498" s="49">
        <v>0</v>
      </c>
      <c r="L498" s="49">
        <v>0</v>
      </c>
      <c r="M498" s="49">
        <v>0</v>
      </c>
      <c r="N498" s="49">
        <v>0</v>
      </c>
      <c r="O498" s="49">
        <v>0</v>
      </c>
      <c r="P498" s="49">
        <v>0</v>
      </c>
      <c r="Q498" s="49">
        <v>0</v>
      </c>
      <c r="R498" s="49">
        <v>0</v>
      </c>
      <c r="S498" s="49">
        <v>0</v>
      </c>
    </row>
    <row r="499" spans="1:19" ht="18">
      <c r="A499" s="49">
        <v>2726</v>
      </c>
      <c r="B499" s="49" t="s">
        <v>1285</v>
      </c>
      <c r="C499" s="49">
        <v>0</v>
      </c>
      <c r="D499" s="49">
        <v>0</v>
      </c>
      <c r="E499" s="49">
        <v>0</v>
      </c>
      <c r="F499" s="49">
        <v>0</v>
      </c>
      <c r="G499" s="49">
        <v>0</v>
      </c>
      <c r="H499" s="49">
        <v>0</v>
      </c>
      <c r="I499" s="49">
        <v>0</v>
      </c>
      <c r="J499" s="49">
        <v>13.29</v>
      </c>
      <c r="K499" s="49">
        <v>26.34</v>
      </c>
      <c r="L499" s="49">
        <v>19.600000000000001</v>
      </c>
      <c r="M499" s="49">
        <v>18.25</v>
      </c>
      <c r="N499" s="49">
        <v>14.04</v>
      </c>
      <c r="O499" s="49">
        <v>17.489999999999998</v>
      </c>
      <c r="P499" s="49">
        <v>165.95</v>
      </c>
      <c r="Q499" s="49">
        <v>202</v>
      </c>
      <c r="R499" s="49">
        <v>0</v>
      </c>
      <c r="S499" s="49">
        <v>0</v>
      </c>
    </row>
    <row r="500" spans="1:19" ht="18">
      <c r="A500" s="49">
        <v>2727</v>
      </c>
      <c r="B500" s="49" t="s">
        <v>722</v>
      </c>
      <c r="C500" s="49">
        <v>0</v>
      </c>
      <c r="D500" s="49">
        <v>0</v>
      </c>
      <c r="E500" s="49">
        <v>0</v>
      </c>
      <c r="F500" s="49">
        <v>0</v>
      </c>
      <c r="G500" s="49">
        <v>0</v>
      </c>
      <c r="H500" s="49">
        <v>32.83</v>
      </c>
      <c r="I500" s="49">
        <v>33.79</v>
      </c>
      <c r="J500" s="49">
        <v>27.23</v>
      </c>
      <c r="K500" s="49">
        <v>49.39</v>
      </c>
      <c r="L500" s="49">
        <v>127.67</v>
      </c>
      <c r="M500" s="49">
        <v>23.43</v>
      </c>
      <c r="N500" s="49">
        <v>16.600000000000001</v>
      </c>
      <c r="O500" s="49">
        <v>17.46</v>
      </c>
      <c r="P500" s="49">
        <v>39.32</v>
      </c>
      <c r="Q500" s="49">
        <v>0</v>
      </c>
      <c r="R500" s="49">
        <v>48.41</v>
      </c>
      <c r="S500" s="49">
        <v>15.6</v>
      </c>
    </row>
    <row r="501" spans="1:19" ht="18">
      <c r="A501" s="49">
        <v>2729</v>
      </c>
      <c r="B501" s="49" t="s">
        <v>1286</v>
      </c>
      <c r="C501" s="49">
        <v>0</v>
      </c>
      <c r="D501" s="49">
        <v>0</v>
      </c>
      <c r="E501" s="49">
        <v>0</v>
      </c>
      <c r="F501" s="49">
        <v>0</v>
      </c>
      <c r="G501" s="49">
        <v>0</v>
      </c>
      <c r="H501" s="49">
        <v>23.84</v>
      </c>
      <c r="I501" s="49">
        <v>26.88</v>
      </c>
      <c r="J501" s="49">
        <v>24.89</v>
      </c>
      <c r="K501" s="49">
        <v>20.6</v>
      </c>
      <c r="L501" s="49">
        <v>16.52</v>
      </c>
      <c r="M501" s="49">
        <v>17.239999999999998</v>
      </c>
      <c r="N501" s="49">
        <v>14.65</v>
      </c>
      <c r="O501" s="49">
        <v>17.57</v>
      </c>
      <c r="P501" s="49">
        <v>17.97</v>
      </c>
      <c r="Q501" s="49">
        <v>26.38</v>
      </c>
      <c r="R501" s="49">
        <v>36.799999999999997</v>
      </c>
      <c r="S501" s="49">
        <v>20.440000000000001</v>
      </c>
    </row>
    <row r="502" spans="1:19" ht="18">
      <c r="A502" s="49">
        <v>2731</v>
      </c>
      <c r="B502" s="49" t="s">
        <v>723</v>
      </c>
      <c r="C502" s="49">
        <v>0</v>
      </c>
      <c r="D502" s="49">
        <v>0</v>
      </c>
      <c r="E502" s="49">
        <v>0</v>
      </c>
      <c r="F502" s="49">
        <v>0</v>
      </c>
      <c r="G502" s="49">
        <v>0</v>
      </c>
      <c r="H502" s="49">
        <v>0</v>
      </c>
      <c r="I502" s="49">
        <v>36.31</v>
      </c>
      <c r="J502" s="49">
        <v>16.809999999999999</v>
      </c>
      <c r="K502" s="49">
        <v>17.920000000000002</v>
      </c>
      <c r="L502" s="49">
        <v>20.99</v>
      </c>
      <c r="M502" s="49">
        <v>17.420000000000002</v>
      </c>
      <c r="N502" s="49">
        <v>18.29</v>
      </c>
      <c r="O502" s="49">
        <v>38.99</v>
      </c>
      <c r="P502" s="49">
        <v>0</v>
      </c>
      <c r="Q502" s="49">
        <v>0</v>
      </c>
      <c r="R502" s="49">
        <v>0</v>
      </c>
      <c r="S502" s="49">
        <v>27.89</v>
      </c>
    </row>
    <row r="503" spans="1:19" ht="18">
      <c r="A503" s="49">
        <v>2732</v>
      </c>
      <c r="B503" s="49" t="s">
        <v>1287</v>
      </c>
      <c r="C503" s="49">
        <v>0</v>
      </c>
      <c r="D503" s="49">
        <v>0</v>
      </c>
      <c r="E503" s="49">
        <v>0</v>
      </c>
      <c r="F503" s="49">
        <v>0</v>
      </c>
      <c r="G503" s="49">
        <v>0</v>
      </c>
      <c r="H503" s="49">
        <v>0</v>
      </c>
      <c r="I503" s="49">
        <v>0</v>
      </c>
      <c r="J503" s="49">
        <v>0</v>
      </c>
      <c r="K503" s="49">
        <v>15.27</v>
      </c>
      <c r="L503" s="49">
        <v>19.43</v>
      </c>
      <c r="M503" s="49">
        <v>16.86</v>
      </c>
      <c r="N503" s="49">
        <v>16.03</v>
      </c>
      <c r="O503" s="49">
        <v>19.09</v>
      </c>
      <c r="P503" s="49">
        <v>30.51</v>
      </c>
      <c r="Q503" s="49">
        <v>37.700000000000003</v>
      </c>
      <c r="R503" s="49">
        <v>21.02</v>
      </c>
      <c r="S503" s="49">
        <v>16.39</v>
      </c>
    </row>
    <row r="504" spans="1:19" ht="18">
      <c r="A504" s="49">
        <v>2734</v>
      </c>
      <c r="B504" s="49" t="s">
        <v>1288</v>
      </c>
      <c r="C504" s="49">
        <v>0</v>
      </c>
      <c r="D504" s="49">
        <v>0</v>
      </c>
      <c r="E504" s="49">
        <v>0</v>
      </c>
      <c r="F504" s="49">
        <v>0</v>
      </c>
      <c r="G504" s="49">
        <v>0</v>
      </c>
      <c r="H504" s="49">
        <v>0</v>
      </c>
      <c r="I504" s="49">
        <v>29.04</v>
      </c>
      <c r="J504" s="49">
        <v>20.09</v>
      </c>
      <c r="K504" s="49">
        <v>77.17</v>
      </c>
      <c r="L504" s="49">
        <v>0</v>
      </c>
      <c r="M504" s="49">
        <v>0</v>
      </c>
      <c r="N504" s="49">
        <v>0</v>
      </c>
      <c r="O504" s="49">
        <v>0</v>
      </c>
      <c r="P504" s="49">
        <v>0</v>
      </c>
      <c r="Q504" s="49">
        <v>0</v>
      </c>
      <c r="R504" s="49">
        <v>0</v>
      </c>
      <c r="S504" s="49">
        <v>325</v>
      </c>
    </row>
    <row r="505" spans="1:19" ht="18">
      <c r="A505" s="49">
        <v>2736</v>
      </c>
      <c r="B505" s="49" t="s">
        <v>1289</v>
      </c>
      <c r="C505" s="49">
        <v>0</v>
      </c>
      <c r="D505" s="49">
        <v>0</v>
      </c>
      <c r="E505" s="49">
        <v>0</v>
      </c>
      <c r="F505" s="49">
        <v>0</v>
      </c>
      <c r="G505" s="49">
        <v>0</v>
      </c>
      <c r="H505" s="49">
        <v>0</v>
      </c>
      <c r="I505" s="49">
        <v>0</v>
      </c>
      <c r="J505" s="49">
        <v>0</v>
      </c>
      <c r="K505" s="49">
        <v>0</v>
      </c>
      <c r="L505" s="49">
        <v>11.02</v>
      </c>
      <c r="M505" s="49">
        <v>0</v>
      </c>
      <c r="N505" s="49">
        <v>0</v>
      </c>
      <c r="O505" s="49">
        <v>0</v>
      </c>
      <c r="P505" s="49">
        <v>0</v>
      </c>
      <c r="Q505" s="49">
        <v>0</v>
      </c>
      <c r="R505" s="49">
        <v>30.13</v>
      </c>
      <c r="S505" s="49">
        <v>297</v>
      </c>
    </row>
    <row r="506" spans="1:19" ht="18">
      <c r="A506" s="49">
        <v>2739</v>
      </c>
      <c r="B506" s="49" t="s">
        <v>724</v>
      </c>
      <c r="C506" s="49">
        <v>0</v>
      </c>
      <c r="D506" s="49">
        <v>0</v>
      </c>
      <c r="E506" s="49">
        <v>0</v>
      </c>
      <c r="F506" s="49">
        <v>0</v>
      </c>
      <c r="G506" s="49">
        <v>0</v>
      </c>
      <c r="H506" s="49">
        <v>0</v>
      </c>
      <c r="I506" s="49">
        <v>0</v>
      </c>
      <c r="J506" s="49">
        <v>0</v>
      </c>
      <c r="K506" s="49">
        <v>0</v>
      </c>
      <c r="L506" s="49">
        <v>12</v>
      </c>
      <c r="M506" s="49">
        <v>29.7</v>
      </c>
      <c r="N506" s="49">
        <v>35.54</v>
      </c>
      <c r="O506" s="49">
        <v>25.71</v>
      </c>
      <c r="P506" s="49">
        <v>0</v>
      </c>
      <c r="Q506" s="49">
        <v>0</v>
      </c>
      <c r="R506" s="49">
        <v>0</v>
      </c>
      <c r="S506" s="49">
        <v>21.13</v>
      </c>
    </row>
    <row r="507" spans="1:19" ht="18">
      <c r="A507" s="49">
        <v>2740</v>
      </c>
      <c r="B507" s="49" t="s">
        <v>1290</v>
      </c>
      <c r="C507" s="49">
        <v>0</v>
      </c>
      <c r="D507" s="49">
        <v>0</v>
      </c>
      <c r="E507" s="49">
        <v>0</v>
      </c>
      <c r="F507" s="49">
        <v>0</v>
      </c>
      <c r="G507" s="49">
        <v>0</v>
      </c>
      <c r="H507" s="49">
        <v>0</v>
      </c>
      <c r="I507" s="49">
        <v>0</v>
      </c>
      <c r="J507" s="49">
        <v>0</v>
      </c>
      <c r="K507" s="49">
        <v>28.38</v>
      </c>
      <c r="L507" s="49">
        <v>0</v>
      </c>
      <c r="M507" s="49">
        <v>0</v>
      </c>
      <c r="N507" s="49">
        <v>0</v>
      </c>
      <c r="O507" s="49">
        <v>0</v>
      </c>
      <c r="P507" s="49">
        <v>0</v>
      </c>
      <c r="Q507" s="49">
        <v>0</v>
      </c>
      <c r="R507" s="49">
        <v>0</v>
      </c>
      <c r="S507" s="49">
        <v>0</v>
      </c>
    </row>
    <row r="508" spans="1:19" ht="18">
      <c r="A508" s="49">
        <v>2743</v>
      </c>
      <c r="B508" s="49" t="s">
        <v>1291</v>
      </c>
      <c r="C508" s="49">
        <v>0</v>
      </c>
      <c r="D508" s="49">
        <v>0</v>
      </c>
      <c r="E508" s="49">
        <v>0</v>
      </c>
      <c r="F508" s="49">
        <v>0</v>
      </c>
      <c r="G508" s="49">
        <v>0</v>
      </c>
      <c r="H508" s="49">
        <v>0</v>
      </c>
      <c r="I508" s="49">
        <v>0</v>
      </c>
      <c r="J508" s="49">
        <v>0</v>
      </c>
      <c r="K508" s="49">
        <v>0</v>
      </c>
      <c r="L508" s="49">
        <v>0</v>
      </c>
      <c r="M508" s="49">
        <v>0</v>
      </c>
      <c r="N508" s="49">
        <v>0</v>
      </c>
      <c r="O508" s="49">
        <v>0</v>
      </c>
      <c r="P508" s="49">
        <v>0</v>
      </c>
      <c r="Q508" s="49">
        <v>0</v>
      </c>
      <c r="R508" s="49">
        <v>0</v>
      </c>
      <c r="S508" s="49">
        <v>18.36</v>
      </c>
    </row>
    <row r="509" spans="1:19" ht="18">
      <c r="A509" s="49">
        <v>2745</v>
      </c>
      <c r="B509" s="49" t="s">
        <v>1292</v>
      </c>
      <c r="C509" s="49">
        <v>0</v>
      </c>
      <c r="D509" s="49">
        <v>0</v>
      </c>
      <c r="E509" s="49">
        <v>0</v>
      </c>
      <c r="F509" s="49">
        <v>0</v>
      </c>
      <c r="G509" s="49">
        <v>0</v>
      </c>
      <c r="H509" s="49">
        <v>0</v>
      </c>
      <c r="I509" s="49">
        <v>0</v>
      </c>
      <c r="J509" s="49">
        <v>0</v>
      </c>
      <c r="K509" s="49">
        <v>0</v>
      </c>
      <c r="L509" s="49">
        <v>0</v>
      </c>
      <c r="M509" s="49">
        <v>0</v>
      </c>
      <c r="N509" s="49">
        <v>18.850000000000001</v>
      </c>
      <c r="O509" s="49">
        <v>21.15</v>
      </c>
      <c r="P509" s="49">
        <v>0</v>
      </c>
      <c r="Q509" s="49">
        <v>0</v>
      </c>
      <c r="R509" s="49">
        <v>0</v>
      </c>
      <c r="S509" s="49">
        <v>16.04</v>
      </c>
    </row>
    <row r="510" spans="1:19" ht="18">
      <c r="A510" s="49">
        <v>2748</v>
      </c>
      <c r="B510" s="49" t="s">
        <v>725</v>
      </c>
      <c r="C510" s="49">
        <v>0</v>
      </c>
      <c r="D510" s="49">
        <v>0</v>
      </c>
      <c r="E510" s="49">
        <v>0</v>
      </c>
      <c r="F510" s="49">
        <v>0</v>
      </c>
      <c r="G510" s="49">
        <v>0</v>
      </c>
      <c r="H510" s="49">
        <v>0</v>
      </c>
      <c r="I510" s="49">
        <v>0</v>
      </c>
      <c r="J510" s="49">
        <v>0</v>
      </c>
      <c r="K510" s="49">
        <v>0</v>
      </c>
      <c r="L510" s="49">
        <v>15.11</v>
      </c>
      <c r="M510" s="49">
        <v>22.38</v>
      </c>
      <c r="N510" s="49">
        <v>21.57</v>
      </c>
      <c r="O510" s="49">
        <v>15.41</v>
      </c>
      <c r="P510" s="49">
        <v>29.47</v>
      </c>
      <c r="Q510" s="49">
        <v>0</v>
      </c>
      <c r="R510" s="49">
        <v>35.65</v>
      </c>
      <c r="S510" s="49">
        <v>29.09</v>
      </c>
    </row>
    <row r="511" spans="1:19" ht="18">
      <c r="A511" s="49">
        <v>2752</v>
      </c>
      <c r="B511" s="49" t="s">
        <v>1293</v>
      </c>
      <c r="C511" s="49">
        <v>0</v>
      </c>
      <c r="D511" s="49">
        <v>0</v>
      </c>
      <c r="E511" s="49">
        <v>0</v>
      </c>
      <c r="F511" s="49">
        <v>0</v>
      </c>
      <c r="G511" s="49">
        <v>0</v>
      </c>
      <c r="H511" s="49">
        <v>0</v>
      </c>
      <c r="I511" s="49">
        <v>0</v>
      </c>
      <c r="J511" s="49">
        <v>0</v>
      </c>
      <c r="K511" s="49">
        <v>0</v>
      </c>
      <c r="L511" s="49">
        <v>0</v>
      </c>
      <c r="M511" s="49">
        <v>0</v>
      </c>
      <c r="N511" s="49">
        <v>0</v>
      </c>
      <c r="O511" s="49">
        <v>18.760000000000002</v>
      </c>
      <c r="P511" s="49">
        <v>18.63</v>
      </c>
      <c r="Q511" s="49">
        <v>28.25</v>
      </c>
      <c r="R511" s="49">
        <v>20.13</v>
      </c>
      <c r="S511" s="49">
        <v>17.21</v>
      </c>
    </row>
    <row r="512" spans="1:19" ht="18">
      <c r="A512" s="49">
        <v>2753</v>
      </c>
      <c r="B512" s="49" t="s">
        <v>726</v>
      </c>
      <c r="C512" s="49">
        <v>0</v>
      </c>
      <c r="D512" s="49">
        <v>0</v>
      </c>
      <c r="E512" s="49">
        <v>0</v>
      </c>
      <c r="F512" s="49">
        <v>0</v>
      </c>
      <c r="G512" s="49">
        <v>0</v>
      </c>
      <c r="H512" s="49">
        <v>0</v>
      </c>
      <c r="I512" s="49">
        <v>0</v>
      </c>
      <c r="J512" s="49">
        <v>0</v>
      </c>
      <c r="K512" s="49">
        <v>0</v>
      </c>
      <c r="L512" s="49">
        <v>0</v>
      </c>
      <c r="M512" s="49">
        <v>0</v>
      </c>
      <c r="N512" s="49">
        <v>0</v>
      </c>
      <c r="O512" s="49">
        <v>0</v>
      </c>
      <c r="P512" s="49">
        <v>0</v>
      </c>
      <c r="Q512" s="49">
        <v>13.76</v>
      </c>
      <c r="R512" s="49">
        <v>23.4</v>
      </c>
      <c r="S512" s="49">
        <v>19.22</v>
      </c>
    </row>
    <row r="513" spans="1:19" ht="18">
      <c r="A513" s="49">
        <v>2754</v>
      </c>
      <c r="B513" s="49" t="s">
        <v>1294</v>
      </c>
      <c r="C513" s="49">
        <v>0</v>
      </c>
      <c r="D513" s="49">
        <v>0</v>
      </c>
      <c r="E513" s="49">
        <v>0</v>
      </c>
      <c r="F513" s="49">
        <v>0</v>
      </c>
      <c r="G513" s="49">
        <v>0</v>
      </c>
      <c r="H513" s="49">
        <v>0</v>
      </c>
      <c r="I513" s="49">
        <v>0</v>
      </c>
      <c r="J513" s="49">
        <v>0</v>
      </c>
      <c r="K513" s="49">
        <v>0</v>
      </c>
      <c r="L513" s="49">
        <v>0</v>
      </c>
      <c r="M513" s="49">
        <v>0</v>
      </c>
      <c r="N513" s="49">
        <v>0</v>
      </c>
      <c r="O513" s="49">
        <v>0</v>
      </c>
      <c r="P513" s="49">
        <v>7490</v>
      </c>
      <c r="Q513" s="49">
        <v>0</v>
      </c>
      <c r="R513" s="49">
        <v>25.04</v>
      </c>
      <c r="S513" s="49">
        <v>21.84</v>
      </c>
    </row>
    <row r="514" spans="1:19" ht="18">
      <c r="A514" s="49">
        <v>2755</v>
      </c>
      <c r="B514" s="49" t="s">
        <v>1295</v>
      </c>
      <c r="C514" s="49">
        <v>0</v>
      </c>
      <c r="D514" s="49">
        <v>0</v>
      </c>
      <c r="E514" s="49">
        <v>0</v>
      </c>
      <c r="F514" s="49">
        <v>0</v>
      </c>
      <c r="G514" s="49">
        <v>0</v>
      </c>
      <c r="H514" s="49">
        <v>0</v>
      </c>
      <c r="I514" s="49">
        <v>0</v>
      </c>
      <c r="J514" s="49">
        <v>0</v>
      </c>
      <c r="K514" s="49">
        <v>0</v>
      </c>
      <c r="L514" s="49">
        <v>0</v>
      </c>
      <c r="M514" s="49">
        <v>0</v>
      </c>
      <c r="N514" s="49">
        <v>0</v>
      </c>
      <c r="O514" s="49">
        <v>0</v>
      </c>
      <c r="P514" s="49">
        <v>16.420000000000002</v>
      </c>
      <c r="Q514" s="49">
        <v>17.3</v>
      </c>
      <c r="R514" s="49">
        <v>14.25</v>
      </c>
      <c r="S514" s="49">
        <v>28.3</v>
      </c>
    </row>
    <row r="515" spans="1:19" ht="18">
      <c r="A515" s="49">
        <v>2756</v>
      </c>
      <c r="B515" s="49" t="s">
        <v>1296</v>
      </c>
      <c r="C515" s="49">
        <v>0</v>
      </c>
      <c r="D515" s="49">
        <v>0</v>
      </c>
      <c r="E515" s="49">
        <v>0</v>
      </c>
      <c r="F515" s="49">
        <v>0</v>
      </c>
      <c r="G515" s="49">
        <v>0</v>
      </c>
      <c r="H515" s="49">
        <v>0</v>
      </c>
      <c r="I515" s="49">
        <v>0</v>
      </c>
      <c r="J515" s="49">
        <v>0</v>
      </c>
      <c r="K515" s="49">
        <v>0</v>
      </c>
      <c r="L515" s="49">
        <v>0</v>
      </c>
      <c r="M515" s="49">
        <v>0</v>
      </c>
      <c r="N515" s="49">
        <v>0</v>
      </c>
      <c r="O515" s="49">
        <v>0</v>
      </c>
      <c r="P515" s="49">
        <v>0</v>
      </c>
      <c r="Q515" s="49">
        <v>0</v>
      </c>
      <c r="R515" s="49">
        <v>13.66</v>
      </c>
      <c r="S515" s="49">
        <v>17.12</v>
      </c>
    </row>
    <row r="516" spans="1:19" ht="18">
      <c r="A516" s="49">
        <v>2801</v>
      </c>
      <c r="B516" s="49" t="s">
        <v>727</v>
      </c>
      <c r="C516" s="49">
        <v>8.6199999999999992</v>
      </c>
      <c r="D516" s="49">
        <v>11.23</v>
      </c>
      <c r="E516" s="49">
        <v>28.24</v>
      </c>
      <c r="F516" s="49">
        <v>21.06</v>
      </c>
      <c r="G516" s="49">
        <v>10.029999999999999</v>
      </c>
      <c r="H516" s="49">
        <v>13.07</v>
      </c>
      <c r="I516" s="49">
        <v>17.82</v>
      </c>
      <c r="J516" s="49">
        <v>13.15</v>
      </c>
      <c r="K516" s="49">
        <v>12.08</v>
      </c>
      <c r="L516" s="49">
        <v>13.09</v>
      </c>
      <c r="M516" s="49">
        <v>12.83</v>
      </c>
      <c r="N516" s="49">
        <v>13.23</v>
      </c>
      <c r="O516" s="49">
        <v>19.399999999999999</v>
      </c>
      <c r="P516" s="49">
        <v>22.72</v>
      </c>
      <c r="Q516" s="49">
        <v>21.79</v>
      </c>
      <c r="R516" s="49">
        <v>17.149999999999999</v>
      </c>
      <c r="S516" s="49">
        <v>15.3</v>
      </c>
    </row>
    <row r="517" spans="1:19" ht="18">
      <c r="A517" s="49">
        <v>2809</v>
      </c>
      <c r="B517" s="49" t="s">
        <v>728</v>
      </c>
      <c r="C517" s="49">
        <v>57.33</v>
      </c>
      <c r="D517" s="49">
        <v>44.46</v>
      </c>
      <c r="E517" s="49">
        <v>918</v>
      </c>
      <c r="F517" s="49">
        <v>13.18</v>
      </c>
      <c r="G517" s="49">
        <v>7.58</v>
      </c>
      <c r="H517" s="49">
        <v>7.15</v>
      </c>
      <c r="I517" s="49">
        <v>8.58</v>
      </c>
      <c r="J517" s="49">
        <v>7.62</v>
      </c>
      <c r="K517" s="49">
        <v>6.84</v>
      </c>
      <c r="L517" s="49">
        <v>7.37</v>
      </c>
      <c r="M517" s="49">
        <v>7.78</v>
      </c>
      <c r="N517" s="49">
        <v>6.66</v>
      </c>
      <c r="O517" s="49">
        <v>30.45</v>
      </c>
      <c r="P517" s="49">
        <v>8.58</v>
      </c>
      <c r="Q517" s="49">
        <v>5.89</v>
      </c>
      <c r="R517" s="49">
        <v>46.44</v>
      </c>
      <c r="S517" s="49">
        <v>7.91</v>
      </c>
    </row>
    <row r="518" spans="1:19" ht="18">
      <c r="A518" s="49">
        <v>2812</v>
      </c>
      <c r="B518" s="49" t="s">
        <v>729</v>
      </c>
      <c r="C518" s="49">
        <v>9.81</v>
      </c>
      <c r="D518" s="49">
        <v>9.49</v>
      </c>
      <c r="E518" s="49">
        <v>0</v>
      </c>
      <c r="F518" s="49">
        <v>16.579999999999998</v>
      </c>
      <c r="G518" s="49">
        <v>20.28</v>
      </c>
      <c r="H518" s="49">
        <v>9.0500000000000007</v>
      </c>
      <c r="I518" s="49">
        <v>8.49</v>
      </c>
      <c r="J518" s="49">
        <v>8.01</v>
      </c>
      <c r="K518" s="49">
        <v>8.2100000000000009</v>
      </c>
      <c r="L518" s="49">
        <v>9.27</v>
      </c>
      <c r="M518" s="49">
        <v>9.01</v>
      </c>
      <c r="N518" s="49">
        <v>8.64</v>
      </c>
      <c r="O518" s="49">
        <v>10.71</v>
      </c>
      <c r="P518" s="49">
        <v>10.24</v>
      </c>
      <c r="Q518" s="49">
        <v>11.36</v>
      </c>
      <c r="R518" s="49">
        <v>11.74</v>
      </c>
      <c r="S518" s="49">
        <v>13.14</v>
      </c>
    </row>
    <row r="519" spans="1:19" ht="18">
      <c r="A519" s="49">
        <v>2816</v>
      </c>
      <c r="B519" s="49" t="s">
        <v>730</v>
      </c>
      <c r="C519" s="49">
        <v>0</v>
      </c>
      <c r="D519" s="49">
        <v>0</v>
      </c>
      <c r="E519" s="49">
        <v>0</v>
      </c>
      <c r="F519" s="49">
        <v>0</v>
      </c>
      <c r="G519" s="49">
        <v>0</v>
      </c>
      <c r="H519" s="49">
        <v>12.84</v>
      </c>
      <c r="I519" s="49">
        <v>9.1199999999999992</v>
      </c>
      <c r="J519" s="49">
        <v>8.49</v>
      </c>
      <c r="K519" s="49">
        <v>13.6</v>
      </c>
      <c r="L519" s="49">
        <v>17.47</v>
      </c>
      <c r="M519" s="49">
        <v>7.58</v>
      </c>
      <c r="N519" s="49">
        <v>5.74</v>
      </c>
      <c r="O519" s="49">
        <v>6.72</v>
      </c>
      <c r="P519" s="49">
        <v>7.02</v>
      </c>
      <c r="Q519" s="49">
        <v>9.25</v>
      </c>
      <c r="R519" s="49">
        <v>0</v>
      </c>
      <c r="S519" s="49">
        <v>15.95</v>
      </c>
    </row>
    <row r="520" spans="1:19" ht="18">
      <c r="A520" s="49">
        <v>2820</v>
      </c>
      <c r="B520" s="49" t="s">
        <v>731</v>
      </c>
      <c r="C520" s="49">
        <v>0</v>
      </c>
      <c r="D520" s="49">
        <v>9.84</v>
      </c>
      <c r="E520" s="49">
        <v>7.63</v>
      </c>
      <c r="F520" s="49">
        <v>12.35</v>
      </c>
      <c r="G520" s="49">
        <v>9.9</v>
      </c>
      <c r="H520" s="49">
        <v>3.46</v>
      </c>
      <c r="I520" s="49">
        <v>11.7</v>
      </c>
      <c r="J520" s="49">
        <v>11.72</v>
      </c>
      <c r="K520" s="49">
        <v>10.32</v>
      </c>
      <c r="L520" s="49">
        <v>10</v>
      </c>
      <c r="M520" s="49">
        <v>15.56</v>
      </c>
      <c r="N520" s="49">
        <v>13.43</v>
      </c>
      <c r="O520" s="49">
        <v>16.3</v>
      </c>
      <c r="P520" s="49">
        <v>13.42</v>
      </c>
      <c r="Q520" s="49">
        <v>12.65</v>
      </c>
      <c r="R520" s="49">
        <v>14.5</v>
      </c>
      <c r="S520" s="49">
        <v>16.78</v>
      </c>
    </row>
    <row r="521" spans="1:19" ht="18">
      <c r="A521" s="49">
        <v>2832</v>
      </c>
      <c r="B521" s="49" t="s">
        <v>732</v>
      </c>
      <c r="C521" s="49">
        <v>7.64</v>
      </c>
      <c r="D521" s="49">
        <v>37.700000000000003</v>
      </c>
      <c r="E521" s="49">
        <v>11.74</v>
      </c>
      <c r="F521" s="49">
        <v>21.39</v>
      </c>
      <c r="G521" s="49">
        <v>6.52</v>
      </c>
      <c r="H521" s="49">
        <v>11.42</v>
      </c>
      <c r="I521" s="49">
        <v>12.54</v>
      </c>
      <c r="J521" s="49">
        <v>11.99</v>
      </c>
      <c r="K521" s="49">
        <v>6.97</v>
      </c>
      <c r="L521" s="49">
        <v>12.7</v>
      </c>
      <c r="M521" s="49">
        <v>9.01</v>
      </c>
      <c r="N521" s="49">
        <v>10.63</v>
      </c>
      <c r="O521" s="49">
        <v>12.51</v>
      </c>
      <c r="P521" s="49">
        <v>10.9</v>
      </c>
      <c r="Q521" s="49">
        <v>291.43</v>
      </c>
      <c r="R521" s="49">
        <v>6.7</v>
      </c>
      <c r="S521" s="49">
        <v>10.73</v>
      </c>
    </row>
    <row r="522" spans="1:19" ht="18">
      <c r="A522" s="49">
        <v>2834</v>
      </c>
      <c r="B522" s="49" t="s">
        <v>733</v>
      </c>
      <c r="C522" s="49">
        <v>39.92</v>
      </c>
      <c r="D522" s="49">
        <v>8.89</v>
      </c>
      <c r="E522" s="49">
        <v>0</v>
      </c>
      <c r="F522" s="49">
        <v>33</v>
      </c>
      <c r="G522" s="49">
        <v>15.05</v>
      </c>
      <c r="H522" s="49">
        <v>12.49</v>
      </c>
      <c r="I522" s="49">
        <v>15.37</v>
      </c>
      <c r="J522" s="49">
        <v>9.1</v>
      </c>
      <c r="K522" s="49">
        <v>8.99</v>
      </c>
      <c r="L522" s="49">
        <v>9.16</v>
      </c>
      <c r="M522" s="49">
        <v>8.74</v>
      </c>
      <c r="N522" s="49">
        <v>10.35</v>
      </c>
      <c r="O522" s="49">
        <v>12.73</v>
      </c>
      <c r="P522" s="49">
        <v>15.2</v>
      </c>
      <c r="Q522" s="49">
        <v>15</v>
      </c>
      <c r="R522" s="49">
        <v>12.57</v>
      </c>
      <c r="S522" s="49">
        <v>9.86</v>
      </c>
    </row>
    <row r="523" spans="1:19" ht="18">
      <c r="A523" s="49">
        <v>2836</v>
      </c>
      <c r="B523" s="49" t="s">
        <v>734</v>
      </c>
      <c r="C523" s="49">
        <v>16.47</v>
      </c>
      <c r="D523" s="49">
        <v>0</v>
      </c>
      <c r="E523" s="49">
        <v>0</v>
      </c>
      <c r="F523" s="49">
        <v>24.62</v>
      </c>
      <c r="G523" s="49">
        <v>0</v>
      </c>
      <c r="H523" s="49">
        <v>22.41</v>
      </c>
      <c r="I523" s="49">
        <v>18</v>
      </c>
      <c r="J523" s="49">
        <v>14.14</v>
      </c>
      <c r="K523" s="49">
        <v>10.85</v>
      </c>
      <c r="L523" s="49">
        <v>12.22</v>
      </c>
      <c r="M523" s="49">
        <v>13.56</v>
      </c>
      <c r="N523" s="49">
        <v>32.57</v>
      </c>
      <c r="O523" s="49">
        <v>15.52</v>
      </c>
      <c r="P523" s="49">
        <v>14.51</v>
      </c>
      <c r="Q523" s="49">
        <v>16.579999999999998</v>
      </c>
      <c r="R523" s="49">
        <v>15.37</v>
      </c>
      <c r="S523" s="49">
        <v>18.559999999999999</v>
      </c>
    </row>
    <row r="524" spans="1:19" ht="18">
      <c r="A524" s="49">
        <v>2838</v>
      </c>
      <c r="B524" s="49" t="s">
        <v>735</v>
      </c>
      <c r="C524" s="49">
        <v>0</v>
      </c>
      <c r="D524" s="49">
        <v>0</v>
      </c>
      <c r="E524" s="49">
        <v>0</v>
      </c>
      <c r="F524" s="49">
        <v>9.4600000000000009</v>
      </c>
      <c r="G524" s="49">
        <v>8.92</v>
      </c>
      <c r="H524" s="49">
        <v>7.68</v>
      </c>
      <c r="I524" s="49">
        <v>9.52</v>
      </c>
      <c r="J524" s="49">
        <v>8.2799999999999994</v>
      </c>
      <c r="K524" s="49">
        <v>8.11</v>
      </c>
      <c r="L524" s="49">
        <v>8.06</v>
      </c>
      <c r="M524" s="49">
        <v>9.17</v>
      </c>
      <c r="N524" s="49">
        <v>8.8800000000000008</v>
      </c>
      <c r="O524" s="49">
        <v>11.28</v>
      </c>
      <c r="P524" s="49">
        <v>10.54</v>
      </c>
      <c r="Q524" s="49">
        <v>10.46</v>
      </c>
      <c r="R524" s="49">
        <v>18.600000000000001</v>
      </c>
      <c r="S524" s="49">
        <v>11.9</v>
      </c>
    </row>
    <row r="525" spans="1:19" ht="18">
      <c r="A525" s="49">
        <v>2845</v>
      </c>
      <c r="B525" s="49" t="s">
        <v>736</v>
      </c>
      <c r="C525" s="49">
        <v>0</v>
      </c>
      <c r="D525" s="49">
        <v>0</v>
      </c>
      <c r="E525" s="49">
        <v>0</v>
      </c>
      <c r="F525" s="49">
        <v>13.41</v>
      </c>
      <c r="G525" s="49">
        <v>9.3800000000000008</v>
      </c>
      <c r="H525" s="49">
        <v>10.79</v>
      </c>
      <c r="I525" s="49">
        <v>9.65</v>
      </c>
      <c r="J525" s="49">
        <v>9.1300000000000008</v>
      </c>
      <c r="K525" s="49">
        <v>7.77</v>
      </c>
      <c r="L525" s="49">
        <v>8.67</v>
      </c>
      <c r="M525" s="49">
        <v>9.35</v>
      </c>
      <c r="N525" s="49">
        <v>10.53</v>
      </c>
      <c r="O525" s="49">
        <v>10.48</v>
      </c>
      <c r="P525" s="49">
        <v>12.76</v>
      </c>
      <c r="Q525" s="49">
        <v>15.81</v>
      </c>
      <c r="R525" s="49">
        <v>13.41</v>
      </c>
      <c r="S525" s="49">
        <v>11.19</v>
      </c>
    </row>
    <row r="526" spans="1:19" ht="18">
      <c r="A526" s="49">
        <v>2849</v>
      </c>
      <c r="B526" s="49" t="s">
        <v>737</v>
      </c>
      <c r="C526" s="49">
        <v>0</v>
      </c>
      <c r="D526" s="49">
        <v>0</v>
      </c>
      <c r="E526" s="49">
        <v>0</v>
      </c>
      <c r="F526" s="49">
        <v>33.299999999999997</v>
      </c>
      <c r="G526" s="49">
        <v>6.73</v>
      </c>
      <c r="H526" s="49">
        <v>9.64</v>
      </c>
      <c r="I526" s="49">
        <v>7.3</v>
      </c>
      <c r="J526" s="49">
        <v>8.42</v>
      </c>
      <c r="K526" s="49">
        <v>10.44</v>
      </c>
      <c r="L526" s="49">
        <v>13.23</v>
      </c>
      <c r="M526" s="49">
        <v>11.27</v>
      </c>
      <c r="N526" s="49">
        <v>11.67</v>
      </c>
      <c r="O526" s="49">
        <v>12.14</v>
      </c>
      <c r="P526" s="49">
        <v>15.78</v>
      </c>
      <c r="Q526" s="49">
        <v>12.87</v>
      </c>
      <c r="R526" s="49">
        <v>13.92</v>
      </c>
      <c r="S526" s="49">
        <v>134.55000000000001</v>
      </c>
    </row>
    <row r="527" spans="1:19" ht="18">
      <c r="A527" s="49">
        <v>2850</v>
      </c>
      <c r="B527" s="49" t="s">
        <v>738</v>
      </c>
      <c r="C527" s="49">
        <v>10.54</v>
      </c>
      <c r="D527" s="49">
        <v>7.59</v>
      </c>
      <c r="E527" s="49">
        <v>26.23</v>
      </c>
      <c r="F527" s="49">
        <v>4.4800000000000004</v>
      </c>
      <c r="G527" s="49">
        <v>10.27</v>
      </c>
      <c r="H527" s="49">
        <v>10.210000000000001</v>
      </c>
      <c r="I527" s="49">
        <v>8.59</v>
      </c>
      <c r="J527" s="49">
        <v>6.44</v>
      </c>
      <c r="K527" s="49">
        <v>6.17</v>
      </c>
      <c r="L527" s="49">
        <v>6.95</v>
      </c>
      <c r="M527" s="49">
        <v>8.02</v>
      </c>
      <c r="N527" s="49">
        <v>6.33</v>
      </c>
      <c r="O527" s="49">
        <v>8.3000000000000007</v>
      </c>
      <c r="P527" s="49">
        <v>7.22</v>
      </c>
      <c r="Q527" s="49">
        <v>7.04</v>
      </c>
      <c r="R527" s="49">
        <v>7.61</v>
      </c>
      <c r="S527" s="49">
        <v>8.1</v>
      </c>
    </row>
    <row r="528" spans="1:19" ht="18">
      <c r="A528" s="49">
        <v>2851</v>
      </c>
      <c r="B528" s="49" t="s">
        <v>739</v>
      </c>
      <c r="C528" s="49">
        <v>6.42</v>
      </c>
      <c r="D528" s="49">
        <v>18.68</v>
      </c>
      <c r="E528" s="49">
        <v>10.38</v>
      </c>
      <c r="F528" s="49">
        <v>10.61</v>
      </c>
      <c r="G528" s="49">
        <v>21.55</v>
      </c>
      <c r="H528" s="49">
        <v>13.22</v>
      </c>
      <c r="I528" s="49">
        <v>10.36</v>
      </c>
      <c r="J528" s="49">
        <v>11.93</v>
      </c>
      <c r="K528" s="49">
        <v>11.69</v>
      </c>
      <c r="L528" s="49">
        <v>9.9</v>
      </c>
      <c r="M528" s="49">
        <v>7.03</v>
      </c>
      <c r="N528" s="49">
        <v>10.15</v>
      </c>
      <c r="O528" s="49">
        <v>9.59</v>
      </c>
      <c r="P528" s="49">
        <v>8.94</v>
      </c>
      <c r="Q528" s="49">
        <v>10.09</v>
      </c>
      <c r="R528" s="49">
        <v>20.48</v>
      </c>
      <c r="S528" s="49">
        <v>10.77</v>
      </c>
    </row>
    <row r="529" spans="1:19" ht="18">
      <c r="A529" s="49">
        <v>2852</v>
      </c>
      <c r="B529" s="49" t="s">
        <v>740</v>
      </c>
      <c r="C529" s="49">
        <v>5.72</v>
      </c>
      <c r="D529" s="49">
        <v>0</v>
      </c>
      <c r="E529" s="49">
        <v>0</v>
      </c>
      <c r="F529" s="49">
        <v>7.03</v>
      </c>
      <c r="G529" s="49">
        <v>11.44</v>
      </c>
      <c r="H529" s="49">
        <v>7.42</v>
      </c>
      <c r="I529" s="49">
        <v>8.26</v>
      </c>
      <c r="J529" s="49">
        <v>10.26</v>
      </c>
      <c r="K529" s="49">
        <v>17.579999999999998</v>
      </c>
      <c r="L529" s="49">
        <v>9.17</v>
      </c>
      <c r="M529" s="49">
        <v>8.01</v>
      </c>
      <c r="N529" s="49">
        <v>7.21</v>
      </c>
      <c r="O529" s="49">
        <v>11.83</v>
      </c>
      <c r="P529" s="49">
        <v>12.31</v>
      </c>
      <c r="Q529" s="49">
        <v>10.17</v>
      </c>
      <c r="R529" s="49">
        <v>7.71</v>
      </c>
      <c r="S529" s="49">
        <v>10.54</v>
      </c>
    </row>
    <row r="530" spans="1:19" ht="18">
      <c r="A530" s="49">
        <v>2855</v>
      </c>
      <c r="B530" s="49" t="s">
        <v>741</v>
      </c>
      <c r="C530" s="49">
        <v>6.23</v>
      </c>
      <c r="D530" s="49">
        <v>0</v>
      </c>
      <c r="E530" s="49">
        <v>21.78</v>
      </c>
      <c r="F530" s="49">
        <v>14.32</v>
      </c>
      <c r="G530" s="49">
        <v>19.59</v>
      </c>
      <c r="H530" s="49">
        <v>17.79</v>
      </c>
      <c r="I530" s="49">
        <v>21.07</v>
      </c>
      <c r="J530" s="49">
        <v>13.54</v>
      </c>
      <c r="K530" s="49">
        <v>16.48</v>
      </c>
      <c r="L530" s="49">
        <v>11.8</v>
      </c>
      <c r="M530" s="49">
        <v>12.81</v>
      </c>
      <c r="N530" s="49">
        <v>7.72</v>
      </c>
      <c r="O530" s="49">
        <v>11.94</v>
      </c>
      <c r="P530" s="49">
        <v>9.9499999999999993</v>
      </c>
      <c r="Q530" s="49">
        <v>6.8</v>
      </c>
      <c r="R530" s="49">
        <v>19.809999999999999</v>
      </c>
      <c r="S530" s="49">
        <v>10.74</v>
      </c>
    </row>
    <row r="531" spans="1:19" ht="18">
      <c r="A531" s="49">
        <v>2867</v>
      </c>
      <c r="B531" s="49" t="s">
        <v>742</v>
      </c>
      <c r="C531" s="49">
        <v>0</v>
      </c>
      <c r="D531" s="49">
        <v>0</v>
      </c>
      <c r="E531" s="49">
        <v>0</v>
      </c>
      <c r="F531" s="49">
        <v>0</v>
      </c>
      <c r="G531" s="49">
        <v>0</v>
      </c>
      <c r="H531" s="49">
        <v>33.869999999999997</v>
      </c>
      <c r="I531" s="49">
        <v>16.77</v>
      </c>
      <c r="J531" s="49">
        <v>9.8000000000000007</v>
      </c>
      <c r="K531" s="49">
        <v>6.45</v>
      </c>
      <c r="L531" s="49">
        <v>9.39</v>
      </c>
      <c r="M531" s="49">
        <v>10.06</v>
      </c>
      <c r="N531" s="49">
        <v>0</v>
      </c>
      <c r="O531" s="49">
        <v>9.83</v>
      </c>
      <c r="P531" s="49">
        <v>8.98</v>
      </c>
      <c r="Q531" s="49">
        <v>7.97</v>
      </c>
      <c r="R531" s="49">
        <v>0</v>
      </c>
      <c r="S531" s="49">
        <v>0</v>
      </c>
    </row>
    <row r="532" spans="1:19" ht="18">
      <c r="A532" s="49">
        <v>2880</v>
      </c>
      <c r="B532" s="49" t="s">
        <v>743</v>
      </c>
      <c r="C532" s="49">
        <v>14.59</v>
      </c>
      <c r="D532" s="49">
        <v>10</v>
      </c>
      <c r="E532" s="49">
        <v>39.51</v>
      </c>
      <c r="F532" s="49">
        <v>24.06</v>
      </c>
      <c r="G532" s="49">
        <v>18.170000000000002</v>
      </c>
      <c r="H532" s="49">
        <v>15.27</v>
      </c>
      <c r="I532" s="49">
        <v>17.399999999999999</v>
      </c>
      <c r="J532" s="49">
        <v>13.55</v>
      </c>
      <c r="K532" s="49">
        <v>10.82</v>
      </c>
      <c r="L532" s="49">
        <v>12.22</v>
      </c>
      <c r="M532" s="49">
        <v>13.84</v>
      </c>
      <c r="N532" s="49">
        <v>14.34</v>
      </c>
      <c r="O532" s="49">
        <v>16.920000000000002</v>
      </c>
      <c r="P532" s="49">
        <v>29.92</v>
      </c>
      <c r="Q532" s="49">
        <v>15.59</v>
      </c>
      <c r="R532" s="49">
        <v>18.100000000000001</v>
      </c>
      <c r="S532" s="49">
        <v>15</v>
      </c>
    </row>
    <row r="533" spans="1:19" ht="18">
      <c r="A533" s="49">
        <v>2881</v>
      </c>
      <c r="B533" s="49" t="s">
        <v>744</v>
      </c>
      <c r="C533" s="49">
        <v>12</v>
      </c>
      <c r="D533" s="49">
        <v>17.97</v>
      </c>
      <c r="E533" s="49">
        <v>20.79</v>
      </c>
      <c r="F533" s="49">
        <v>13.42</v>
      </c>
      <c r="G533" s="49">
        <v>9.08</v>
      </c>
      <c r="H533" s="49">
        <v>15.26</v>
      </c>
      <c r="I533" s="49">
        <v>13.5</v>
      </c>
      <c r="J533" s="49">
        <v>8.73</v>
      </c>
      <c r="K533" s="49">
        <v>7.11</v>
      </c>
      <c r="L533" s="49">
        <v>12.06</v>
      </c>
      <c r="M533" s="49">
        <v>10.5</v>
      </c>
      <c r="N533" s="49">
        <v>9</v>
      </c>
      <c r="O533" s="49">
        <v>10.45</v>
      </c>
      <c r="P533" s="49">
        <v>7.36</v>
      </c>
      <c r="Q533" s="49">
        <v>6.29</v>
      </c>
      <c r="R533" s="49">
        <v>8.0299999999999994</v>
      </c>
      <c r="S533" s="49">
        <v>30.57</v>
      </c>
    </row>
    <row r="534" spans="1:19" ht="18">
      <c r="A534" s="49">
        <v>2882</v>
      </c>
      <c r="B534" s="49" t="s">
        <v>745</v>
      </c>
      <c r="C534" s="49">
        <v>20.420000000000002</v>
      </c>
      <c r="D534" s="49">
        <v>260.70999999999998</v>
      </c>
      <c r="E534" s="49">
        <v>97.87</v>
      </c>
      <c r="F534" s="49">
        <v>73.86</v>
      </c>
      <c r="G534" s="49">
        <v>28.19</v>
      </c>
      <c r="H534" s="49">
        <v>27.63</v>
      </c>
      <c r="I534" s="49">
        <v>17.29</v>
      </c>
      <c r="J534" s="49">
        <v>12.62</v>
      </c>
      <c r="K534" s="49">
        <v>9.7899999999999991</v>
      </c>
      <c r="L534" s="49">
        <v>14.47</v>
      </c>
      <c r="M534" s="49">
        <v>12.62</v>
      </c>
      <c r="N534" s="49">
        <v>10.56</v>
      </c>
      <c r="O534" s="49">
        <v>12.44</v>
      </c>
      <c r="P534" s="49">
        <v>8.2799999999999994</v>
      </c>
      <c r="Q534" s="49">
        <v>6.92</v>
      </c>
      <c r="R534" s="49">
        <v>8.18</v>
      </c>
      <c r="S534" s="49">
        <v>17.329999999999998</v>
      </c>
    </row>
    <row r="535" spans="1:19" ht="18">
      <c r="A535" s="49">
        <v>2883</v>
      </c>
      <c r="B535" s="49" t="s">
        <v>746</v>
      </c>
      <c r="C535" s="49">
        <v>11.74</v>
      </c>
      <c r="D535" s="49">
        <v>0</v>
      </c>
      <c r="E535" s="49">
        <v>0</v>
      </c>
      <c r="F535" s="49">
        <v>19.18</v>
      </c>
      <c r="G535" s="49">
        <v>19.93</v>
      </c>
      <c r="H535" s="49">
        <v>28.15</v>
      </c>
      <c r="I535" s="49">
        <v>19.149999999999999</v>
      </c>
      <c r="J535" s="49">
        <v>15.07</v>
      </c>
      <c r="K535" s="49">
        <v>13.72</v>
      </c>
      <c r="L535" s="49">
        <v>17.149999999999999</v>
      </c>
      <c r="M535" s="49">
        <v>14.1</v>
      </c>
      <c r="N535" s="49">
        <v>12.62</v>
      </c>
      <c r="O535" s="49">
        <v>14.1</v>
      </c>
      <c r="P535" s="49">
        <v>12.4</v>
      </c>
      <c r="Q535" s="49">
        <v>7.61</v>
      </c>
      <c r="R535" s="49">
        <v>9.4</v>
      </c>
      <c r="S535" s="49">
        <v>16.96</v>
      </c>
    </row>
    <row r="536" spans="1:19" ht="18">
      <c r="A536" s="49">
        <v>2884</v>
      </c>
      <c r="B536" s="49" t="s">
        <v>747</v>
      </c>
      <c r="C536" s="49">
        <v>16.2</v>
      </c>
      <c r="D536" s="49">
        <v>12.84</v>
      </c>
      <c r="E536" s="49">
        <v>83.44</v>
      </c>
      <c r="F536" s="49">
        <v>21.56</v>
      </c>
      <c r="G536" s="49">
        <v>11.65</v>
      </c>
      <c r="H536" s="49">
        <v>16.579999999999998</v>
      </c>
      <c r="I536" s="49">
        <v>13.75</v>
      </c>
      <c r="J536" s="49">
        <v>13.55</v>
      </c>
      <c r="K536" s="49">
        <v>12.2</v>
      </c>
      <c r="L536" s="49">
        <v>12.23</v>
      </c>
      <c r="M536" s="49">
        <v>13.8</v>
      </c>
      <c r="N536" s="49">
        <v>13.14</v>
      </c>
      <c r="O536" s="49">
        <v>16.61</v>
      </c>
      <c r="P536" s="49">
        <v>17.62</v>
      </c>
      <c r="Q536" s="49">
        <v>18.829999999999998</v>
      </c>
      <c r="R536" s="49">
        <v>21.1</v>
      </c>
      <c r="S536" s="49">
        <v>20.16</v>
      </c>
    </row>
    <row r="537" spans="1:19" ht="18">
      <c r="A537" s="49">
        <v>2885</v>
      </c>
      <c r="B537" s="49" t="s">
        <v>748</v>
      </c>
      <c r="C537" s="49">
        <v>45</v>
      </c>
      <c r="D537" s="49">
        <v>30</v>
      </c>
      <c r="E537" s="49">
        <v>57.32</v>
      </c>
      <c r="F537" s="49">
        <v>27.59</v>
      </c>
      <c r="G537" s="49">
        <v>9.6</v>
      </c>
      <c r="H537" s="49">
        <v>28.75</v>
      </c>
      <c r="I537" s="49">
        <v>25.07</v>
      </c>
      <c r="J537" s="49">
        <v>9.75</v>
      </c>
      <c r="K537" s="49">
        <v>10.039999999999999</v>
      </c>
      <c r="L537" s="49">
        <v>13.19</v>
      </c>
      <c r="M537" s="49">
        <v>10.45</v>
      </c>
      <c r="N537" s="49">
        <v>8.93</v>
      </c>
      <c r="O537" s="49">
        <v>12.32</v>
      </c>
      <c r="P537" s="49">
        <v>10.93</v>
      </c>
      <c r="Q537" s="49">
        <v>9.34</v>
      </c>
      <c r="R537" s="49">
        <v>10.38</v>
      </c>
      <c r="S537" s="49">
        <v>13.8</v>
      </c>
    </row>
    <row r="538" spans="1:19" ht="18">
      <c r="A538" s="49">
        <v>2886</v>
      </c>
      <c r="B538" s="49" t="s">
        <v>749</v>
      </c>
      <c r="C538" s="49">
        <v>14.35</v>
      </c>
      <c r="D538" s="49">
        <v>104.09</v>
      </c>
      <c r="E538" s="49">
        <v>14.68</v>
      </c>
      <c r="F538" s="49">
        <v>16.75</v>
      </c>
      <c r="G538" s="49">
        <v>12.95</v>
      </c>
      <c r="H538" s="49">
        <v>12.22</v>
      </c>
      <c r="I538" s="49">
        <v>13.07</v>
      </c>
      <c r="J538" s="49">
        <v>10.82</v>
      </c>
      <c r="K538" s="49">
        <v>9.4</v>
      </c>
      <c r="L538" s="49">
        <v>12.37</v>
      </c>
      <c r="M538" s="49">
        <v>12.15</v>
      </c>
      <c r="N538" s="49">
        <v>13.31</v>
      </c>
      <c r="O538" s="49">
        <v>14.93</v>
      </c>
      <c r="P538" s="49">
        <v>16.11</v>
      </c>
      <c r="Q538" s="49">
        <v>18.809999999999999</v>
      </c>
      <c r="R538" s="49">
        <v>21.52</v>
      </c>
      <c r="S538" s="49">
        <v>17.350000000000001</v>
      </c>
    </row>
    <row r="539" spans="1:19" ht="18">
      <c r="A539" s="49">
        <v>2887</v>
      </c>
      <c r="B539" s="49" t="s">
        <v>750</v>
      </c>
      <c r="C539" s="49">
        <v>46.38</v>
      </c>
      <c r="D539" s="49">
        <v>16.059999999999999</v>
      </c>
      <c r="E539" s="49">
        <v>0</v>
      </c>
      <c r="F539" s="49">
        <v>5.58</v>
      </c>
      <c r="G539" s="49">
        <v>4.04</v>
      </c>
      <c r="H539" s="49">
        <v>7.5</v>
      </c>
      <c r="I539" s="49">
        <v>9.2100000000000009</v>
      </c>
      <c r="J539" s="49">
        <v>8.2100000000000009</v>
      </c>
      <c r="K539" s="49">
        <v>380</v>
      </c>
      <c r="L539" s="49">
        <v>10.17</v>
      </c>
      <c r="M539" s="49">
        <v>12.48</v>
      </c>
      <c r="N539" s="49">
        <v>10.44</v>
      </c>
      <c r="O539" s="49">
        <v>12.18</v>
      </c>
      <c r="P539" s="49">
        <v>10.86</v>
      </c>
      <c r="Q539" s="49">
        <v>11.28</v>
      </c>
      <c r="R539" s="49">
        <v>18.190000000000001</v>
      </c>
      <c r="S539" s="49">
        <v>13.12</v>
      </c>
    </row>
    <row r="540" spans="1:19" ht="18">
      <c r="A540" s="49">
        <v>2888</v>
      </c>
      <c r="B540" s="49" t="s">
        <v>751</v>
      </c>
      <c r="C540" s="49">
        <v>23.72</v>
      </c>
      <c r="D540" s="49">
        <v>0</v>
      </c>
      <c r="E540" s="49">
        <v>0</v>
      </c>
      <c r="F540" s="49">
        <v>28</v>
      </c>
      <c r="G540" s="49">
        <v>9.43</v>
      </c>
      <c r="H540" s="49">
        <v>7.12</v>
      </c>
      <c r="I540" s="49">
        <v>9.1999999999999993</v>
      </c>
      <c r="J540" s="49">
        <v>14.77</v>
      </c>
      <c r="K540" s="49">
        <v>17.88</v>
      </c>
      <c r="L540" s="49">
        <v>24.69</v>
      </c>
      <c r="M540" s="49">
        <v>7.72</v>
      </c>
      <c r="N540" s="49">
        <v>5.18</v>
      </c>
      <c r="O540" s="49">
        <v>13.1</v>
      </c>
      <c r="P540" s="49">
        <v>7.73</v>
      </c>
      <c r="Q540" s="49">
        <v>8.6300000000000008</v>
      </c>
      <c r="R540" s="49">
        <v>12.18</v>
      </c>
      <c r="S540" s="49">
        <v>0</v>
      </c>
    </row>
    <row r="541" spans="1:19" ht="18">
      <c r="A541" s="49">
        <v>2889</v>
      </c>
      <c r="B541" s="49" t="s">
        <v>752</v>
      </c>
      <c r="C541" s="49">
        <v>11.8</v>
      </c>
      <c r="D541" s="49">
        <v>15</v>
      </c>
      <c r="E541" s="49">
        <v>0</v>
      </c>
      <c r="F541" s="49">
        <v>14.33</v>
      </c>
      <c r="G541" s="49">
        <v>8.35</v>
      </c>
      <c r="H541" s="49">
        <v>36.96</v>
      </c>
      <c r="I541" s="49">
        <v>25.62</v>
      </c>
      <c r="J541" s="49">
        <v>11.45</v>
      </c>
      <c r="K541" s="49">
        <v>13.98</v>
      </c>
      <c r="L541" s="49">
        <v>10.16</v>
      </c>
      <c r="M541" s="49">
        <v>13.18</v>
      </c>
      <c r="N541" s="49">
        <v>12.06</v>
      </c>
      <c r="O541" s="49">
        <v>12.36</v>
      </c>
      <c r="P541" s="49">
        <v>12.48</v>
      </c>
      <c r="Q541" s="49">
        <v>12.07</v>
      </c>
      <c r="R541" s="49">
        <v>17.66</v>
      </c>
      <c r="S541" s="49">
        <v>25</v>
      </c>
    </row>
    <row r="542" spans="1:19" ht="18">
      <c r="A542" s="49">
        <v>2890</v>
      </c>
      <c r="B542" s="49" t="s">
        <v>753</v>
      </c>
      <c r="C542" s="49">
        <v>27.61</v>
      </c>
      <c r="D542" s="49">
        <v>0</v>
      </c>
      <c r="E542" s="49">
        <v>0</v>
      </c>
      <c r="F542" s="49">
        <v>24.02</v>
      </c>
      <c r="G542" s="49">
        <v>12.81</v>
      </c>
      <c r="H542" s="49">
        <v>14.65</v>
      </c>
      <c r="I542" s="49">
        <v>11.69</v>
      </c>
      <c r="J542" s="49">
        <v>8.39</v>
      </c>
      <c r="K542" s="49">
        <v>8.92</v>
      </c>
      <c r="L542" s="49">
        <v>10.94</v>
      </c>
      <c r="M542" s="49">
        <v>13.07</v>
      </c>
      <c r="N542" s="49">
        <v>11.44</v>
      </c>
      <c r="O542" s="49">
        <v>13.27</v>
      </c>
      <c r="P542" s="49">
        <v>10.6</v>
      </c>
      <c r="Q542" s="49">
        <v>11.54</v>
      </c>
      <c r="R542" s="49">
        <v>11.63</v>
      </c>
      <c r="S542" s="49">
        <v>13.05</v>
      </c>
    </row>
    <row r="543" spans="1:19" ht="18">
      <c r="A543" s="49">
        <v>2891</v>
      </c>
      <c r="B543" s="49" t="s">
        <v>754</v>
      </c>
      <c r="C543" s="49">
        <v>38.42</v>
      </c>
      <c r="D543" s="49">
        <v>9.27</v>
      </c>
      <c r="E543" s="49">
        <v>76.73</v>
      </c>
      <c r="F543" s="49">
        <v>16.98</v>
      </c>
      <c r="G543" s="49">
        <v>11.45</v>
      </c>
      <c r="H543" s="49">
        <v>11.06</v>
      </c>
      <c r="I543" s="49">
        <v>12.48</v>
      </c>
      <c r="J543" s="49">
        <v>7.73</v>
      </c>
      <c r="K543" s="49">
        <v>10.3</v>
      </c>
      <c r="L543" s="49">
        <v>9.44</v>
      </c>
      <c r="M543" s="49">
        <v>11.2</v>
      </c>
      <c r="N543" s="49">
        <v>10.69</v>
      </c>
      <c r="O543" s="49">
        <v>10.42</v>
      </c>
      <c r="P543" s="49">
        <v>9.66</v>
      </c>
      <c r="Q543" s="49">
        <v>9.76</v>
      </c>
      <c r="R543" s="49">
        <v>11.05</v>
      </c>
      <c r="S543" s="49">
        <v>11.96</v>
      </c>
    </row>
    <row r="544" spans="1:19" ht="18">
      <c r="A544" s="49">
        <v>2892</v>
      </c>
      <c r="B544" s="49" t="s">
        <v>755</v>
      </c>
      <c r="C544" s="49">
        <v>10.94</v>
      </c>
      <c r="D544" s="49">
        <v>9.86</v>
      </c>
      <c r="E544" s="49">
        <v>36.76</v>
      </c>
      <c r="F544" s="49">
        <v>53.7</v>
      </c>
      <c r="G544" s="49">
        <v>15.57</v>
      </c>
      <c r="H544" s="49">
        <v>14.75</v>
      </c>
      <c r="I544" s="49">
        <v>15.46</v>
      </c>
      <c r="J544" s="49">
        <v>12.95</v>
      </c>
      <c r="K544" s="49">
        <v>12.14</v>
      </c>
      <c r="L544" s="49">
        <v>11.86</v>
      </c>
      <c r="M544" s="49">
        <v>12.69</v>
      </c>
      <c r="N544" s="49">
        <v>16.53</v>
      </c>
      <c r="O544" s="49">
        <v>16.010000000000002</v>
      </c>
      <c r="P544" s="49">
        <v>15.81</v>
      </c>
      <c r="Q544" s="49">
        <v>15.91</v>
      </c>
      <c r="R544" s="49">
        <v>17.79</v>
      </c>
      <c r="S544" s="49">
        <v>16.12</v>
      </c>
    </row>
    <row r="545" spans="1:19" ht="18">
      <c r="A545" s="49">
        <v>2897</v>
      </c>
      <c r="B545" s="49" t="s">
        <v>756</v>
      </c>
      <c r="C545" s="49">
        <v>0</v>
      </c>
      <c r="D545" s="49">
        <v>0</v>
      </c>
      <c r="E545" s="49">
        <v>0</v>
      </c>
      <c r="F545" s="49">
        <v>0</v>
      </c>
      <c r="G545" s="49">
        <v>0</v>
      </c>
      <c r="H545" s="49">
        <v>0</v>
      </c>
      <c r="I545" s="49">
        <v>0</v>
      </c>
      <c r="J545" s="49">
        <v>0</v>
      </c>
      <c r="K545" s="49">
        <v>0</v>
      </c>
      <c r="L545" s="49">
        <v>0</v>
      </c>
      <c r="M545" s="49">
        <v>17.13</v>
      </c>
      <c r="N545" s="49">
        <v>25.81</v>
      </c>
      <c r="O545" s="49">
        <v>16.62</v>
      </c>
      <c r="P545" s="49">
        <v>19.8</v>
      </c>
      <c r="Q545" s="49">
        <v>14.29</v>
      </c>
      <c r="R545" s="49">
        <v>12.16</v>
      </c>
      <c r="S545" s="49">
        <v>5.51</v>
      </c>
    </row>
    <row r="546" spans="1:19" ht="18">
      <c r="A546" s="49">
        <v>2901</v>
      </c>
      <c r="B546" s="49" t="s">
        <v>757</v>
      </c>
      <c r="C546" s="49">
        <v>136.25</v>
      </c>
      <c r="D546" s="49">
        <v>57.33</v>
      </c>
      <c r="E546" s="49">
        <v>86.03</v>
      </c>
      <c r="F546" s="49">
        <v>95.81</v>
      </c>
      <c r="G546" s="49">
        <v>91.5</v>
      </c>
      <c r="H546" s="49">
        <v>67.58</v>
      </c>
      <c r="I546" s="49">
        <v>78.16</v>
      </c>
      <c r="J546" s="49">
        <v>64.599999999999994</v>
      </c>
      <c r="K546" s="49">
        <v>49.11</v>
      </c>
      <c r="L546" s="49">
        <v>56</v>
      </c>
      <c r="M546" s="49">
        <v>62.86</v>
      </c>
      <c r="N546" s="49">
        <v>60.85</v>
      </c>
      <c r="O546" s="49">
        <v>60</v>
      </c>
      <c r="P546" s="49">
        <v>79.680000000000007</v>
      </c>
      <c r="Q546" s="49">
        <v>661.25</v>
      </c>
      <c r="R546" s="49">
        <v>87.59</v>
      </c>
      <c r="S546" s="49">
        <v>78.819999999999993</v>
      </c>
    </row>
    <row r="547" spans="1:19" ht="18">
      <c r="A547" s="49">
        <v>2903</v>
      </c>
      <c r="B547" s="49" t="s">
        <v>758</v>
      </c>
      <c r="C547" s="49">
        <v>26.17</v>
      </c>
      <c r="D547" s="49">
        <v>71.540000000000006</v>
      </c>
      <c r="E547" s="49">
        <v>37.840000000000003</v>
      </c>
      <c r="F547" s="49">
        <v>27.39</v>
      </c>
      <c r="G547" s="49">
        <v>18.21</v>
      </c>
      <c r="H547" s="49">
        <v>25.34</v>
      </c>
      <c r="I547" s="49">
        <v>19.03</v>
      </c>
      <c r="J547" s="49">
        <v>23.11</v>
      </c>
      <c r="K547" s="49">
        <v>17.059999999999999</v>
      </c>
      <c r="L547" s="49">
        <v>17.02</v>
      </c>
      <c r="M547" s="49">
        <v>16.670000000000002</v>
      </c>
      <c r="N547" s="49">
        <v>13.89</v>
      </c>
      <c r="O547" s="49">
        <v>21.89</v>
      </c>
      <c r="P547" s="49">
        <v>18.32</v>
      </c>
      <c r="Q547" s="49">
        <v>18.649999999999999</v>
      </c>
      <c r="R547" s="49">
        <v>18.7</v>
      </c>
      <c r="S547" s="49">
        <v>12.19</v>
      </c>
    </row>
    <row r="548" spans="1:19" ht="18">
      <c r="A548" s="49">
        <v>2904</v>
      </c>
      <c r="B548" s="49" t="s">
        <v>759</v>
      </c>
      <c r="C548" s="49">
        <v>11.19</v>
      </c>
      <c r="D548" s="49">
        <v>7.51</v>
      </c>
      <c r="E548" s="49">
        <v>9.36</v>
      </c>
      <c r="F548" s="49">
        <v>11.07</v>
      </c>
      <c r="G548" s="49">
        <v>4.2699999999999996</v>
      </c>
      <c r="H548" s="49">
        <v>8.56</v>
      </c>
      <c r="I548" s="49">
        <v>11.1</v>
      </c>
      <c r="J548" s="49">
        <v>12.16</v>
      </c>
      <c r="K548" s="49">
        <v>11.39</v>
      </c>
      <c r="L548" s="49">
        <v>15.22</v>
      </c>
      <c r="M548" s="49">
        <v>14.92</v>
      </c>
      <c r="N548" s="49">
        <v>11.77</v>
      </c>
      <c r="O548" s="49">
        <v>12.55</v>
      </c>
      <c r="P548" s="49">
        <v>11.84</v>
      </c>
      <c r="Q548" s="49">
        <v>17.16</v>
      </c>
      <c r="R548" s="49">
        <v>15.8</v>
      </c>
      <c r="S548" s="49">
        <v>17.39</v>
      </c>
    </row>
    <row r="549" spans="1:19" ht="18">
      <c r="A549" s="49">
        <v>2905</v>
      </c>
      <c r="B549" s="49" t="s">
        <v>760</v>
      </c>
      <c r="C549" s="49">
        <v>6.14</v>
      </c>
      <c r="D549" s="49">
        <v>0</v>
      </c>
      <c r="E549" s="49">
        <v>19.22</v>
      </c>
      <c r="F549" s="49">
        <v>17.829999999999998</v>
      </c>
      <c r="G549" s="49">
        <v>10.18</v>
      </c>
      <c r="H549" s="49">
        <v>12.31</v>
      </c>
      <c r="I549" s="49">
        <v>0</v>
      </c>
      <c r="J549" s="49">
        <v>7.78</v>
      </c>
      <c r="K549" s="49">
        <v>6.48</v>
      </c>
      <c r="L549" s="49">
        <v>9.36</v>
      </c>
      <c r="M549" s="49">
        <v>8.86</v>
      </c>
      <c r="N549" s="49">
        <v>0</v>
      </c>
      <c r="O549" s="49">
        <v>6.94</v>
      </c>
      <c r="P549" s="49">
        <v>11.63</v>
      </c>
      <c r="Q549" s="49">
        <v>9.2100000000000009</v>
      </c>
      <c r="R549" s="49">
        <v>0</v>
      </c>
      <c r="S549" s="49">
        <v>0</v>
      </c>
    </row>
    <row r="550" spans="1:19" ht="18">
      <c r="A550" s="49">
        <v>2906</v>
      </c>
      <c r="B550" s="49" t="s">
        <v>761</v>
      </c>
      <c r="C550" s="49">
        <v>13.72</v>
      </c>
      <c r="D550" s="49">
        <v>0</v>
      </c>
      <c r="E550" s="49">
        <v>26.83</v>
      </c>
      <c r="F550" s="49">
        <v>28.85</v>
      </c>
      <c r="G550" s="49">
        <v>7.96</v>
      </c>
      <c r="H550" s="49">
        <v>24.78</v>
      </c>
      <c r="I550" s="49">
        <v>47.92</v>
      </c>
      <c r="J550" s="49">
        <v>15.32</v>
      </c>
      <c r="K550" s="49">
        <v>12.6</v>
      </c>
      <c r="L550" s="49">
        <v>0</v>
      </c>
      <c r="M550" s="49">
        <v>20.74</v>
      </c>
      <c r="N550" s="49">
        <v>59.13</v>
      </c>
      <c r="O550" s="49">
        <v>39.659999999999997</v>
      </c>
      <c r="P550" s="49">
        <v>775</v>
      </c>
      <c r="Q550" s="49">
        <v>34</v>
      </c>
      <c r="R550" s="49">
        <v>24.59</v>
      </c>
      <c r="S550" s="49">
        <v>52.71</v>
      </c>
    </row>
    <row r="551" spans="1:19" ht="18">
      <c r="A551" s="49">
        <v>2908</v>
      </c>
      <c r="B551" s="49" t="s">
        <v>762</v>
      </c>
      <c r="C551" s="49">
        <v>18.329999999999998</v>
      </c>
      <c r="D551" s="49">
        <v>14.11</v>
      </c>
      <c r="E551" s="49">
        <v>74.58</v>
      </c>
      <c r="F551" s="49">
        <v>35.94</v>
      </c>
      <c r="G551" s="49">
        <v>17.05</v>
      </c>
      <c r="H551" s="49">
        <v>17.13</v>
      </c>
      <c r="I551" s="49">
        <v>17.899999999999999</v>
      </c>
      <c r="J551" s="49">
        <v>15.18</v>
      </c>
      <c r="K551" s="49">
        <v>14.12</v>
      </c>
      <c r="L551" s="49">
        <v>15.23</v>
      </c>
      <c r="M551" s="49">
        <v>16.59</v>
      </c>
      <c r="N551" s="49">
        <v>13.8</v>
      </c>
      <c r="O551" s="49">
        <v>0</v>
      </c>
      <c r="P551" s="49">
        <v>17.12</v>
      </c>
      <c r="Q551" s="49">
        <v>13.22</v>
      </c>
      <c r="R551" s="49">
        <v>15.6</v>
      </c>
      <c r="S551" s="49">
        <v>50</v>
      </c>
    </row>
    <row r="552" spans="1:19" ht="18">
      <c r="A552" s="49">
        <v>2910</v>
      </c>
      <c r="B552" s="49" t="s">
        <v>763</v>
      </c>
      <c r="C552" s="49">
        <v>24.57</v>
      </c>
      <c r="D552" s="49">
        <v>26.69</v>
      </c>
      <c r="E552" s="49">
        <v>61.03</v>
      </c>
      <c r="F552" s="49">
        <v>35.799999999999997</v>
      </c>
      <c r="G552" s="49">
        <v>47.58</v>
      </c>
      <c r="H552" s="49">
        <v>72.78</v>
      </c>
      <c r="I552" s="49">
        <v>56.62</v>
      </c>
      <c r="J552" s="49">
        <v>41.72</v>
      </c>
      <c r="K552" s="49">
        <v>57.61</v>
      </c>
      <c r="L552" s="49">
        <v>105.41</v>
      </c>
      <c r="M552" s="49">
        <v>79.55</v>
      </c>
      <c r="N552" s="49">
        <v>108.33</v>
      </c>
      <c r="O552" s="49">
        <v>75.959999999999994</v>
      </c>
      <c r="P552" s="49">
        <v>92.81</v>
      </c>
      <c r="Q552" s="49">
        <v>51.28</v>
      </c>
      <c r="R552" s="49">
        <v>45.83</v>
      </c>
      <c r="S552" s="49">
        <v>27.82</v>
      </c>
    </row>
    <row r="553" spans="1:19" ht="18">
      <c r="A553" s="49">
        <v>2911</v>
      </c>
      <c r="B553" s="49" t="s">
        <v>764</v>
      </c>
      <c r="C553" s="49">
        <v>27.95</v>
      </c>
      <c r="D553" s="49">
        <v>13.26</v>
      </c>
      <c r="E553" s="49">
        <v>26.37</v>
      </c>
      <c r="F553" s="49">
        <v>27.24</v>
      </c>
      <c r="G553" s="49">
        <v>19.62</v>
      </c>
      <c r="H553" s="49">
        <v>23.86</v>
      </c>
      <c r="I553" s="49">
        <v>0</v>
      </c>
      <c r="J553" s="49">
        <v>0</v>
      </c>
      <c r="K553" s="49">
        <v>0</v>
      </c>
      <c r="L553" s="49">
        <v>0</v>
      </c>
      <c r="M553" s="49">
        <v>0</v>
      </c>
      <c r="N553" s="49">
        <v>3.56</v>
      </c>
      <c r="O553" s="49">
        <v>0</v>
      </c>
      <c r="P553" s="49">
        <v>0</v>
      </c>
      <c r="Q553" s="49">
        <v>0</v>
      </c>
      <c r="R553" s="49">
        <v>0</v>
      </c>
      <c r="S553" s="49">
        <v>0</v>
      </c>
    </row>
    <row r="554" spans="1:19" ht="18">
      <c r="A554" s="49">
        <v>2912</v>
      </c>
      <c r="B554" s="49" t="s">
        <v>765</v>
      </c>
      <c r="C554" s="49">
        <v>17.79</v>
      </c>
      <c r="D554" s="49">
        <v>21.19</v>
      </c>
      <c r="E554" s="49">
        <v>20.29</v>
      </c>
      <c r="F554" s="49">
        <v>25.05</v>
      </c>
      <c r="G554" s="49">
        <v>27.41</v>
      </c>
      <c r="H554" s="49">
        <v>24.88</v>
      </c>
      <c r="I554" s="49">
        <v>27.68</v>
      </c>
      <c r="J554" s="49">
        <v>27.88</v>
      </c>
      <c r="K554" s="49">
        <v>26.15</v>
      </c>
      <c r="L554" s="49">
        <v>25.67</v>
      </c>
      <c r="M554" s="49">
        <v>27.84</v>
      </c>
      <c r="N554" s="49">
        <v>10.65</v>
      </c>
      <c r="O554" s="49">
        <v>30.01</v>
      </c>
      <c r="P554" s="49">
        <v>27.06</v>
      </c>
      <c r="Q554" s="49">
        <v>32.25</v>
      </c>
      <c r="R554" s="49">
        <v>29.34</v>
      </c>
      <c r="S554" s="49">
        <v>27</v>
      </c>
    </row>
    <row r="555" spans="1:19" ht="18">
      <c r="A555" s="49">
        <v>2913</v>
      </c>
      <c r="B555" s="49" t="s">
        <v>766</v>
      </c>
      <c r="C555" s="49">
        <v>0</v>
      </c>
      <c r="D555" s="49">
        <v>86.43</v>
      </c>
      <c r="E555" s="49">
        <v>2035</v>
      </c>
      <c r="F555" s="49">
        <v>71</v>
      </c>
      <c r="G555" s="49">
        <v>31.67</v>
      </c>
      <c r="H555" s="49">
        <v>24.69</v>
      </c>
      <c r="I555" s="49">
        <v>13.3</v>
      </c>
      <c r="J555" s="49">
        <v>15</v>
      </c>
      <c r="K555" s="49">
        <v>12.39</v>
      </c>
      <c r="L555" s="49">
        <v>21.54</v>
      </c>
      <c r="M555" s="49">
        <v>20.88</v>
      </c>
      <c r="N555" s="49">
        <v>0</v>
      </c>
      <c r="O555" s="49">
        <v>0</v>
      </c>
      <c r="P555" s="49">
        <v>0</v>
      </c>
      <c r="Q555" s="49">
        <v>1015</v>
      </c>
      <c r="R555" s="49">
        <v>0</v>
      </c>
      <c r="S555" s="49">
        <v>0</v>
      </c>
    </row>
    <row r="556" spans="1:19" ht="18">
      <c r="A556" s="49">
        <v>2915</v>
      </c>
      <c r="B556" s="49" t="s">
        <v>767</v>
      </c>
      <c r="C556" s="49">
        <v>14.05</v>
      </c>
      <c r="D556" s="49">
        <v>93.75</v>
      </c>
      <c r="E556" s="49">
        <v>78.77</v>
      </c>
      <c r="F556" s="49">
        <v>79.72</v>
      </c>
      <c r="G556" s="49">
        <v>33.450000000000003</v>
      </c>
      <c r="H556" s="49">
        <v>18.18</v>
      </c>
      <c r="I556" s="49">
        <v>1.36</v>
      </c>
      <c r="J556" s="49">
        <v>1.39</v>
      </c>
      <c r="K556" s="49">
        <v>5.73</v>
      </c>
      <c r="L556" s="49">
        <v>7.16</v>
      </c>
      <c r="M556" s="49">
        <v>6.61</v>
      </c>
      <c r="N556" s="49">
        <v>2.1800000000000002</v>
      </c>
      <c r="O556" s="49">
        <v>3.82</v>
      </c>
      <c r="P556" s="49">
        <v>5.71</v>
      </c>
      <c r="Q556" s="49">
        <v>3.69</v>
      </c>
      <c r="R556" s="49">
        <v>3.65</v>
      </c>
      <c r="S556" s="49">
        <v>11.84</v>
      </c>
    </row>
    <row r="557" spans="1:19" ht="18">
      <c r="A557" s="49">
        <v>2916</v>
      </c>
      <c r="B557" s="49" t="s">
        <v>1297</v>
      </c>
      <c r="C557" s="49">
        <v>11.27</v>
      </c>
      <c r="D557" s="49">
        <v>7.03</v>
      </c>
      <c r="E557" s="49">
        <v>0</v>
      </c>
      <c r="F557" s="49">
        <v>10.99</v>
      </c>
      <c r="G557" s="49">
        <v>8.73</v>
      </c>
      <c r="H557" s="49">
        <v>20.43</v>
      </c>
      <c r="I557" s="49">
        <v>31.94</v>
      </c>
      <c r="J557" s="49">
        <v>15.61</v>
      </c>
      <c r="K557" s="49">
        <v>11.84</v>
      </c>
      <c r="L557" s="49">
        <v>13.07</v>
      </c>
      <c r="M557" s="49">
        <v>13.69</v>
      </c>
      <c r="N557" s="49">
        <v>11.03</v>
      </c>
      <c r="O557" s="49">
        <v>12.48</v>
      </c>
      <c r="P557" s="49">
        <v>15.23</v>
      </c>
      <c r="Q557" s="49">
        <v>10.82</v>
      </c>
      <c r="R557" s="49">
        <v>6.87</v>
      </c>
      <c r="S557" s="49">
        <v>11.13</v>
      </c>
    </row>
    <row r="558" spans="1:19" ht="18">
      <c r="A558" s="49">
        <v>2923</v>
      </c>
      <c r="B558" s="49" t="s">
        <v>768</v>
      </c>
      <c r="C558" s="49">
        <v>0</v>
      </c>
      <c r="D558" s="49">
        <v>0</v>
      </c>
      <c r="E558" s="49">
        <v>0</v>
      </c>
      <c r="F558" s="49">
        <v>0</v>
      </c>
      <c r="G558" s="49">
        <v>0</v>
      </c>
      <c r="H558" s="49">
        <v>8.3699999999999992</v>
      </c>
      <c r="I558" s="49">
        <v>37.14</v>
      </c>
      <c r="J558" s="49">
        <v>18.899999999999999</v>
      </c>
      <c r="K558" s="49">
        <v>12.03</v>
      </c>
      <c r="L558" s="49">
        <v>12.72</v>
      </c>
      <c r="M558" s="49">
        <v>33.36</v>
      </c>
      <c r="N558" s="49">
        <v>53.06</v>
      </c>
      <c r="O558" s="49">
        <v>4.66</v>
      </c>
      <c r="P558" s="49">
        <v>0</v>
      </c>
      <c r="Q558" s="49">
        <v>29.33</v>
      </c>
      <c r="R558" s="49">
        <v>58.24</v>
      </c>
      <c r="S558" s="49">
        <v>1440</v>
      </c>
    </row>
    <row r="559" spans="1:19" ht="18">
      <c r="A559" s="49">
        <v>2924</v>
      </c>
      <c r="B559" s="49" t="s">
        <v>1298</v>
      </c>
      <c r="C559" s="49">
        <v>0</v>
      </c>
      <c r="D559" s="49">
        <v>0</v>
      </c>
      <c r="E559" s="49">
        <v>0</v>
      </c>
      <c r="F559" s="49">
        <v>0</v>
      </c>
      <c r="G559" s="49">
        <v>19.13</v>
      </c>
      <c r="H559" s="49">
        <v>15.06</v>
      </c>
      <c r="I559" s="49">
        <v>17.68</v>
      </c>
      <c r="J559" s="49">
        <v>26.42</v>
      </c>
      <c r="K559" s="49">
        <v>48.53</v>
      </c>
      <c r="L559" s="49">
        <v>138.46</v>
      </c>
      <c r="M559" s="49">
        <v>0</v>
      </c>
      <c r="N559" s="49">
        <v>0</v>
      </c>
      <c r="O559" s="49">
        <v>0</v>
      </c>
      <c r="P559" s="49">
        <v>0</v>
      </c>
      <c r="Q559" s="49">
        <v>0</v>
      </c>
      <c r="R559" s="49">
        <v>0</v>
      </c>
      <c r="S559" s="49">
        <v>0</v>
      </c>
    </row>
    <row r="560" spans="1:19" ht="18">
      <c r="A560" s="49">
        <v>2926</v>
      </c>
      <c r="B560" s="49" t="s">
        <v>1299</v>
      </c>
      <c r="C560" s="49">
        <v>0</v>
      </c>
      <c r="D560" s="49">
        <v>0</v>
      </c>
      <c r="E560" s="49">
        <v>0</v>
      </c>
      <c r="F560" s="49">
        <v>0</v>
      </c>
      <c r="G560" s="49">
        <v>0</v>
      </c>
      <c r="H560" s="49">
        <v>0</v>
      </c>
      <c r="I560" s="49">
        <v>35.46</v>
      </c>
      <c r="J560" s="49">
        <v>24.71</v>
      </c>
      <c r="K560" s="49">
        <v>24.11</v>
      </c>
      <c r="L560" s="49">
        <v>15.54</v>
      </c>
      <c r="M560" s="49">
        <v>15.9</v>
      </c>
      <c r="N560" s="49">
        <v>17.41</v>
      </c>
      <c r="O560" s="49">
        <v>20.14</v>
      </c>
      <c r="P560" s="49">
        <v>54.01</v>
      </c>
      <c r="Q560" s="49">
        <v>0</v>
      </c>
      <c r="R560" s="49">
        <v>0</v>
      </c>
      <c r="S560" s="49">
        <v>0</v>
      </c>
    </row>
    <row r="561" spans="1:19" ht="18">
      <c r="A561" s="49">
        <v>2929</v>
      </c>
      <c r="B561" s="49" t="s">
        <v>769</v>
      </c>
      <c r="C561" s="49">
        <v>0</v>
      </c>
      <c r="D561" s="49">
        <v>0</v>
      </c>
      <c r="E561" s="49">
        <v>0</v>
      </c>
      <c r="F561" s="49">
        <v>0</v>
      </c>
      <c r="G561" s="49">
        <v>0</v>
      </c>
      <c r="H561" s="49">
        <v>0</v>
      </c>
      <c r="I561" s="49">
        <v>0</v>
      </c>
      <c r="J561" s="49">
        <v>10.17</v>
      </c>
      <c r="K561" s="49">
        <v>9.5399999999999991</v>
      </c>
      <c r="L561" s="49">
        <v>7.16</v>
      </c>
      <c r="M561" s="49">
        <v>9.11</v>
      </c>
      <c r="N561" s="49">
        <v>7.99</v>
      </c>
      <c r="O561" s="49">
        <v>6.89</v>
      </c>
      <c r="P561" s="49">
        <v>0</v>
      </c>
      <c r="Q561" s="49">
        <v>0</v>
      </c>
      <c r="R561" s="49">
        <v>26.46</v>
      </c>
      <c r="S561" s="49">
        <v>0</v>
      </c>
    </row>
    <row r="562" spans="1:19" ht="18">
      <c r="A562" s="49">
        <v>2937</v>
      </c>
      <c r="B562" s="49" t="s">
        <v>1300</v>
      </c>
      <c r="C562" s="49">
        <v>0</v>
      </c>
      <c r="D562" s="49">
        <v>0</v>
      </c>
      <c r="E562" s="49">
        <v>0</v>
      </c>
      <c r="F562" s="49">
        <v>0</v>
      </c>
      <c r="G562" s="49">
        <v>0</v>
      </c>
      <c r="H562" s="49">
        <v>0</v>
      </c>
      <c r="I562" s="49">
        <v>0</v>
      </c>
      <c r="J562" s="49">
        <v>0</v>
      </c>
      <c r="K562" s="49">
        <v>0</v>
      </c>
      <c r="L562" s="49">
        <v>0</v>
      </c>
      <c r="M562" s="49">
        <v>20</v>
      </c>
      <c r="N562" s="49">
        <v>16.899999999999999</v>
      </c>
      <c r="O562" s="49">
        <v>13.37</v>
      </c>
      <c r="P562" s="49">
        <v>10.35</v>
      </c>
      <c r="Q562" s="49">
        <v>13.04</v>
      </c>
      <c r="R562" s="49">
        <v>9.5500000000000007</v>
      </c>
      <c r="S562" s="49">
        <v>11</v>
      </c>
    </row>
    <row r="563" spans="1:19" ht="18">
      <c r="A563" s="49">
        <v>2939</v>
      </c>
      <c r="B563" s="49" t="s">
        <v>770</v>
      </c>
      <c r="C563" s="49">
        <v>0</v>
      </c>
      <c r="D563" s="49">
        <v>0</v>
      </c>
      <c r="E563" s="49">
        <v>0</v>
      </c>
      <c r="F563" s="49">
        <v>0</v>
      </c>
      <c r="G563" s="49">
        <v>0</v>
      </c>
      <c r="H563" s="49">
        <v>0</v>
      </c>
      <c r="I563" s="49">
        <v>0</v>
      </c>
      <c r="J563" s="49">
        <v>0</v>
      </c>
      <c r="K563" s="49">
        <v>0</v>
      </c>
      <c r="L563" s="49">
        <v>0</v>
      </c>
      <c r="M563" s="49">
        <v>0</v>
      </c>
      <c r="N563" s="49">
        <v>9.44</v>
      </c>
      <c r="O563" s="49">
        <v>15.61</v>
      </c>
      <c r="P563" s="49">
        <v>0</v>
      </c>
      <c r="Q563" s="49">
        <v>58.73</v>
      </c>
      <c r="R563" s="49">
        <v>70.11</v>
      </c>
      <c r="S563" s="49">
        <v>0</v>
      </c>
    </row>
    <row r="564" spans="1:19" ht="18">
      <c r="A564" s="49">
        <v>2945</v>
      </c>
      <c r="B564" s="49" t="s">
        <v>771</v>
      </c>
      <c r="C564" s="49">
        <v>0</v>
      </c>
      <c r="D564" s="49">
        <v>0</v>
      </c>
      <c r="E564" s="49">
        <v>0</v>
      </c>
      <c r="F564" s="49">
        <v>0</v>
      </c>
      <c r="G564" s="49">
        <v>0</v>
      </c>
      <c r="H564" s="49">
        <v>0</v>
      </c>
      <c r="I564" s="49">
        <v>0</v>
      </c>
      <c r="J564" s="49">
        <v>0</v>
      </c>
      <c r="K564" s="49">
        <v>0</v>
      </c>
      <c r="L564" s="49">
        <v>0</v>
      </c>
      <c r="M564" s="49">
        <v>0</v>
      </c>
      <c r="N564" s="49">
        <v>0</v>
      </c>
      <c r="O564" s="49">
        <v>0</v>
      </c>
      <c r="P564" s="49">
        <v>0</v>
      </c>
      <c r="Q564" s="49">
        <v>23.29</v>
      </c>
      <c r="R564" s="49">
        <v>39.11</v>
      </c>
      <c r="S564" s="49">
        <v>32.26</v>
      </c>
    </row>
    <row r="565" spans="1:19" ht="18">
      <c r="A565" s="49">
        <v>2947</v>
      </c>
      <c r="B565" s="49" t="s">
        <v>1301</v>
      </c>
      <c r="C565" s="49">
        <v>0</v>
      </c>
      <c r="D565" s="49">
        <v>0</v>
      </c>
      <c r="E565" s="49">
        <v>0</v>
      </c>
      <c r="F565" s="49">
        <v>0</v>
      </c>
      <c r="G565" s="49">
        <v>0</v>
      </c>
      <c r="H565" s="49">
        <v>0</v>
      </c>
      <c r="I565" s="49">
        <v>0</v>
      </c>
      <c r="J565" s="49">
        <v>0</v>
      </c>
      <c r="K565" s="49">
        <v>0</v>
      </c>
      <c r="L565" s="49">
        <v>0</v>
      </c>
      <c r="M565" s="49">
        <v>0</v>
      </c>
      <c r="N565" s="49">
        <v>0</v>
      </c>
      <c r="O565" s="49">
        <v>0</v>
      </c>
      <c r="P565" s="49">
        <v>0</v>
      </c>
      <c r="Q565" s="49">
        <v>18.5</v>
      </c>
      <c r="R565" s="49">
        <v>22.35</v>
      </c>
      <c r="S565" s="49">
        <v>39.01</v>
      </c>
    </row>
    <row r="566" spans="1:19" ht="18">
      <c r="A566" s="49">
        <v>3002</v>
      </c>
      <c r="B566" s="49" t="s">
        <v>772</v>
      </c>
      <c r="C566" s="49">
        <v>10.47</v>
      </c>
      <c r="D566" s="49">
        <v>6.99</v>
      </c>
      <c r="E566" s="49">
        <v>11.14</v>
      </c>
      <c r="F566" s="49">
        <v>13.95</v>
      </c>
      <c r="G566" s="49">
        <v>67.069999999999993</v>
      </c>
      <c r="H566" s="49">
        <v>20</v>
      </c>
      <c r="I566" s="49">
        <v>22.21</v>
      </c>
      <c r="J566" s="49">
        <v>19.93</v>
      </c>
      <c r="K566" s="49">
        <v>25.61</v>
      </c>
      <c r="L566" s="49">
        <v>18.28</v>
      </c>
      <c r="M566" s="49">
        <v>16.670000000000002</v>
      </c>
      <c r="N566" s="49">
        <v>0</v>
      </c>
      <c r="O566" s="49">
        <v>24.89</v>
      </c>
      <c r="P566" s="49">
        <v>20.52</v>
      </c>
      <c r="Q566" s="49">
        <v>326.25</v>
      </c>
      <c r="R566" s="49">
        <v>0</v>
      </c>
      <c r="S566" s="49">
        <v>80.88</v>
      </c>
    </row>
    <row r="567" spans="1:19" ht="18">
      <c r="A567" s="49">
        <v>3003</v>
      </c>
      <c r="B567" s="49" t="s">
        <v>773</v>
      </c>
      <c r="C567" s="49">
        <v>11.41</v>
      </c>
      <c r="D567" s="49">
        <v>7.47</v>
      </c>
      <c r="E567" s="49">
        <v>44.47</v>
      </c>
      <c r="F567" s="49">
        <v>12</v>
      </c>
      <c r="G567" s="49">
        <v>12.77</v>
      </c>
      <c r="H567" s="49">
        <v>8.86</v>
      </c>
      <c r="I567" s="49">
        <v>18.8</v>
      </c>
      <c r="J567" s="49">
        <v>14.71</v>
      </c>
      <c r="K567" s="49">
        <v>14.16</v>
      </c>
      <c r="L567" s="49">
        <v>17.95</v>
      </c>
      <c r="M567" s="49">
        <v>19.07</v>
      </c>
      <c r="N567" s="49">
        <v>14.61</v>
      </c>
      <c r="O567" s="49">
        <v>16.23</v>
      </c>
      <c r="P567" s="49">
        <v>21.28</v>
      </c>
      <c r="Q567" s="49">
        <v>22.64</v>
      </c>
      <c r="R567" s="49">
        <v>10.8</v>
      </c>
      <c r="S567" s="49">
        <v>19.97</v>
      </c>
    </row>
    <row r="568" spans="1:19" ht="18">
      <c r="A568" s="49">
        <v>3004</v>
      </c>
      <c r="B568" s="49" t="s">
        <v>774</v>
      </c>
      <c r="C568" s="49">
        <v>0</v>
      </c>
      <c r="D568" s="49">
        <v>0</v>
      </c>
      <c r="E568" s="49">
        <v>0</v>
      </c>
      <c r="F568" s="49">
        <v>5.56</v>
      </c>
      <c r="G568" s="49">
        <v>5.93</v>
      </c>
      <c r="H568" s="49">
        <v>6.2</v>
      </c>
      <c r="I568" s="49">
        <v>12.1</v>
      </c>
      <c r="J568" s="49">
        <v>0</v>
      </c>
      <c r="K568" s="49">
        <v>16.68</v>
      </c>
      <c r="L568" s="49">
        <v>11.13</v>
      </c>
      <c r="M568" s="49">
        <v>13.71</v>
      </c>
      <c r="N568" s="49">
        <v>12</v>
      </c>
      <c r="O568" s="49">
        <v>12.79</v>
      </c>
      <c r="P568" s="49">
        <v>19.23</v>
      </c>
      <c r="Q568" s="49">
        <v>0</v>
      </c>
      <c r="R568" s="49">
        <v>43.23</v>
      </c>
      <c r="S568" s="49">
        <v>17.850000000000001</v>
      </c>
    </row>
    <row r="569" spans="1:19" ht="18">
      <c r="A569" s="49">
        <v>3005</v>
      </c>
      <c r="B569" s="49" t="s">
        <v>775</v>
      </c>
      <c r="C569" s="49">
        <v>14.13</v>
      </c>
      <c r="D569" s="49">
        <v>5.96</v>
      </c>
      <c r="E569" s="49">
        <v>12.75</v>
      </c>
      <c r="F569" s="49">
        <v>10.8</v>
      </c>
      <c r="G569" s="49">
        <v>16.649999999999999</v>
      </c>
      <c r="H569" s="49">
        <v>25</v>
      </c>
      <c r="I569" s="49">
        <v>25.75</v>
      </c>
      <c r="J569" s="49">
        <v>20</v>
      </c>
      <c r="K569" s="49">
        <v>7.71</v>
      </c>
      <c r="L569" s="49">
        <v>14.36</v>
      </c>
      <c r="M569" s="49">
        <v>10.63</v>
      </c>
      <c r="N569" s="49">
        <v>10.98</v>
      </c>
      <c r="O569" s="49">
        <v>13.38</v>
      </c>
      <c r="P569" s="49">
        <v>11.4</v>
      </c>
      <c r="Q569" s="49">
        <v>7.67</v>
      </c>
      <c r="R569" s="49">
        <v>11.93</v>
      </c>
      <c r="S569" s="49">
        <v>17.13</v>
      </c>
    </row>
    <row r="570" spans="1:19" ht="18">
      <c r="A570" s="49">
        <v>3006</v>
      </c>
      <c r="B570" s="49" t="s">
        <v>776</v>
      </c>
      <c r="C570" s="49">
        <v>20.2</v>
      </c>
      <c r="D570" s="49">
        <v>15.58</v>
      </c>
      <c r="E570" s="49">
        <v>0</v>
      </c>
      <c r="F570" s="49">
        <v>12.39</v>
      </c>
      <c r="G570" s="49">
        <v>0</v>
      </c>
      <c r="H570" s="49">
        <v>0</v>
      </c>
      <c r="I570" s="49">
        <v>22.66</v>
      </c>
      <c r="J570" s="49">
        <v>14.18</v>
      </c>
      <c r="K570" s="49">
        <v>10.65</v>
      </c>
      <c r="L570" s="49">
        <v>20.03</v>
      </c>
      <c r="M570" s="49">
        <v>13.61</v>
      </c>
      <c r="N570" s="49">
        <v>9.02</v>
      </c>
      <c r="O570" s="49">
        <v>33.53</v>
      </c>
      <c r="P570" s="49">
        <v>16.89</v>
      </c>
      <c r="Q570" s="49">
        <v>10.99</v>
      </c>
      <c r="R570" s="49">
        <v>5.7</v>
      </c>
      <c r="S570" s="49">
        <v>0</v>
      </c>
    </row>
    <row r="571" spans="1:19" ht="18">
      <c r="A571" s="49">
        <v>3008</v>
      </c>
      <c r="B571" s="49" t="s">
        <v>777</v>
      </c>
      <c r="C571" s="49">
        <v>18.559999999999999</v>
      </c>
      <c r="D571" s="49">
        <v>8.02</v>
      </c>
      <c r="E571" s="49">
        <v>23.55</v>
      </c>
      <c r="F571" s="49">
        <v>25.43</v>
      </c>
      <c r="G571" s="49">
        <v>14.74</v>
      </c>
      <c r="H571" s="49">
        <v>26.98</v>
      </c>
      <c r="I571" s="49">
        <v>17.96</v>
      </c>
      <c r="J571" s="49">
        <v>20.85</v>
      </c>
      <c r="K571" s="49">
        <v>12.24</v>
      </c>
      <c r="L571" s="49">
        <v>24.22</v>
      </c>
      <c r="M571" s="49">
        <v>20.88</v>
      </c>
      <c r="N571" s="49">
        <v>16.27</v>
      </c>
      <c r="O571" s="49">
        <v>25.17</v>
      </c>
      <c r="P571" s="49">
        <v>16.7</v>
      </c>
      <c r="Q571" s="49">
        <v>16.14</v>
      </c>
      <c r="R571" s="49">
        <v>11.47</v>
      </c>
      <c r="S571" s="49">
        <v>22.58</v>
      </c>
    </row>
    <row r="572" spans="1:19" ht="18">
      <c r="A572" s="49">
        <v>3010</v>
      </c>
      <c r="B572" s="49" t="s">
        <v>778</v>
      </c>
      <c r="C572" s="49">
        <v>10.15</v>
      </c>
      <c r="D572" s="49">
        <v>4.05</v>
      </c>
      <c r="E572" s="49">
        <v>21.66</v>
      </c>
      <c r="F572" s="49">
        <v>9.64</v>
      </c>
      <c r="G572" s="49">
        <v>7.33</v>
      </c>
      <c r="H572" s="49">
        <v>11.69</v>
      </c>
      <c r="I572" s="49">
        <v>10.119999999999999</v>
      </c>
      <c r="J572" s="49">
        <v>10.38</v>
      </c>
      <c r="K572" s="49">
        <v>8.9</v>
      </c>
      <c r="L572" s="49">
        <v>9.48</v>
      </c>
      <c r="M572" s="49">
        <v>10.55</v>
      </c>
      <c r="N572" s="49">
        <v>8.09</v>
      </c>
      <c r="O572" s="49">
        <v>8.93</v>
      </c>
      <c r="P572" s="49">
        <v>10.17</v>
      </c>
      <c r="Q572" s="49">
        <v>10.029999999999999</v>
      </c>
      <c r="R572" s="49">
        <v>6.76</v>
      </c>
      <c r="S572" s="49">
        <v>11.56</v>
      </c>
    </row>
    <row r="573" spans="1:19" ht="18">
      <c r="A573" s="49">
        <v>3011</v>
      </c>
      <c r="B573" s="49" t="s">
        <v>779</v>
      </c>
      <c r="C573" s="49">
        <v>81.67</v>
      </c>
      <c r="D573" s="49">
        <v>0</v>
      </c>
      <c r="E573" s="49">
        <v>111.54</v>
      </c>
      <c r="F573" s="49">
        <v>0</v>
      </c>
      <c r="G573" s="49">
        <v>166.4</v>
      </c>
      <c r="H573" s="49">
        <v>0</v>
      </c>
      <c r="I573" s="49">
        <v>0</v>
      </c>
      <c r="J573" s="49">
        <v>0</v>
      </c>
      <c r="K573" s="49">
        <v>0</v>
      </c>
      <c r="L573" s="49">
        <v>0</v>
      </c>
      <c r="M573" s="49">
        <v>0</v>
      </c>
      <c r="N573" s="49">
        <v>0</v>
      </c>
      <c r="O573" s="49">
        <v>0</v>
      </c>
      <c r="P573" s="49">
        <v>0</v>
      </c>
      <c r="Q573" s="49">
        <v>0</v>
      </c>
      <c r="R573" s="49">
        <v>18.79</v>
      </c>
      <c r="S573" s="49">
        <v>0</v>
      </c>
    </row>
    <row r="574" spans="1:19" ht="18">
      <c r="A574" s="49">
        <v>3013</v>
      </c>
      <c r="B574" s="49" t="s">
        <v>780</v>
      </c>
      <c r="C574" s="49">
        <v>13.95</v>
      </c>
      <c r="D574" s="49">
        <v>17.46</v>
      </c>
      <c r="E574" s="49">
        <v>122.22</v>
      </c>
      <c r="F574" s="49">
        <v>34.51</v>
      </c>
      <c r="G574" s="49">
        <v>0</v>
      </c>
      <c r="H574" s="49">
        <v>0</v>
      </c>
      <c r="I574" s="49">
        <v>26.04</v>
      </c>
      <c r="J574" s="49">
        <v>250</v>
      </c>
      <c r="K574" s="49">
        <v>12.78</v>
      </c>
      <c r="L574" s="49">
        <v>33.75</v>
      </c>
      <c r="M574" s="49">
        <v>13.88</v>
      </c>
      <c r="N574" s="49">
        <v>22.98</v>
      </c>
      <c r="O574" s="49">
        <v>21.89</v>
      </c>
      <c r="P574" s="49">
        <v>14.42</v>
      </c>
      <c r="Q574" s="49">
        <v>0</v>
      </c>
      <c r="R574" s="49">
        <v>24.3</v>
      </c>
      <c r="S574" s="49">
        <v>40.090000000000003</v>
      </c>
    </row>
    <row r="575" spans="1:19" ht="18">
      <c r="A575" s="49">
        <v>3014</v>
      </c>
      <c r="B575" s="49" t="s">
        <v>781</v>
      </c>
      <c r="C575" s="49">
        <v>23.49</v>
      </c>
      <c r="D575" s="49">
        <v>16.73</v>
      </c>
      <c r="E575" s="49">
        <v>32.950000000000003</v>
      </c>
      <c r="F575" s="49">
        <v>35.99</v>
      </c>
      <c r="G575" s="49">
        <v>26.11</v>
      </c>
      <c r="H575" s="49">
        <v>0</v>
      </c>
      <c r="I575" s="49">
        <v>19.84</v>
      </c>
      <c r="J575" s="49">
        <v>15.4</v>
      </c>
      <c r="K575" s="49">
        <v>15.88</v>
      </c>
      <c r="L575" s="49">
        <v>12.06</v>
      </c>
      <c r="M575" s="49">
        <v>15.13</v>
      </c>
      <c r="N575" s="49">
        <v>10.029999999999999</v>
      </c>
      <c r="O575" s="49">
        <v>14.72</v>
      </c>
      <c r="P575" s="49">
        <v>13.25</v>
      </c>
      <c r="Q575" s="49">
        <v>10.66</v>
      </c>
      <c r="R575" s="49">
        <v>8.31</v>
      </c>
      <c r="S575" s="49">
        <v>16.63</v>
      </c>
    </row>
    <row r="576" spans="1:19" ht="18">
      <c r="A576" s="49">
        <v>3015</v>
      </c>
      <c r="B576" s="49" t="s">
        <v>782</v>
      </c>
      <c r="C576" s="49">
        <v>9.92</v>
      </c>
      <c r="D576" s="49">
        <v>4.95</v>
      </c>
      <c r="E576" s="49">
        <v>12.08</v>
      </c>
      <c r="F576" s="49">
        <v>8.91</v>
      </c>
      <c r="G576" s="49">
        <v>10.02</v>
      </c>
      <c r="H576" s="49">
        <v>9.57</v>
      </c>
      <c r="I576" s="49">
        <v>13.27</v>
      </c>
      <c r="J576" s="49">
        <v>14.13</v>
      </c>
      <c r="K576" s="49">
        <v>23.89</v>
      </c>
      <c r="L576" s="49">
        <v>9.85</v>
      </c>
      <c r="M576" s="49">
        <v>12.36</v>
      </c>
      <c r="N576" s="49">
        <v>20.69</v>
      </c>
      <c r="O576" s="49">
        <v>78.569999999999993</v>
      </c>
      <c r="P576" s="49">
        <v>13.29</v>
      </c>
      <c r="Q576" s="49">
        <v>12.47</v>
      </c>
      <c r="R576" s="49">
        <v>8.93</v>
      </c>
      <c r="S576" s="49">
        <v>13.79</v>
      </c>
    </row>
    <row r="577" spans="1:19" ht="18">
      <c r="A577" s="49">
        <v>3016</v>
      </c>
      <c r="B577" s="49" t="s">
        <v>783</v>
      </c>
      <c r="C577" s="49">
        <v>21.97</v>
      </c>
      <c r="D577" s="49">
        <v>0</v>
      </c>
      <c r="E577" s="49">
        <v>0</v>
      </c>
      <c r="F577" s="49">
        <v>54.75</v>
      </c>
      <c r="G577" s="49">
        <v>22.17</v>
      </c>
      <c r="H577" s="49">
        <v>0</v>
      </c>
      <c r="I577" s="49">
        <v>0</v>
      </c>
      <c r="J577" s="49">
        <v>0</v>
      </c>
      <c r="K577" s="49">
        <v>95.31</v>
      </c>
      <c r="L577" s="49">
        <v>0</v>
      </c>
      <c r="M577" s="49">
        <v>67.709999999999994</v>
      </c>
      <c r="N577" s="49">
        <v>29.86</v>
      </c>
      <c r="O577" s="49">
        <v>120</v>
      </c>
      <c r="P577" s="49">
        <v>0</v>
      </c>
      <c r="Q577" s="49">
        <v>136.22</v>
      </c>
      <c r="R577" s="49">
        <v>28.54</v>
      </c>
      <c r="S577" s="49">
        <v>87.04</v>
      </c>
    </row>
    <row r="578" spans="1:19" ht="18">
      <c r="A578" s="49">
        <v>3017</v>
      </c>
      <c r="B578" s="49" t="s">
        <v>784</v>
      </c>
      <c r="C578" s="49">
        <v>13.6</v>
      </c>
      <c r="D578" s="49">
        <v>6.41</v>
      </c>
      <c r="E578" s="49">
        <v>16.739999999999998</v>
      </c>
      <c r="F578" s="49">
        <v>8.44</v>
      </c>
      <c r="G578" s="49">
        <v>9.15</v>
      </c>
      <c r="H578" s="49">
        <v>46.97</v>
      </c>
      <c r="I578" s="49">
        <v>36.909999999999997</v>
      </c>
      <c r="J578" s="49">
        <v>13.56</v>
      </c>
      <c r="K578" s="49">
        <v>14.9</v>
      </c>
      <c r="L578" s="49">
        <v>10.73</v>
      </c>
      <c r="M578" s="49">
        <v>12.32</v>
      </c>
      <c r="N578" s="49">
        <v>12.44</v>
      </c>
      <c r="O578" s="49">
        <v>16.93</v>
      </c>
      <c r="P578" s="49">
        <v>13.83</v>
      </c>
      <c r="Q578" s="49">
        <v>11.53</v>
      </c>
      <c r="R578" s="49">
        <v>10.44</v>
      </c>
      <c r="S578" s="49">
        <v>27.36</v>
      </c>
    </row>
    <row r="579" spans="1:19" ht="18">
      <c r="A579" s="49">
        <v>3019</v>
      </c>
      <c r="B579" s="49" t="s">
        <v>785</v>
      </c>
      <c r="C579" s="49">
        <v>9.4700000000000006</v>
      </c>
      <c r="D579" s="49">
        <v>7.79</v>
      </c>
      <c r="E579" s="49">
        <v>3560</v>
      </c>
      <c r="F579" s="49">
        <v>0</v>
      </c>
      <c r="G579" s="49">
        <v>0</v>
      </c>
      <c r="H579" s="49">
        <v>0</v>
      </c>
      <c r="I579" s="49">
        <v>45.23</v>
      </c>
      <c r="J579" s="49">
        <v>0</v>
      </c>
      <c r="K579" s="49">
        <v>728.75</v>
      </c>
      <c r="L579" s="49">
        <v>40.130000000000003</v>
      </c>
      <c r="M579" s="49">
        <v>46.88</v>
      </c>
      <c r="N579" s="49">
        <v>21.08</v>
      </c>
      <c r="O579" s="49">
        <v>25.59</v>
      </c>
      <c r="P579" s="49">
        <v>67.8</v>
      </c>
      <c r="Q579" s="49">
        <v>21.79</v>
      </c>
      <c r="R579" s="49">
        <v>13.5</v>
      </c>
      <c r="S579" s="49">
        <v>32.200000000000003</v>
      </c>
    </row>
    <row r="580" spans="1:19" ht="18">
      <c r="A580" s="49">
        <v>3021</v>
      </c>
      <c r="B580" s="49" t="s">
        <v>786</v>
      </c>
      <c r="C580" s="49">
        <v>0</v>
      </c>
      <c r="D580" s="49">
        <v>10.66</v>
      </c>
      <c r="E580" s="49">
        <v>0</v>
      </c>
      <c r="F580" s="49">
        <v>6.04</v>
      </c>
      <c r="G580" s="49">
        <v>5.1100000000000003</v>
      </c>
      <c r="H580" s="49">
        <v>4.05</v>
      </c>
      <c r="I580" s="49">
        <v>20.420000000000002</v>
      </c>
      <c r="J580" s="49">
        <v>21.15</v>
      </c>
      <c r="K580" s="49">
        <v>16.25</v>
      </c>
      <c r="L580" s="49">
        <v>10.91</v>
      </c>
      <c r="M580" s="49">
        <v>12.59</v>
      </c>
      <c r="N580" s="49">
        <v>10.7</v>
      </c>
      <c r="O580" s="49">
        <v>11.25</v>
      </c>
      <c r="P580" s="49">
        <v>13.74</v>
      </c>
      <c r="Q580" s="49">
        <v>17.62</v>
      </c>
      <c r="R580" s="49">
        <v>12.05</v>
      </c>
      <c r="S580" s="49">
        <v>15.38</v>
      </c>
    </row>
    <row r="581" spans="1:19" ht="18">
      <c r="A581" s="49">
        <v>3022</v>
      </c>
      <c r="B581" s="49" t="s">
        <v>787</v>
      </c>
      <c r="C581" s="49">
        <v>12.45</v>
      </c>
      <c r="D581" s="49">
        <v>6.19</v>
      </c>
      <c r="E581" s="49">
        <v>24.63</v>
      </c>
      <c r="F581" s="49">
        <v>12.76</v>
      </c>
      <c r="G581" s="49">
        <v>6.83</v>
      </c>
      <c r="H581" s="49">
        <v>10.43</v>
      </c>
      <c r="I581" s="49">
        <v>12.28</v>
      </c>
      <c r="J581" s="49">
        <v>11.57</v>
      </c>
      <c r="K581" s="49">
        <v>9.42</v>
      </c>
      <c r="L581" s="49">
        <v>12.56</v>
      </c>
      <c r="M581" s="49">
        <v>10.31</v>
      </c>
      <c r="N581" s="49">
        <v>13.13</v>
      </c>
      <c r="O581" s="49">
        <v>10.15</v>
      </c>
      <c r="P581" s="49">
        <v>13.9</v>
      </c>
      <c r="Q581" s="49">
        <v>8.6300000000000008</v>
      </c>
      <c r="R581" s="49">
        <v>9.18</v>
      </c>
      <c r="S581" s="49">
        <v>9.7899999999999991</v>
      </c>
    </row>
    <row r="582" spans="1:19" ht="18">
      <c r="A582" s="49">
        <v>3023</v>
      </c>
      <c r="B582" s="49" t="s">
        <v>788</v>
      </c>
      <c r="C582" s="49">
        <v>8.48</v>
      </c>
      <c r="D582" s="49">
        <v>4.34</v>
      </c>
      <c r="E582" s="49">
        <v>56.83</v>
      </c>
      <c r="F582" s="49">
        <v>13.92</v>
      </c>
      <c r="G582" s="49">
        <v>9.0500000000000007</v>
      </c>
      <c r="H582" s="49">
        <v>9.43</v>
      </c>
      <c r="I582" s="49">
        <v>14.12</v>
      </c>
      <c r="J582" s="49">
        <v>11.54</v>
      </c>
      <c r="K582" s="49">
        <v>14.11</v>
      </c>
      <c r="L582" s="49">
        <v>14.41</v>
      </c>
      <c r="M582" s="49">
        <v>15.95</v>
      </c>
      <c r="N582" s="49">
        <v>12.98</v>
      </c>
      <c r="O582" s="49">
        <v>17.2</v>
      </c>
      <c r="P582" s="49">
        <v>25.78</v>
      </c>
      <c r="Q582" s="49">
        <v>28.29</v>
      </c>
      <c r="R582" s="49">
        <v>23.73</v>
      </c>
      <c r="S582" s="49">
        <v>21.82</v>
      </c>
    </row>
    <row r="583" spans="1:19" ht="18">
      <c r="A583" s="49">
        <v>3024</v>
      </c>
      <c r="B583" s="49" t="s">
        <v>789</v>
      </c>
      <c r="C583" s="49">
        <v>167.5</v>
      </c>
      <c r="D583" s="49">
        <v>11.15</v>
      </c>
      <c r="E583" s="49">
        <v>0</v>
      </c>
      <c r="F583" s="49">
        <v>271.25</v>
      </c>
      <c r="G583" s="49">
        <v>0</v>
      </c>
      <c r="H583" s="49">
        <v>0</v>
      </c>
      <c r="I583" s="49">
        <v>0</v>
      </c>
      <c r="J583" s="49">
        <v>0</v>
      </c>
      <c r="K583" s="49">
        <v>0</v>
      </c>
      <c r="L583" s="49">
        <v>0</v>
      </c>
      <c r="M583" s="49">
        <v>2.19</v>
      </c>
      <c r="N583" s="49">
        <v>18.420000000000002</v>
      </c>
      <c r="O583" s="49">
        <v>12.42</v>
      </c>
      <c r="P583" s="49">
        <v>49.57</v>
      </c>
      <c r="Q583" s="49">
        <v>21.88</v>
      </c>
      <c r="R583" s="49">
        <v>47.86</v>
      </c>
      <c r="S583" s="49">
        <v>48.21</v>
      </c>
    </row>
    <row r="584" spans="1:19" ht="18">
      <c r="A584" s="49">
        <v>3025</v>
      </c>
      <c r="B584" s="49" t="s">
        <v>790</v>
      </c>
      <c r="C584" s="49">
        <v>9.58</v>
      </c>
      <c r="D584" s="49">
        <v>16.16</v>
      </c>
      <c r="E584" s="49">
        <v>39.35</v>
      </c>
      <c r="F584" s="49">
        <v>21.44</v>
      </c>
      <c r="G584" s="49">
        <v>0</v>
      </c>
      <c r="H584" s="49">
        <v>43.78</v>
      </c>
      <c r="I584" s="49">
        <v>16.760000000000002</v>
      </c>
      <c r="J584" s="49">
        <v>103.5</v>
      </c>
      <c r="K584" s="49">
        <v>0</v>
      </c>
      <c r="L584" s="49">
        <v>36.409999999999997</v>
      </c>
      <c r="M584" s="49">
        <v>660</v>
      </c>
      <c r="N584" s="49">
        <v>197.78</v>
      </c>
      <c r="O584" s="49">
        <v>36.19</v>
      </c>
      <c r="P584" s="49">
        <v>37.94</v>
      </c>
      <c r="Q584" s="49">
        <v>103.26</v>
      </c>
      <c r="R584" s="49">
        <v>14.17</v>
      </c>
      <c r="S584" s="49">
        <v>24.43</v>
      </c>
    </row>
    <row r="585" spans="1:19" ht="18">
      <c r="A585" s="49">
        <v>3026</v>
      </c>
      <c r="B585" s="49" t="s">
        <v>791</v>
      </c>
      <c r="C585" s="49">
        <v>9.85</v>
      </c>
      <c r="D585" s="49">
        <v>5.78</v>
      </c>
      <c r="E585" s="49">
        <v>19.829999999999998</v>
      </c>
      <c r="F585" s="49">
        <v>13.86</v>
      </c>
      <c r="G585" s="49">
        <v>10.38</v>
      </c>
      <c r="H585" s="49">
        <v>13.04</v>
      </c>
      <c r="I585" s="49">
        <v>12.15</v>
      </c>
      <c r="J585" s="49">
        <v>9.76</v>
      </c>
      <c r="K585" s="49">
        <v>11.52</v>
      </c>
      <c r="L585" s="49">
        <v>16.399999999999999</v>
      </c>
      <c r="M585" s="49">
        <v>29.24</v>
      </c>
      <c r="N585" s="49">
        <v>5.46</v>
      </c>
      <c r="O585" s="49">
        <v>17.71</v>
      </c>
      <c r="P585" s="49">
        <v>18.91</v>
      </c>
      <c r="Q585" s="49">
        <v>9.98</v>
      </c>
      <c r="R585" s="49">
        <v>10.63</v>
      </c>
      <c r="S585" s="49">
        <v>16.579999999999998</v>
      </c>
    </row>
    <row r="586" spans="1:19" ht="18">
      <c r="A586" s="49">
        <v>3027</v>
      </c>
      <c r="B586" s="49" t="s">
        <v>792</v>
      </c>
      <c r="C586" s="49">
        <v>10.08</v>
      </c>
      <c r="D586" s="49">
        <v>8.2799999999999994</v>
      </c>
      <c r="E586" s="49">
        <v>91.29</v>
      </c>
      <c r="F586" s="49">
        <v>21.02</v>
      </c>
      <c r="G586" s="49">
        <v>0</v>
      </c>
      <c r="H586" s="49">
        <v>18.91</v>
      </c>
      <c r="I586" s="49">
        <v>99.47</v>
      </c>
      <c r="J586" s="49">
        <v>54.44</v>
      </c>
      <c r="K586" s="49">
        <v>50.91</v>
      </c>
      <c r="L586" s="49">
        <v>20.67</v>
      </c>
      <c r="M586" s="49">
        <v>0</v>
      </c>
      <c r="N586" s="49">
        <v>0</v>
      </c>
      <c r="O586" s="49">
        <v>4.22</v>
      </c>
      <c r="P586" s="49">
        <v>45.54</v>
      </c>
      <c r="Q586" s="49">
        <v>134.12</v>
      </c>
      <c r="R586" s="49">
        <v>79.64</v>
      </c>
      <c r="S586" s="49">
        <v>42.33</v>
      </c>
    </row>
    <row r="587" spans="1:19" ht="18">
      <c r="A587" s="49">
        <v>3028</v>
      </c>
      <c r="B587" s="49" t="s">
        <v>793</v>
      </c>
      <c r="C587" s="49">
        <v>8.43</v>
      </c>
      <c r="D587" s="49">
        <v>5.87</v>
      </c>
      <c r="E587" s="49">
        <v>16.829999999999998</v>
      </c>
      <c r="F587" s="49">
        <v>11.06</v>
      </c>
      <c r="G587" s="49">
        <v>7.36</v>
      </c>
      <c r="H587" s="49">
        <v>10.54</v>
      </c>
      <c r="I587" s="49">
        <v>11.4</v>
      </c>
      <c r="J587" s="49">
        <v>19.07</v>
      </c>
      <c r="K587" s="49">
        <v>9.75</v>
      </c>
      <c r="L587" s="49">
        <v>11.64</v>
      </c>
      <c r="M587" s="49">
        <v>11.2</v>
      </c>
      <c r="N587" s="49">
        <v>9.77</v>
      </c>
      <c r="O587" s="49">
        <v>15.86</v>
      </c>
      <c r="P587" s="49">
        <v>13.22</v>
      </c>
      <c r="Q587" s="49">
        <v>8.9700000000000006</v>
      </c>
      <c r="R587" s="49">
        <v>8.18</v>
      </c>
      <c r="S587" s="49">
        <v>14.07</v>
      </c>
    </row>
    <row r="588" spans="1:19" ht="18">
      <c r="A588" s="49">
        <v>3029</v>
      </c>
      <c r="B588" s="49" t="s">
        <v>794</v>
      </c>
      <c r="C588" s="49">
        <v>43.81</v>
      </c>
      <c r="D588" s="49">
        <v>12.12</v>
      </c>
      <c r="E588" s="49">
        <v>52.83</v>
      </c>
      <c r="F588" s="49">
        <v>41.5</v>
      </c>
      <c r="G588" s="49">
        <v>26.32</v>
      </c>
      <c r="H588" s="49">
        <v>15.33</v>
      </c>
      <c r="I588" s="49">
        <v>34</v>
      </c>
      <c r="J588" s="49">
        <v>14.2</v>
      </c>
      <c r="K588" s="49">
        <v>11.37</v>
      </c>
      <c r="L588" s="49">
        <v>11.12</v>
      </c>
      <c r="M588" s="49">
        <v>11.46</v>
      </c>
      <c r="N588" s="49">
        <v>10.34</v>
      </c>
      <c r="O588" s="49">
        <v>12.26</v>
      </c>
      <c r="P588" s="49">
        <v>10.53</v>
      </c>
      <c r="Q588" s="49">
        <v>11.08</v>
      </c>
      <c r="R588" s="49">
        <v>10.19</v>
      </c>
      <c r="S588" s="49">
        <v>15.32</v>
      </c>
    </row>
    <row r="589" spans="1:19" ht="18">
      <c r="A589" s="49">
        <v>3030</v>
      </c>
      <c r="B589" s="49" t="s">
        <v>795</v>
      </c>
      <c r="C589" s="49">
        <v>9.51</v>
      </c>
      <c r="D589" s="49">
        <v>4.72</v>
      </c>
      <c r="E589" s="49">
        <v>71.2</v>
      </c>
      <c r="F589" s="49">
        <v>10.28</v>
      </c>
      <c r="G589" s="49">
        <v>6.31</v>
      </c>
      <c r="H589" s="49">
        <v>9.59</v>
      </c>
      <c r="I589" s="49">
        <v>10.92</v>
      </c>
      <c r="J589" s="49">
        <v>9.98</v>
      </c>
      <c r="K589" s="49">
        <v>10.039999999999999</v>
      </c>
      <c r="L589" s="49">
        <v>23.29</v>
      </c>
      <c r="M589" s="49">
        <v>19.12</v>
      </c>
      <c r="N589" s="49">
        <v>11.04</v>
      </c>
      <c r="O589" s="49">
        <v>13.37</v>
      </c>
      <c r="P589" s="49">
        <v>11.8</v>
      </c>
      <c r="Q589" s="49">
        <v>12.91</v>
      </c>
      <c r="R589" s="49">
        <v>8.11</v>
      </c>
      <c r="S589" s="49">
        <v>14.22</v>
      </c>
    </row>
    <row r="590" spans="1:19" ht="18">
      <c r="A590" s="49">
        <v>3031</v>
      </c>
      <c r="B590" s="49" t="s">
        <v>796</v>
      </c>
      <c r="C590" s="49">
        <v>30.79</v>
      </c>
      <c r="D590" s="49">
        <v>8.74</v>
      </c>
      <c r="E590" s="49">
        <v>87.82</v>
      </c>
      <c r="F590" s="49">
        <v>14.41</v>
      </c>
      <c r="G590" s="49">
        <v>27.24</v>
      </c>
      <c r="H590" s="49">
        <v>0</v>
      </c>
      <c r="I590" s="49">
        <v>0</v>
      </c>
      <c r="J590" s="49">
        <v>29</v>
      </c>
      <c r="K590" s="49">
        <v>25.58</v>
      </c>
      <c r="L590" s="49">
        <v>37.06</v>
      </c>
      <c r="M590" s="49">
        <v>17.059999999999999</v>
      </c>
      <c r="N590" s="49">
        <v>14.07</v>
      </c>
      <c r="O590" s="49">
        <v>13.92</v>
      </c>
      <c r="P590" s="49">
        <v>19.329999999999998</v>
      </c>
      <c r="Q590" s="49">
        <v>17.829999999999998</v>
      </c>
      <c r="R590" s="49">
        <v>14.15</v>
      </c>
      <c r="S590" s="49">
        <v>19.89</v>
      </c>
    </row>
    <row r="591" spans="1:19" ht="18">
      <c r="A591" s="49">
        <v>3032</v>
      </c>
      <c r="B591" s="49" t="s">
        <v>797</v>
      </c>
      <c r="C591" s="49">
        <v>7.12</v>
      </c>
      <c r="D591" s="49">
        <v>5.09</v>
      </c>
      <c r="E591" s="49">
        <v>23.03</v>
      </c>
      <c r="F591" s="49">
        <v>10.25</v>
      </c>
      <c r="G591" s="49">
        <v>23.03</v>
      </c>
      <c r="H591" s="49">
        <v>64.31</v>
      </c>
      <c r="I591" s="49">
        <v>28.89</v>
      </c>
      <c r="J591" s="49">
        <v>14.28</v>
      </c>
      <c r="K591" s="49">
        <v>9.86</v>
      </c>
      <c r="L591" s="49">
        <v>11.82</v>
      </c>
      <c r="M591" s="49">
        <v>11.98</v>
      </c>
      <c r="N591" s="49">
        <v>7.66</v>
      </c>
      <c r="O591" s="49">
        <v>10.99</v>
      </c>
      <c r="P591" s="49">
        <v>10.85</v>
      </c>
      <c r="Q591" s="49">
        <v>11.31</v>
      </c>
      <c r="R591" s="49">
        <v>10.029999999999999</v>
      </c>
      <c r="S591" s="49">
        <v>13.72</v>
      </c>
    </row>
    <row r="592" spans="1:19" ht="18">
      <c r="A592" s="49">
        <v>3033</v>
      </c>
      <c r="B592" s="49" t="s">
        <v>798</v>
      </c>
      <c r="C592" s="49">
        <v>8.5399999999999991</v>
      </c>
      <c r="D592" s="49">
        <v>6.85</v>
      </c>
      <c r="E592" s="49">
        <v>12.57</v>
      </c>
      <c r="F592" s="49">
        <v>9.1199999999999992</v>
      </c>
      <c r="G592" s="49">
        <v>7.35</v>
      </c>
      <c r="H592" s="49">
        <v>9.5</v>
      </c>
      <c r="I592" s="49">
        <v>12.61</v>
      </c>
      <c r="J592" s="49">
        <v>11.61</v>
      </c>
      <c r="K592" s="49">
        <v>12.01</v>
      </c>
      <c r="L592" s="49">
        <v>13.18</v>
      </c>
      <c r="M592" s="49">
        <v>11.54</v>
      </c>
      <c r="N592" s="49">
        <v>8.5</v>
      </c>
      <c r="O592" s="49">
        <v>22.82</v>
      </c>
      <c r="P592" s="49">
        <v>12.63</v>
      </c>
      <c r="Q592" s="49">
        <v>8.9</v>
      </c>
      <c r="R592" s="49">
        <v>5.92</v>
      </c>
      <c r="S592" s="49">
        <v>14.74</v>
      </c>
    </row>
    <row r="593" spans="1:19" ht="18">
      <c r="A593" s="49">
        <v>3034</v>
      </c>
      <c r="B593" s="49" t="s">
        <v>799</v>
      </c>
      <c r="C593" s="49">
        <v>8.9499999999999993</v>
      </c>
      <c r="D593" s="49">
        <v>3.53</v>
      </c>
      <c r="E593" s="49">
        <v>19.559999999999999</v>
      </c>
      <c r="F593" s="49">
        <v>11.78</v>
      </c>
      <c r="G593" s="49">
        <v>12.09</v>
      </c>
      <c r="H593" s="49">
        <v>18.05</v>
      </c>
      <c r="I593" s="49">
        <v>15.19</v>
      </c>
      <c r="J593" s="49">
        <v>17.16</v>
      </c>
      <c r="K593" s="49">
        <v>11.26</v>
      </c>
      <c r="L593" s="49">
        <v>12.31</v>
      </c>
      <c r="M593" s="49">
        <v>13.91</v>
      </c>
      <c r="N593" s="49">
        <v>15.29</v>
      </c>
      <c r="O593" s="49">
        <v>16.29</v>
      </c>
      <c r="P593" s="49">
        <v>22.51</v>
      </c>
      <c r="Q593" s="49">
        <v>10.39</v>
      </c>
      <c r="R593" s="49">
        <v>5.51</v>
      </c>
      <c r="S593" s="49">
        <v>14.28</v>
      </c>
    </row>
    <row r="594" spans="1:19" ht="18">
      <c r="A594" s="49">
        <v>3035</v>
      </c>
      <c r="B594" s="49" t="s">
        <v>800</v>
      </c>
      <c r="C594" s="49">
        <v>14.71</v>
      </c>
      <c r="D594" s="49">
        <v>9.65</v>
      </c>
      <c r="E594" s="49">
        <v>34.6</v>
      </c>
      <c r="F594" s="49">
        <v>23.65</v>
      </c>
      <c r="G594" s="49">
        <v>70.37</v>
      </c>
      <c r="H594" s="49">
        <v>16.670000000000002</v>
      </c>
      <c r="I594" s="49">
        <v>20.75</v>
      </c>
      <c r="J594" s="49">
        <v>21.33</v>
      </c>
      <c r="K594" s="49">
        <v>15.56</v>
      </c>
      <c r="L594" s="49">
        <v>43.36</v>
      </c>
      <c r="M594" s="49">
        <v>17.23</v>
      </c>
      <c r="N594" s="49">
        <v>46.48</v>
      </c>
      <c r="O594" s="49">
        <v>37.04</v>
      </c>
      <c r="P594" s="49">
        <v>43.14</v>
      </c>
      <c r="Q594" s="49">
        <v>84.75</v>
      </c>
      <c r="R594" s="49">
        <v>14.71</v>
      </c>
      <c r="S594" s="49">
        <v>49.45</v>
      </c>
    </row>
    <row r="595" spans="1:19" ht="18">
      <c r="A595" s="49">
        <v>3036</v>
      </c>
      <c r="B595" s="49" t="s">
        <v>801</v>
      </c>
      <c r="C595" s="49">
        <v>8.0399999999999991</v>
      </c>
      <c r="D595" s="49">
        <v>4.5199999999999996</v>
      </c>
      <c r="E595" s="49">
        <v>48.66</v>
      </c>
      <c r="F595" s="49">
        <v>9.4700000000000006</v>
      </c>
      <c r="G595" s="49">
        <v>7.41</v>
      </c>
      <c r="H595" s="49">
        <v>11.35</v>
      </c>
      <c r="I595" s="49">
        <v>9.6300000000000008</v>
      </c>
      <c r="J595" s="49">
        <v>9.85</v>
      </c>
      <c r="K595" s="49">
        <v>8.11</v>
      </c>
      <c r="L595" s="49">
        <v>10.050000000000001</v>
      </c>
      <c r="M595" s="49">
        <v>10.66</v>
      </c>
      <c r="N595" s="49">
        <v>7.42</v>
      </c>
      <c r="O595" s="49">
        <v>10.29</v>
      </c>
      <c r="P595" s="49">
        <v>10</v>
      </c>
      <c r="Q595" s="49">
        <v>9.66</v>
      </c>
      <c r="R595" s="49">
        <v>7.25</v>
      </c>
      <c r="S595" s="49">
        <v>27.92</v>
      </c>
    </row>
    <row r="596" spans="1:19" ht="18">
      <c r="A596" s="49">
        <v>3037</v>
      </c>
      <c r="B596" s="49" t="s">
        <v>802</v>
      </c>
      <c r="C596" s="49">
        <v>11.61</v>
      </c>
      <c r="D596" s="49">
        <v>3.61</v>
      </c>
      <c r="E596" s="49">
        <v>29.37</v>
      </c>
      <c r="F596" s="49">
        <v>12.37</v>
      </c>
      <c r="G596" s="49">
        <v>10.06</v>
      </c>
      <c r="H596" s="49">
        <v>13.39</v>
      </c>
      <c r="I596" s="49">
        <v>16.38</v>
      </c>
      <c r="J596" s="49">
        <v>63.55</v>
      </c>
      <c r="K596" s="49">
        <v>0</v>
      </c>
      <c r="L596" s="49">
        <v>95.38</v>
      </c>
      <c r="M596" s="49">
        <v>74.09</v>
      </c>
      <c r="N596" s="49">
        <v>18.899999999999999</v>
      </c>
      <c r="O596" s="49">
        <v>20.9</v>
      </c>
      <c r="P596" s="49">
        <v>28.56</v>
      </c>
      <c r="Q596" s="49">
        <v>33.14</v>
      </c>
      <c r="R596" s="49">
        <v>6.51</v>
      </c>
      <c r="S596" s="49">
        <v>16.329999999999998</v>
      </c>
    </row>
    <row r="597" spans="1:19" ht="18">
      <c r="A597" s="49">
        <v>3038</v>
      </c>
      <c r="B597" s="49" t="s">
        <v>803</v>
      </c>
      <c r="C597" s="49">
        <v>0</v>
      </c>
      <c r="D597" s="49">
        <v>0</v>
      </c>
      <c r="E597" s="49">
        <v>0</v>
      </c>
      <c r="F597" s="49">
        <v>0</v>
      </c>
      <c r="G597" s="49">
        <v>0</v>
      </c>
      <c r="H597" s="49">
        <v>0</v>
      </c>
      <c r="I597" s="49">
        <v>0</v>
      </c>
      <c r="J597" s="49">
        <v>12.65</v>
      </c>
      <c r="K597" s="49">
        <v>8</v>
      </c>
      <c r="L597" s="49">
        <v>9.25</v>
      </c>
      <c r="M597" s="49">
        <v>18.87</v>
      </c>
      <c r="N597" s="49">
        <v>12.18</v>
      </c>
      <c r="O597" s="49">
        <v>10.6</v>
      </c>
      <c r="P597" s="49">
        <v>12.03</v>
      </c>
      <c r="Q597" s="49">
        <v>13.79</v>
      </c>
      <c r="R597" s="49">
        <v>7.52</v>
      </c>
      <c r="S597" s="49">
        <v>10.52</v>
      </c>
    </row>
    <row r="598" spans="1:19" ht="18">
      <c r="A598" s="49">
        <v>3040</v>
      </c>
      <c r="B598" s="49" t="s">
        <v>804</v>
      </c>
      <c r="C598" s="49">
        <v>11.52</v>
      </c>
      <c r="D598" s="49">
        <v>6.48</v>
      </c>
      <c r="E598" s="49">
        <v>250</v>
      </c>
      <c r="F598" s="49">
        <v>48.39</v>
      </c>
      <c r="G598" s="49">
        <v>46.07</v>
      </c>
      <c r="H598" s="49">
        <v>42.21</v>
      </c>
      <c r="I598" s="49">
        <v>30.85</v>
      </c>
      <c r="J598" s="49">
        <v>5.29</v>
      </c>
      <c r="K598" s="49">
        <v>12.61</v>
      </c>
      <c r="L598" s="49">
        <v>15.28</v>
      </c>
      <c r="M598" s="49">
        <v>4.28</v>
      </c>
      <c r="N598" s="49">
        <v>27.71</v>
      </c>
      <c r="O598" s="49">
        <v>20.97</v>
      </c>
      <c r="P598" s="49">
        <v>6.39</v>
      </c>
      <c r="Q598" s="49">
        <v>15.92</v>
      </c>
      <c r="R598" s="49">
        <v>18.010000000000002</v>
      </c>
      <c r="S598" s="49">
        <v>32.61</v>
      </c>
    </row>
    <row r="599" spans="1:19" ht="18">
      <c r="A599" s="49">
        <v>3041</v>
      </c>
      <c r="B599" s="49" t="s">
        <v>805</v>
      </c>
      <c r="C599" s="49">
        <v>17.62</v>
      </c>
      <c r="D599" s="49">
        <v>44.13</v>
      </c>
      <c r="E599" s="49">
        <v>31.38</v>
      </c>
      <c r="F599" s="49">
        <v>13.1</v>
      </c>
      <c r="G599" s="49">
        <v>13.31</v>
      </c>
      <c r="H599" s="49">
        <v>12.57</v>
      </c>
      <c r="I599" s="49">
        <v>10.06</v>
      </c>
      <c r="J599" s="49">
        <v>27.06</v>
      </c>
      <c r="K599" s="49">
        <v>0</v>
      </c>
      <c r="L599" s="49">
        <v>0</v>
      </c>
      <c r="M599" s="49">
        <v>0</v>
      </c>
      <c r="N599" s="49">
        <v>0</v>
      </c>
      <c r="O599" s="49">
        <v>0</v>
      </c>
      <c r="P599" s="49">
        <v>0</v>
      </c>
      <c r="Q599" s="49">
        <v>0</v>
      </c>
      <c r="R599" s="49">
        <v>75.930000000000007</v>
      </c>
      <c r="S599" s="49">
        <v>0</v>
      </c>
    </row>
    <row r="600" spans="1:19" ht="18">
      <c r="A600" s="49">
        <v>3042</v>
      </c>
      <c r="B600" s="49" t="s">
        <v>806</v>
      </c>
      <c r="C600" s="49">
        <v>13.04</v>
      </c>
      <c r="D600" s="49">
        <v>5.28</v>
      </c>
      <c r="E600" s="49">
        <v>22.4</v>
      </c>
      <c r="F600" s="49">
        <v>13.93</v>
      </c>
      <c r="G600" s="49">
        <v>9.75</v>
      </c>
      <c r="H600" s="49">
        <v>13.35</v>
      </c>
      <c r="I600" s="49">
        <v>10.97</v>
      </c>
      <c r="J600" s="49">
        <v>12.17</v>
      </c>
      <c r="K600" s="49">
        <v>11.72</v>
      </c>
      <c r="L600" s="49">
        <v>13.1</v>
      </c>
      <c r="M600" s="49">
        <v>12.01</v>
      </c>
      <c r="N600" s="49">
        <v>14.59</v>
      </c>
      <c r="O600" s="49">
        <v>22.52</v>
      </c>
      <c r="P600" s="49">
        <v>18.309999999999999</v>
      </c>
      <c r="Q600" s="49">
        <v>11.61</v>
      </c>
      <c r="R600" s="49">
        <v>8.4</v>
      </c>
      <c r="S600" s="49">
        <v>17.48</v>
      </c>
    </row>
    <row r="601" spans="1:19" ht="18">
      <c r="A601" s="49">
        <v>3043</v>
      </c>
      <c r="B601" s="49" t="s">
        <v>807</v>
      </c>
      <c r="C601" s="49">
        <v>23.88</v>
      </c>
      <c r="D601" s="49">
        <v>15.34</v>
      </c>
      <c r="E601" s="49">
        <v>0</v>
      </c>
      <c r="F601" s="49">
        <v>19.36</v>
      </c>
      <c r="G601" s="49">
        <v>41.29</v>
      </c>
      <c r="H601" s="49">
        <v>0</v>
      </c>
      <c r="I601" s="49">
        <v>0</v>
      </c>
      <c r="J601" s="49">
        <v>0</v>
      </c>
      <c r="K601" s="49">
        <v>0</v>
      </c>
      <c r="L601" s="49">
        <v>0</v>
      </c>
      <c r="M601" s="49">
        <v>0</v>
      </c>
      <c r="N601" s="49">
        <v>27.44</v>
      </c>
      <c r="O601" s="49">
        <v>3.81</v>
      </c>
      <c r="P601" s="49">
        <v>0</v>
      </c>
      <c r="Q601" s="49">
        <v>0</v>
      </c>
      <c r="R601" s="49">
        <v>49.45</v>
      </c>
      <c r="S601" s="49">
        <v>18.100000000000001</v>
      </c>
    </row>
    <row r="602" spans="1:19" ht="18">
      <c r="A602" s="49">
        <v>3044</v>
      </c>
      <c r="B602" s="49" t="s">
        <v>808</v>
      </c>
      <c r="C602" s="49">
        <v>13.68</v>
      </c>
      <c r="D602" s="49">
        <v>4.0599999999999996</v>
      </c>
      <c r="E602" s="49">
        <v>22</v>
      </c>
      <c r="F602" s="49">
        <v>11.42</v>
      </c>
      <c r="G602" s="49">
        <v>8.1999999999999993</v>
      </c>
      <c r="H602" s="49">
        <v>10.31</v>
      </c>
      <c r="I602" s="49">
        <v>11.76</v>
      </c>
      <c r="J602" s="49">
        <v>13.07</v>
      </c>
      <c r="K602" s="49">
        <v>10.67</v>
      </c>
      <c r="L602" s="49">
        <v>12.09</v>
      </c>
      <c r="M602" s="49">
        <v>10.9</v>
      </c>
      <c r="N602" s="49">
        <v>9.14</v>
      </c>
      <c r="O602" s="49">
        <v>11.3</v>
      </c>
      <c r="P602" s="49">
        <v>10.46</v>
      </c>
      <c r="Q602" s="49">
        <v>10.61</v>
      </c>
      <c r="R602" s="49">
        <v>8.15</v>
      </c>
      <c r="S602" s="49">
        <v>17.36</v>
      </c>
    </row>
    <row r="603" spans="1:19" ht="18">
      <c r="A603" s="49">
        <v>3045</v>
      </c>
      <c r="B603" s="49" t="s">
        <v>809</v>
      </c>
      <c r="C603" s="49">
        <v>14.85</v>
      </c>
      <c r="D603" s="49">
        <v>26.04</v>
      </c>
      <c r="E603" s="49">
        <v>17.53</v>
      </c>
      <c r="F603" s="49">
        <v>18.739999999999998</v>
      </c>
      <c r="G603" s="49">
        <v>24.21</v>
      </c>
      <c r="H603" s="49">
        <v>25.24</v>
      </c>
      <c r="I603" s="49">
        <v>16.66</v>
      </c>
      <c r="J603" s="49">
        <v>18.14</v>
      </c>
      <c r="K603" s="49">
        <v>18.18</v>
      </c>
      <c r="L603" s="49">
        <v>18.09</v>
      </c>
      <c r="M603" s="49">
        <v>19.27</v>
      </c>
      <c r="N603" s="49">
        <v>22.33</v>
      </c>
      <c r="O603" s="49">
        <v>24.83</v>
      </c>
      <c r="P603" s="49">
        <v>22.95</v>
      </c>
      <c r="Q603" s="49">
        <v>26.53</v>
      </c>
      <c r="R603" s="49">
        <v>24.22</v>
      </c>
      <c r="S603" s="49">
        <v>24.9</v>
      </c>
    </row>
    <row r="604" spans="1:19" ht="18">
      <c r="A604" s="49">
        <v>3046</v>
      </c>
      <c r="B604" s="49" t="s">
        <v>810</v>
      </c>
      <c r="C604" s="49">
        <v>0</v>
      </c>
      <c r="D604" s="49">
        <v>7.11</v>
      </c>
      <c r="E604" s="49">
        <v>201.43</v>
      </c>
      <c r="F604" s="49">
        <v>165</v>
      </c>
      <c r="G604" s="49">
        <v>15.55</v>
      </c>
      <c r="H604" s="49">
        <v>512</v>
      </c>
      <c r="I604" s="49">
        <v>0</v>
      </c>
      <c r="J604" s="49">
        <v>0</v>
      </c>
      <c r="K604" s="49">
        <v>0</v>
      </c>
      <c r="L604" s="49">
        <v>0</v>
      </c>
      <c r="M604" s="49">
        <v>0</v>
      </c>
      <c r="N604" s="49">
        <v>0</v>
      </c>
      <c r="O604" s="49">
        <v>71.52</v>
      </c>
      <c r="P604" s="49">
        <v>0</v>
      </c>
      <c r="Q604" s="49">
        <v>31.28</v>
      </c>
      <c r="R604" s="49">
        <v>19</v>
      </c>
      <c r="S604" s="49">
        <v>21.13</v>
      </c>
    </row>
    <row r="605" spans="1:19" ht="18">
      <c r="A605" s="49">
        <v>3047</v>
      </c>
      <c r="B605" s="49" t="s">
        <v>811</v>
      </c>
      <c r="C605" s="49">
        <v>11.97</v>
      </c>
      <c r="D605" s="49">
        <v>7.52</v>
      </c>
      <c r="E605" s="49">
        <v>658.75</v>
      </c>
      <c r="F605" s="49">
        <v>20.41</v>
      </c>
      <c r="G605" s="49">
        <v>0</v>
      </c>
      <c r="H605" s="49">
        <v>31.88</v>
      </c>
      <c r="I605" s="49">
        <v>15.86</v>
      </c>
      <c r="J605" s="49">
        <v>20.66</v>
      </c>
      <c r="K605" s="49">
        <v>13.78</v>
      </c>
      <c r="L605" s="49">
        <v>23.33</v>
      </c>
      <c r="M605" s="49">
        <v>0</v>
      </c>
      <c r="N605" s="49">
        <v>0</v>
      </c>
      <c r="O605" s="49">
        <v>18.45</v>
      </c>
      <c r="P605" s="49">
        <v>23.36</v>
      </c>
      <c r="Q605" s="49">
        <v>0</v>
      </c>
      <c r="R605" s="49">
        <v>13.13</v>
      </c>
      <c r="S605" s="49">
        <v>84.47</v>
      </c>
    </row>
    <row r="606" spans="1:19" ht="18">
      <c r="A606" s="49">
        <v>3048</v>
      </c>
      <c r="B606" s="49" t="s">
        <v>812</v>
      </c>
      <c r="C606" s="49">
        <v>9.1300000000000008</v>
      </c>
      <c r="D606" s="49">
        <v>5.64</v>
      </c>
      <c r="E606" s="49">
        <v>94.25</v>
      </c>
      <c r="F606" s="49">
        <v>9.11</v>
      </c>
      <c r="G606" s="49">
        <v>13.43</v>
      </c>
      <c r="H606" s="49">
        <v>16.079999999999998</v>
      </c>
      <c r="I606" s="49">
        <v>12.3</v>
      </c>
      <c r="J606" s="49">
        <v>12.97</v>
      </c>
      <c r="K606" s="49">
        <v>7.93</v>
      </c>
      <c r="L606" s="49">
        <v>12.21</v>
      </c>
      <c r="M606" s="49">
        <v>14.69</v>
      </c>
      <c r="N606" s="49">
        <v>11.39</v>
      </c>
      <c r="O606" s="49">
        <v>11.79</v>
      </c>
      <c r="P606" s="49">
        <v>9.73</v>
      </c>
      <c r="Q606" s="49">
        <v>7.6</v>
      </c>
      <c r="R606" s="49">
        <v>6.65</v>
      </c>
      <c r="S606" s="49">
        <v>176.79</v>
      </c>
    </row>
    <row r="607" spans="1:19" ht="18">
      <c r="A607" s="49">
        <v>3049</v>
      </c>
      <c r="B607" s="49" t="s">
        <v>813</v>
      </c>
      <c r="C607" s="49">
        <v>0</v>
      </c>
      <c r="D607" s="49">
        <v>0</v>
      </c>
      <c r="E607" s="49">
        <v>0</v>
      </c>
      <c r="F607" s="49">
        <v>0</v>
      </c>
      <c r="G607" s="49">
        <v>0</v>
      </c>
      <c r="H607" s="49">
        <v>0</v>
      </c>
      <c r="I607" s="49">
        <v>18.940000000000001</v>
      </c>
      <c r="J607" s="49">
        <v>47.6</v>
      </c>
      <c r="K607" s="49">
        <v>24.34</v>
      </c>
      <c r="L607" s="49">
        <v>0</v>
      </c>
      <c r="M607" s="49">
        <v>25</v>
      </c>
      <c r="N607" s="49">
        <v>12.4</v>
      </c>
      <c r="O607" s="49">
        <v>14.32</v>
      </c>
      <c r="P607" s="49">
        <v>25.11</v>
      </c>
      <c r="Q607" s="49">
        <v>14.02</v>
      </c>
      <c r="R607" s="49">
        <v>24.57</v>
      </c>
      <c r="S607" s="49">
        <v>0</v>
      </c>
    </row>
    <row r="608" spans="1:19" ht="18">
      <c r="A608" s="49">
        <v>3050</v>
      </c>
      <c r="B608" s="49" t="s">
        <v>814</v>
      </c>
      <c r="C608" s="49">
        <v>0</v>
      </c>
      <c r="D608" s="49">
        <v>0</v>
      </c>
      <c r="E608" s="49">
        <v>0</v>
      </c>
      <c r="F608" s="49">
        <v>0</v>
      </c>
      <c r="G608" s="49">
        <v>8.1</v>
      </c>
      <c r="H608" s="49">
        <v>0</v>
      </c>
      <c r="I608" s="49">
        <v>351</v>
      </c>
      <c r="J608" s="49">
        <v>0</v>
      </c>
      <c r="K608" s="49">
        <v>38.729999999999997</v>
      </c>
      <c r="L608" s="49">
        <v>11.53</v>
      </c>
      <c r="M608" s="49">
        <v>11.52</v>
      </c>
      <c r="N608" s="49">
        <v>42.3</v>
      </c>
      <c r="O608" s="49">
        <v>13.09</v>
      </c>
      <c r="P608" s="49">
        <v>31.97</v>
      </c>
      <c r="Q608" s="49">
        <v>20.22</v>
      </c>
      <c r="R608" s="49">
        <v>37.07</v>
      </c>
      <c r="S608" s="49">
        <v>18.739999999999998</v>
      </c>
    </row>
    <row r="609" spans="1:19" ht="18">
      <c r="A609" s="49">
        <v>3051</v>
      </c>
      <c r="B609" s="49" t="s">
        <v>815</v>
      </c>
      <c r="C609" s="49">
        <v>0</v>
      </c>
      <c r="D609" s="49">
        <v>0</v>
      </c>
      <c r="E609" s="49">
        <v>0</v>
      </c>
      <c r="F609" s="49">
        <v>0</v>
      </c>
      <c r="G609" s="49">
        <v>0</v>
      </c>
      <c r="H609" s="49">
        <v>19.36</v>
      </c>
      <c r="I609" s="49">
        <v>3.64</v>
      </c>
      <c r="J609" s="49">
        <v>6.98</v>
      </c>
      <c r="K609" s="49">
        <v>3.2</v>
      </c>
      <c r="L609" s="49">
        <v>0</v>
      </c>
      <c r="M609" s="49">
        <v>113.6</v>
      </c>
      <c r="N609" s="49">
        <v>0</v>
      </c>
      <c r="O609" s="49">
        <v>0</v>
      </c>
      <c r="P609" s="49">
        <v>0</v>
      </c>
      <c r="Q609" s="49">
        <v>12.46</v>
      </c>
      <c r="R609" s="49">
        <v>6.19</v>
      </c>
      <c r="S609" s="49">
        <v>62.59</v>
      </c>
    </row>
    <row r="610" spans="1:19" ht="18">
      <c r="A610" s="49">
        <v>3052</v>
      </c>
      <c r="B610" s="49" t="s">
        <v>816</v>
      </c>
      <c r="C610" s="49">
        <v>19.559999999999999</v>
      </c>
      <c r="D610" s="49">
        <v>7.19</v>
      </c>
      <c r="E610" s="49">
        <v>9.11</v>
      </c>
      <c r="F610" s="49">
        <v>7.83</v>
      </c>
      <c r="G610" s="49">
        <v>14.45</v>
      </c>
      <c r="H610" s="49">
        <v>8.84</v>
      </c>
      <c r="I610" s="49">
        <v>14.88</v>
      </c>
      <c r="J610" s="49">
        <v>2.1</v>
      </c>
      <c r="K610" s="49">
        <v>10.74</v>
      </c>
      <c r="L610" s="49">
        <v>27.17</v>
      </c>
      <c r="M610" s="49">
        <v>39.5</v>
      </c>
      <c r="N610" s="49">
        <v>19.5</v>
      </c>
      <c r="O610" s="49">
        <v>0</v>
      </c>
      <c r="P610" s="49">
        <v>5</v>
      </c>
      <c r="Q610" s="49">
        <v>21.94</v>
      </c>
      <c r="R610" s="49">
        <v>11.57</v>
      </c>
      <c r="S610" s="49">
        <v>11.12</v>
      </c>
    </row>
    <row r="611" spans="1:19" ht="18">
      <c r="A611" s="49">
        <v>3054</v>
      </c>
      <c r="B611" s="49" t="s">
        <v>817</v>
      </c>
      <c r="C611" s="49">
        <v>0</v>
      </c>
      <c r="D611" s="49">
        <v>49.9</v>
      </c>
      <c r="E611" s="49">
        <v>18.32</v>
      </c>
      <c r="F611" s="49">
        <v>8.56</v>
      </c>
      <c r="G611" s="49">
        <v>58.5</v>
      </c>
      <c r="H611" s="49">
        <v>0</v>
      </c>
      <c r="I611" s="49">
        <v>9.9600000000000009</v>
      </c>
      <c r="J611" s="49">
        <v>32.380000000000003</v>
      </c>
      <c r="K611" s="49">
        <v>0</v>
      </c>
      <c r="L611" s="49">
        <v>238.89</v>
      </c>
      <c r="M611" s="49">
        <v>34.07</v>
      </c>
      <c r="N611" s="49">
        <v>177.33</v>
      </c>
      <c r="O611" s="49">
        <v>135.71</v>
      </c>
      <c r="P611" s="49">
        <v>0</v>
      </c>
      <c r="Q611" s="49">
        <v>51.6</v>
      </c>
      <c r="R611" s="49">
        <v>0</v>
      </c>
      <c r="S611" s="49">
        <v>0</v>
      </c>
    </row>
    <row r="612" spans="1:19" ht="18">
      <c r="A612" s="49">
        <v>3055</v>
      </c>
      <c r="B612" s="49" t="s">
        <v>818</v>
      </c>
      <c r="C612" s="49">
        <v>7.53</v>
      </c>
      <c r="D612" s="49">
        <v>4.1100000000000003</v>
      </c>
      <c r="E612" s="49">
        <v>21.8</v>
      </c>
      <c r="F612" s="49">
        <v>7.9</v>
      </c>
      <c r="G612" s="49">
        <v>16.71</v>
      </c>
      <c r="H612" s="49">
        <v>27.11</v>
      </c>
      <c r="I612" s="49">
        <v>0</v>
      </c>
      <c r="J612" s="49">
        <v>0</v>
      </c>
      <c r="K612" s="49">
        <v>25.28</v>
      </c>
      <c r="L612" s="49">
        <v>2.94</v>
      </c>
      <c r="M612" s="49">
        <v>34.32</v>
      </c>
      <c r="N612" s="49">
        <v>41.41</v>
      </c>
      <c r="O612" s="49">
        <v>383.75</v>
      </c>
      <c r="P612" s="49">
        <v>80.88</v>
      </c>
      <c r="Q612" s="49">
        <v>0</v>
      </c>
      <c r="R612" s="49">
        <v>0</v>
      </c>
      <c r="S612" s="49">
        <v>19.5</v>
      </c>
    </row>
    <row r="613" spans="1:19" ht="18">
      <c r="A613" s="49">
        <v>3056</v>
      </c>
      <c r="B613" s="49" t="s">
        <v>819</v>
      </c>
      <c r="C613" s="49">
        <v>0</v>
      </c>
      <c r="D613" s="49">
        <v>0</v>
      </c>
      <c r="E613" s="49">
        <v>45.25</v>
      </c>
      <c r="F613" s="49">
        <v>0</v>
      </c>
      <c r="G613" s="49">
        <v>7.28</v>
      </c>
      <c r="H613" s="49">
        <v>5.19</v>
      </c>
      <c r="I613" s="49">
        <v>3.17</v>
      </c>
      <c r="J613" s="49">
        <v>48.25</v>
      </c>
      <c r="K613" s="49">
        <v>2.5499999999999998</v>
      </c>
      <c r="L613" s="49">
        <v>3.63</v>
      </c>
      <c r="M613" s="49">
        <v>5.79</v>
      </c>
      <c r="N613" s="49">
        <v>0</v>
      </c>
      <c r="O613" s="49">
        <v>17.079999999999998</v>
      </c>
      <c r="P613" s="49">
        <v>32.03</v>
      </c>
      <c r="Q613" s="49">
        <v>5.74</v>
      </c>
      <c r="R613" s="49">
        <v>5.56</v>
      </c>
      <c r="S613" s="49">
        <v>8.7799999999999994</v>
      </c>
    </row>
    <row r="614" spans="1:19" ht="18">
      <c r="A614" s="49">
        <v>3057</v>
      </c>
      <c r="B614" s="49" t="s">
        <v>820</v>
      </c>
      <c r="C614" s="49">
        <v>119</v>
      </c>
      <c r="D614" s="49">
        <v>6.38</v>
      </c>
      <c r="E614" s="49">
        <v>75.83</v>
      </c>
      <c r="F614" s="49">
        <v>55.85</v>
      </c>
      <c r="G614" s="49">
        <v>0</v>
      </c>
      <c r="H614" s="49">
        <v>65.790000000000006</v>
      </c>
      <c r="I614" s="49">
        <v>19.18</v>
      </c>
      <c r="J614" s="49">
        <v>15.64</v>
      </c>
      <c r="K614" s="49">
        <v>15.04</v>
      </c>
      <c r="L614" s="49">
        <v>0</v>
      </c>
      <c r="M614" s="49">
        <v>0</v>
      </c>
      <c r="N614" s="49">
        <v>0</v>
      </c>
      <c r="O614" s="49">
        <v>0</v>
      </c>
      <c r="P614" s="49">
        <v>0</v>
      </c>
      <c r="Q614" s="49">
        <v>0</v>
      </c>
      <c r="R614" s="49">
        <v>29.35</v>
      </c>
      <c r="S614" s="49">
        <v>0</v>
      </c>
    </row>
    <row r="615" spans="1:19" ht="18">
      <c r="A615" s="49">
        <v>3058</v>
      </c>
      <c r="B615" s="49" t="s">
        <v>821</v>
      </c>
      <c r="C615" s="49">
        <v>10.38</v>
      </c>
      <c r="D615" s="49">
        <v>0</v>
      </c>
      <c r="E615" s="49">
        <v>8.3699999999999992</v>
      </c>
      <c r="F615" s="49">
        <v>9.18</v>
      </c>
      <c r="G615" s="49">
        <v>27.3</v>
      </c>
      <c r="H615" s="49">
        <v>6.91</v>
      </c>
      <c r="I615" s="49">
        <v>11.83</v>
      </c>
      <c r="J615" s="49">
        <v>243</v>
      </c>
      <c r="K615" s="49">
        <v>77.55</v>
      </c>
      <c r="L615" s="49">
        <v>35.67</v>
      </c>
      <c r="M615" s="49">
        <v>0</v>
      </c>
      <c r="N615" s="49">
        <v>0</v>
      </c>
      <c r="O615" s="49">
        <v>0</v>
      </c>
      <c r="P615" s="49">
        <v>0</v>
      </c>
      <c r="Q615" s="49">
        <v>0</v>
      </c>
      <c r="R615" s="49">
        <v>0</v>
      </c>
      <c r="S615" s="49">
        <v>104.74</v>
      </c>
    </row>
    <row r="616" spans="1:19" ht="18">
      <c r="A616" s="49">
        <v>3059</v>
      </c>
      <c r="B616" s="49" t="s">
        <v>822</v>
      </c>
      <c r="C616" s="49">
        <v>7.22</v>
      </c>
      <c r="D616" s="49">
        <v>4.68</v>
      </c>
      <c r="E616" s="49">
        <v>14.46</v>
      </c>
      <c r="F616" s="49">
        <v>8.83</v>
      </c>
      <c r="G616" s="49">
        <v>8.64</v>
      </c>
      <c r="H616" s="49">
        <v>0</v>
      </c>
      <c r="I616" s="49">
        <v>149.63999999999999</v>
      </c>
      <c r="J616" s="49">
        <v>0</v>
      </c>
      <c r="K616" s="49">
        <v>26.8</v>
      </c>
      <c r="L616" s="49">
        <v>0</v>
      </c>
      <c r="M616" s="49">
        <v>92.65</v>
      </c>
      <c r="N616" s="49">
        <v>57.44</v>
      </c>
      <c r="O616" s="49">
        <v>63.42</v>
      </c>
      <c r="P616" s="49">
        <v>73.48</v>
      </c>
      <c r="Q616" s="49">
        <v>57.35</v>
      </c>
      <c r="R616" s="49">
        <v>24.16</v>
      </c>
      <c r="S616" s="49">
        <v>27.26</v>
      </c>
    </row>
    <row r="617" spans="1:19" ht="18">
      <c r="A617" s="49">
        <v>3060</v>
      </c>
      <c r="B617" s="49" t="s">
        <v>823</v>
      </c>
      <c r="C617" s="49">
        <v>9.51</v>
      </c>
      <c r="D617" s="49">
        <v>5.48</v>
      </c>
      <c r="E617" s="49">
        <v>20.07</v>
      </c>
      <c r="F617" s="49">
        <v>17.61</v>
      </c>
      <c r="G617" s="49">
        <v>10.23</v>
      </c>
      <c r="H617" s="49">
        <v>20.21</v>
      </c>
      <c r="I617" s="49">
        <v>100</v>
      </c>
      <c r="J617" s="49">
        <v>42.29</v>
      </c>
      <c r="K617" s="49">
        <v>11.85</v>
      </c>
      <c r="L617" s="49">
        <v>18.239999999999998</v>
      </c>
      <c r="M617" s="49">
        <v>27.45</v>
      </c>
      <c r="N617" s="49">
        <v>0</v>
      </c>
      <c r="O617" s="49">
        <v>0</v>
      </c>
      <c r="P617" s="49">
        <v>0</v>
      </c>
      <c r="Q617" s="49">
        <v>64.88</v>
      </c>
      <c r="R617" s="49">
        <v>12.48</v>
      </c>
      <c r="S617" s="49">
        <v>0</v>
      </c>
    </row>
    <row r="618" spans="1:19" ht="18">
      <c r="A618" s="49">
        <v>3062</v>
      </c>
      <c r="B618" s="49" t="s">
        <v>824</v>
      </c>
      <c r="C618" s="49">
        <v>34.81</v>
      </c>
      <c r="D618" s="49">
        <v>18.71</v>
      </c>
      <c r="E618" s="49">
        <v>22.49</v>
      </c>
      <c r="F618" s="49">
        <v>39.950000000000003</v>
      </c>
      <c r="G618" s="49">
        <v>13.32</v>
      </c>
      <c r="H618" s="49">
        <v>53.09</v>
      </c>
      <c r="I618" s="49">
        <v>62.36</v>
      </c>
      <c r="J618" s="49">
        <v>35.89</v>
      </c>
      <c r="K618" s="49">
        <v>12.37</v>
      </c>
      <c r="L618" s="49">
        <v>17.55</v>
      </c>
      <c r="M618" s="49">
        <v>30.25</v>
      </c>
      <c r="N618" s="49">
        <v>29.62</v>
      </c>
      <c r="O618" s="49">
        <v>67.78</v>
      </c>
      <c r="P618" s="49">
        <v>0</v>
      </c>
      <c r="Q618" s="49">
        <v>124.2</v>
      </c>
      <c r="R618" s="49">
        <v>0</v>
      </c>
      <c r="S618" s="49">
        <v>0</v>
      </c>
    </row>
    <row r="619" spans="1:19" ht="18">
      <c r="A619" s="49">
        <v>3064</v>
      </c>
      <c r="B619" s="49" t="s">
        <v>1302</v>
      </c>
      <c r="C619" s="49">
        <v>64.709999999999994</v>
      </c>
      <c r="D619" s="49">
        <v>0</v>
      </c>
      <c r="E619" s="49">
        <v>370</v>
      </c>
      <c r="F619" s="49">
        <v>0</v>
      </c>
      <c r="G619" s="49">
        <v>0</v>
      </c>
      <c r="H619" s="49">
        <v>35.58</v>
      </c>
      <c r="I619" s="49">
        <v>78.86</v>
      </c>
      <c r="J619" s="49">
        <v>0</v>
      </c>
      <c r="K619" s="49">
        <v>0</v>
      </c>
      <c r="L619" s="49">
        <v>0</v>
      </c>
      <c r="M619" s="49">
        <v>0</v>
      </c>
      <c r="N619" s="49">
        <v>558</v>
      </c>
      <c r="O619" s="49">
        <v>0</v>
      </c>
      <c r="P619" s="49">
        <v>0</v>
      </c>
      <c r="Q619" s="49">
        <v>0</v>
      </c>
      <c r="R619" s="49">
        <v>0</v>
      </c>
      <c r="S619" s="49">
        <v>0</v>
      </c>
    </row>
    <row r="620" spans="1:19" ht="18">
      <c r="A620" s="49">
        <v>3066</v>
      </c>
      <c r="B620" s="49" t="s">
        <v>1303</v>
      </c>
      <c r="C620" s="49">
        <v>0</v>
      </c>
      <c r="D620" s="49">
        <v>0</v>
      </c>
      <c r="E620" s="49">
        <v>0</v>
      </c>
      <c r="F620" s="49">
        <v>0</v>
      </c>
      <c r="G620" s="49">
        <v>0</v>
      </c>
      <c r="H620" s="49">
        <v>0</v>
      </c>
      <c r="I620" s="49">
        <v>0</v>
      </c>
      <c r="J620" s="49">
        <v>0</v>
      </c>
      <c r="K620" s="49">
        <v>0</v>
      </c>
      <c r="L620" s="49">
        <v>0</v>
      </c>
      <c r="M620" s="49">
        <v>0</v>
      </c>
      <c r="N620" s="49">
        <v>0</v>
      </c>
      <c r="O620" s="49">
        <v>25.23</v>
      </c>
      <c r="P620" s="49">
        <v>53.36</v>
      </c>
      <c r="Q620" s="49">
        <v>26.29</v>
      </c>
      <c r="R620" s="49">
        <v>12.68</v>
      </c>
      <c r="S620" s="49">
        <v>15.7</v>
      </c>
    </row>
    <row r="621" spans="1:19" ht="18">
      <c r="A621" s="49">
        <v>3067</v>
      </c>
      <c r="B621" s="49" t="s">
        <v>1304</v>
      </c>
      <c r="C621" s="49">
        <v>20.37</v>
      </c>
      <c r="D621" s="49">
        <v>6.76</v>
      </c>
      <c r="E621" s="49">
        <v>0</v>
      </c>
      <c r="F621" s="49">
        <v>10.7</v>
      </c>
      <c r="G621" s="49">
        <v>18.52</v>
      </c>
      <c r="H621" s="49">
        <v>69.8</v>
      </c>
      <c r="I621" s="49">
        <v>0</v>
      </c>
      <c r="J621" s="49">
        <v>0</v>
      </c>
      <c r="K621" s="49">
        <v>0</v>
      </c>
      <c r="L621" s="49">
        <v>0</v>
      </c>
      <c r="M621" s="49">
        <v>0</v>
      </c>
      <c r="N621" s="49">
        <v>0</v>
      </c>
      <c r="O621" s="49">
        <v>0</v>
      </c>
      <c r="P621" s="49">
        <v>0</v>
      </c>
      <c r="Q621" s="49">
        <v>0</v>
      </c>
      <c r="R621" s="49">
        <v>7.36</v>
      </c>
      <c r="S621" s="49">
        <v>39.21</v>
      </c>
    </row>
    <row r="622" spans="1:19" ht="18">
      <c r="A622" s="49">
        <v>3071</v>
      </c>
      <c r="B622" s="49" t="s">
        <v>1305</v>
      </c>
      <c r="C622" s="49">
        <v>0</v>
      </c>
      <c r="D622" s="49">
        <v>0</v>
      </c>
      <c r="E622" s="49">
        <v>20.71</v>
      </c>
      <c r="F622" s="49">
        <v>9.82</v>
      </c>
      <c r="G622" s="49">
        <v>13.53</v>
      </c>
      <c r="H622" s="49">
        <v>46.18</v>
      </c>
      <c r="I622" s="49">
        <v>0</v>
      </c>
      <c r="J622" s="49">
        <v>0</v>
      </c>
      <c r="K622" s="49">
        <v>0</v>
      </c>
      <c r="L622" s="49">
        <v>18.04</v>
      </c>
      <c r="M622" s="49">
        <v>17.52</v>
      </c>
      <c r="N622" s="49">
        <v>10.55</v>
      </c>
      <c r="O622" s="49">
        <v>10.95</v>
      </c>
      <c r="P622" s="49">
        <v>13.48</v>
      </c>
      <c r="Q622" s="49">
        <v>17.84</v>
      </c>
      <c r="R622" s="49">
        <v>11.28</v>
      </c>
      <c r="S622" s="49">
        <v>25.4</v>
      </c>
    </row>
    <row r="623" spans="1:19" ht="18">
      <c r="A623" s="49">
        <v>3073</v>
      </c>
      <c r="B623" s="49" t="s">
        <v>1306</v>
      </c>
      <c r="C623" s="49">
        <v>21.3</v>
      </c>
      <c r="D623" s="49">
        <v>18.899999999999999</v>
      </c>
      <c r="E623" s="49">
        <v>0</v>
      </c>
      <c r="F623" s="49">
        <v>0</v>
      </c>
      <c r="G623" s="49">
        <v>0</v>
      </c>
      <c r="H623" s="49">
        <v>0</v>
      </c>
      <c r="I623" s="49">
        <v>0</v>
      </c>
      <c r="J623" s="49">
        <v>0</v>
      </c>
      <c r="K623" s="49">
        <v>0</v>
      </c>
      <c r="L623" s="49">
        <v>0</v>
      </c>
      <c r="M623" s="49">
        <v>0</v>
      </c>
      <c r="N623" s="49">
        <v>0</v>
      </c>
      <c r="O623" s="49">
        <v>0</v>
      </c>
      <c r="P623" s="49">
        <v>0</v>
      </c>
      <c r="Q623" s="49">
        <v>0</v>
      </c>
      <c r="R623" s="49">
        <v>0</v>
      </c>
      <c r="S623" s="49">
        <v>186.07</v>
      </c>
    </row>
    <row r="624" spans="1:19" ht="18">
      <c r="A624" s="49">
        <v>3078</v>
      </c>
      <c r="B624" s="49" t="s">
        <v>1307</v>
      </c>
      <c r="C624" s="49">
        <v>10.11</v>
      </c>
      <c r="D624" s="49">
        <v>5.03</v>
      </c>
      <c r="E624" s="49">
        <v>25.35</v>
      </c>
      <c r="F624" s="49">
        <v>17.04</v>
      </c>
      <c r="G624" s="49">
        <v>18.07</v>
      </c>
      <c r="H624" s="49">
        <v>17.88</v>
      </c>
      <c r="I624" s="49">
        <v>18.11</v>
      </c>
      <c r="J624" s="49">
        <v>11.04</v>
      </c>
      <c r="K624" s="49">
        <v>10.09</v>
      </c>
      <c r="L624" s="49">
        <v>9.08</v>
      </c>
      <c r="M624" s="49">
        <v>11.14</v>
      </c>
      <c r="N624" s="49">
        <v>7.78</v>
      </c>
      <c r="O624" s="49">
        <v>10.88</v>
      </c>
      <c r="P624" s="49">
        <v>12.2</v>
      </c>
      <c r="Q624" s="49">
        <v>7.97</v>
      </c>
      <c r="R624" s="49">
        <v>8.3800000000000008</v>
      </c>
      <c r="S624" s="49">
        <v>12.87</v>
      </c>
    </row>
    <row r="625" spans="1:19" ht="18">
      <c r="A625" s="49">
        <v>3081</v>
      </c>
      <c r="B625" s="49" t="s">
        <v>1308</v>
      </c>
      <c r="C625" s="49">
        <v>0</v>
      </c>
      <c r="D625" s="49">
        <v>0</v>
      </c>
      <c r="E625" s="49">
        <v>0</v>
      </c>
      <c r="F625" s="49">
        <v>0</v>
      </c>
      <c r="G625" s="49">
        <v>0</v>
      </c>
      <c r="H625" s="49">
        <v>0</v>
      </c>
      <c r="I625" s="49">
        <v>0</v>
      </c>
      <c r="J625" s="49">
        <v>0</v>
      </c>
      <c r="K625" s="49">
        <v>39.840000000000003</v>
      </c>
      <c r="L625" s="49">
        <v>22.31</v>
      </c>
      <c r="M625" s="49">
        <v>67.37</v>
      </c>
      <c r="N625" s="49">
        <v>28.89</v>
      </c>
      <c r="O625" s="49">
        <v>50.16</v>
      </c>
      <c r="P625" s="49">
        <v>55.07</v>
      </c>
      <c r="Q625" s="49">
        <v>32.159999999999997</v>
      </c>
      <c r="R625" s="49">
        <v>44.54</v>
      </c>
      <c r="S625" s="49">
        <v>0</v>
      </c>
    </row>
    <row r="626" spans="1:19" ht="18">
      <c r="A626" s="49">
        <v>3083</v>
      </c>
      <c r="B626" s="49" t="s">
        <v>1309</v>
      </c>
      <c r="C626" s="49">
        <v>14.32</v>
      </c>
      <c r="D626" s="49">
        <v>15.17</v>
      </c>
      <c r="E626" s="49">
        <v>33.700000000000003</v>
      </c>
      <c r="F626" s="49">
        <v>25.38</v>
      </c>
      <c r="G626" s="49">
        <v>13.19</v>
      </c>
      <c r="H626" s="49">
        <v>63.74</v>
      </c>
      <c r="I626" s="49">
        <v>0</v>
      </c>
      <c r="J626" s="49">
        <v>0</v>
      </c>
      <c r="K626" s="49">
        <v>0</v>
      </c>
      <c r="L626" s="49">
        <v>0</v>
      </c>
      <c r="M626" s="49">
        <v>0</v>
      </c>
      <c r="N626" s="49">
        <v>0</v>
      </c>
      <c r="O626" s="49">
        <v>51.57</v>
      </c>
      <c r="P626" s="49">
        <v>0</v>
      </c>
      <c r="Q626" s="49">
        <v>0</v>
      </c>
      <c r="R626" s="49">
        <v>0</v>
      </c>
      <c r="S626" s="49">
        <v>0</v>
      </c>
    </row>
    <row r="627" spans="1:19" ht="18">
      <c r="A627" s="49">
        <v>3085</v>
      </c>
      <c r="B627" s="49" t="s">
        <v>1310</v>
      </c>
      <c r="C627" s="49">
        <v>16.28</v>
      </c>
      <c r="D627" s="49">
        <v>25.22</v>
      </c>
      <c r="E627" s="49">
        <v>0</v>
      </c>
      <c r="F627" s="49">
        <v>0</v>
      </c>
      <c r="G627" s="49">
        <v>73</v>
      </c>
      <c r="H627" s="49">
        <v>0</v>
      </c>
      <c r="I627" s="49">
        <v>0</v>
      </c>
      <c r="J627" s="49">
        <v>0</v>
      </c>
      <c r="K627" s="49">
        <v>0</v>
      </c>
      <c r="L627" s="49">
        <v>0</v>
      </c>
      <c r="M627" s="49">
        <v>0</v>
      </c>
      <c r="N627" s="49">
        <v>0</v>
      </c>
      <c r="O627" s="49">
        <v>0</v>
      </c>
      <c r="P627" s="49">
        <v>0</v>
      </c>
      <c r="Q627" s="49">
        <v>0</v>
      </c>
      <c r="R627" s="49">
        <v>0</v>
      </c>
      <c r="S627" s="49">
        <v>0</v>
      </c>
    </row>
    <row r="628" spans="1:19" ht="18">
      <c r="A628" s="49">
        <v>3086</v>
      </c>
      <c r="B628" s="49" t="s">
        <v>1311</v>
      </c>
      <c r="C628" s="49">
        <v>0</v>
      </c>
      <c r="D628" s="49">
        <v>0</v>
      </c>
      <c r="E628" s="49">
        <v>0</v>
      </c>
      <c r="F628" s="49">
        <v>20.64</v>
      </c>
      <c r="G628" s="49">
        <v>11.32</v>
      </c>
      <c r="H628" s="49">
        <v>0</v>
      </c>
      <c r="I628" s="49">
        <v>0</v>
      </c>
      <c r="J628" s="49">
        <v>0</v>
      </c>
      <c r="K628" s="49">
        <v>0</v>
      </c>
      <c r="L628" s="49">
        <v>0</v>
      </c>
      <c r="M628" s="49">
        <v>0</v>
      </c>
      <c r="N628" s="49">
        <v>0</v>
      </c>
      <c r="O628" s="49">
        <v>0</v>
      </c>
      <c r="P628" s="49">
        <v>0</v>
      </c>
      <c r="Q628" s="49">
        <v>21.23</v>
      </c>
      <c r="R628" s="49">
        <v>50.79</v>
      </c>
      <c r="S628" s="49">
        <v>154.65</v>
      </c>
    </row>
    <row r="629" spans="1:19" ht="18">
      <c r="A629" s="49">
        <v>3088</v>
      </c>
      <c r="B629" s="49" t="s">
        <v>1312</v>
      </c>
      <c r="C629" s="49">
        <v>11.5</v>
      </c>
      <c r="D629" s="49">
        <v>5.63</v>
      </c>
      <c r="E629" s="49">
        <v>19.440000000000001</v>
      </c>
      <c r="F629" s="49">
        <v>14.24</v>
      </c>
      <c r="G629" s="49">
        <v>10.87</v>
      </c>
      <c r="H629" s="49">
        <v>13.92</v>
      </c>
      <c r="I629" s="49">
        <v>16.399999999999999</v>
      </c>
      <c r="J629" s="49">
        <v>17.309999999999999</v>
      </c>
      <c r="K629" s="49">
        <v>12.77</v>
      </c>
      <c r="L629" s="49">
        <v>12.02</v>
      </c>
      <c r="M629" s="49">
        <v>4.3600000000000003</v>
      </c>
      <c r="N629" s="49">
        <v>12.02</v>
      </c>
      <c r="O629" s="49">
        <v>9.0500000000000007</v>
      </c>
      <c r="P629" s="49">
        <v>13.45</v>
      </c>
      <c r="Q629" s="49">
        <v>12.49</v>
      </c>
      <c r="R629" s="49">
        <v>10.75</v>
      </c>
      <c r="S629" s="49">
        <v>11.62</v>
      </c>
    </row>
    <row r="630" spans="1:19" ht="18">
      <c r="A630" s="49">
        <v>3089</v>
      </c>
      <c r="B630" s="49" t="s">
        <v>1313</v>
      </c>
      <c r="C630" s="49">
        <v>0</v>
      </c>
      <c r="D630" s="49">
        <v>0</v>
      </c>
      <c r="E630" s="49">
        <v>0</v>
      </c>
      <c r="F630" s="49">
        <v>0</v>
      </c>
      <c r="G630" s="49">
        <v>23.07</v>
      </c>
      <c r="H630" s="49">
        <v>39.229999999999997</v>
      </c>
      <c r="I630" s="49">
        <v>0</v>
      </c>
      <c r="J630" s="49">
        <v>0</v>
      </c>
      <c r="K630" s="49">
        <v>0</v>
      </c>
      <c r="L630" s="49">
        <v>0</v>
      </c>
      <c r="M630" s="49">
        <v>0</v>
      </c>
      <c r="N630" s="49">
        <v>47.83</v>
      </c>
      <c r="O630" s="49">
        <v>0</v>
      </c>
      <c r="P630" s="49">
        <v>0</v>
      </c>
      <c r="Q630" s="49">
        <v>0</v>
      </c>
      <c r="R630" s="49">
        <v>0</v>
      </c>
      <c r="S630" s="49">
        <v>0</v>
      </c>
    </row>
    <row r="631" spans="1:19" ht="18">
      <c r="A631" s="49">
        <v>3090</v>
      </c>
      <c r="B631" s="49" t="s">
        <v>825</v>
      </c>
      <c r="C631" s="49">
        <v>0</v>
      </c>
      <c r="D631" s="49">
        <v>5.64</v>
      </c>
      <c r="E631" s="49">
        <v>13.62</v>
      </c>
      <c r="F631" s="49">
        <v>9.94</v>
      </c>
      <c r="G631" s="49">
        <v>10.4</v>
      </c>
      <c r="H631" s="49">
        <v>11.18</v>
      </c>
      <c r="I631" s="49">
        <v>12.45</v>
      </c>
      <c r="J631" s="49">
        <v>13.78</v>
      </c>
      <c r="K631" s="49">
        <v>8.4600000000000009</v>
      </c>
      <c r="L631" s="49">
        <v>10.84</v>
      </c>
      <c r="M631" s="49">
        <v>11.53</v>
      </c>
      <c r="N631" s="49">
        <v>6.27</v>
      </c>
      <c r="O631" s="49">
        <v>13.14</v>
      </c>
      <c r="P631" s="49">
        <v>16.25</v>
      </c>
      <c r="Q631" s="49">
        <v>12.19</v>
      </c>
      <c r="R631" s="49">
        <v>6.39</v>
      </c>
      <c r="S631" s="49">
        <v>16.739999999999998</v>
      </c>
    </row>
    <row r="632" spans="1:19" ht="18">
      <c r="A632" s="49">
        <v>3092</v>
      </c>
      <c r="B632" s="49" t="s">
        <v>826</v>
      </c>
      <c r="C632" s="49">
        <v>0</v>
      </c>
      <c r="D632" s="49">
        <v>0</v>
      </c>
      <c r="E632" s="49">
        <v>0</v>
      </c>
      <c r="F632" s="49">
        <v>18.739999999999998</v>
      </c>
      <c r="G632" s="49">
        <v>13.31</v>
      </c>
      <c r="H632" s="49">
        <v>461</v>
      </c>
      <c r="I632" s="49">
        <v>0</v>
      </c>
      <c r="J632" s="49">
        <v>23.97</v>
      </c>
      <c r="K632" s="49">
        <v>17.010000000000002</v>
      </c>
      <c r="L632" s="49">
        <v>9.6999999999999993</v>
      </c>
      <c r="M632" s="49">
        <v>9.07</v>
      </c>
      <c r="N632" s="49">
        <v>8.08</v>
      </c>
      <c r="O632" s="49">
        <v>9.34</v>
      </c>
      <c r="P632" s="49">
        <v>20.61</v>
      </c>
      <c r="Q632" s="49">
        <v>0</v>
      </c>
      <c r="R632" s="49">
        <v>22.12</v>
      </c>
      <c r="S632" s="49">
        <v>0</v>
      </c>
    </row>
    <row r="633" spans="1:19" ht="18">
      <c r="A633" s="49">
        <v>3093</v>
      </c>
      <c r="B633" s="49" t="s">
        <v>1314</v>
      </c>
      <c r="C633" s="49">
        <v>10.53</v>
      </c>
      <c r="D633" s="49">
        <v>4.66</v>
      </c>
      <c r="E633" s="49">
        <v>48.62</v>
      </c>
      <c r="F633" s="49">
        <v>9</v>
      </c>
      <c r="G633" s="49">
        <v>11.48</v>
      </c>
      <c r="H633" s="49">
        <v>16.25</v>
      </c>
      <c r="I633" s="49">
        <v>18.71</v>
      </c>
      <c r="J633" s="49">
        <v>17.78</v>
      </c>
      <c r="K633" s="49">
        <v>13.75</v>
      </c>
      <c r="L633" s="49">
        <v>9.8000000000000007</v>
      </c>
      <c r="M633" s="49">
        <v>37.14</v>
      </c>
      <c r="N633" s="49">
        <v>24.68</v>
      </c>
      <c r="O633" s="49">
        <v>13.06</v>
      </c>
      <c r="P633" s="49">
        <v>10.89</v>
      </c>
      <c r="Q633" s="49">
        <v>12.13</v>
      </c>
      <c r="R633" s="49">
        <v>8.58</v>
      </c>
      <c r="S633" s="49">
        <v>13.69</v>
      </c>
    </row>
    <row r="634" spans="1:19" ht="18">
      <c r="A634" s="49">
        <v>3094</v>
      </c>
      <c r="B634" s="49" t="s">
        <v>827</v>
      </c>
      <c r="C634" s="49">
        <v>62.86</v>
      </c>
      <c r="D634" s="49">
        <v>13.49</v>
      </c>
      <c r="E634" s="49">
        <v>38.53</v>
      </c>
      <c r="F634" s="49">
        <v>22.16</v>
      </c>
      <c r="G634" s="49">
        <v>31.47</v>
      </c>
      <c r="H634" s="49">
        <v>26.41</v>
      </c>
      <c r="I634" s="49">
        <v>28.33</v>
      </c>
      <c r="J634" s="49">
        <v>36.67</v>
      </c>
      <c r="K634" s="49">
        <v>26.57</v>
      </c>
      <c r="L634" s="49">
        <v>25.48</v>
      </c>
      <c r="M634" s="49">
        <v>32.85</v>
      </c>
      <c r="N634" s="49">
        <v>38.33</v>
      </c>
      <c r="O634" s="49">
        <v>50.41</v>
      </c>
      <c r="P634" s="49">
        <v>46.1</v>
      </c>
      <c r="Q634" s="49">
        <v>64.25</v>
      </c>
      <c r="R634" s="49">
        <v>26.15</v>
      </c>
      <c r="S634" s="49">
        <v>58.26</v>
      </c>
    </row>
    <row r="635" spans="1:19" ht="18">
      <c r="A635" s="49">
        <v>3095</v>
      </c>
      <c r="B635" s="49" t="s">
        <v>1315</v>
      </c>
      <c r="C635" s="49">
        <v>11.24</v>
      </c>
      <c r="D635" s="49">
        <v>0</v>
      </c>
      <c r="E635" s="49">
        <v>0</v>
      </c>
      <c r="F635" s="49">
        <v>0</v>
      </c>
      <c r="G635" s="49">
        <v>0</v>
      </c>
      <c r="H635" s="49">
        <v>0</v>
      </c>
      <c r="I635" s="49">
        <v>0</v>
      </c>
      <c r="J635" s="49">
        <v>0</v>
      </c>
      <c r="K635" s="49">
        <v>0</v>
      </c>
      <c r="L635" s="49">
        <v>0</v>
      </c>
      <c r="M635" s="49">
        <v>3.68</v>
      </c>
      <c r="N635" s="49">
        <v>3.43</v>
      </c>
      <c r="O635" s="49">
        <v>11.59</v>
      </c>
      <c r="P635" s="49">
        <v>0</v>
      </c>
      <c r="Q635" s="49">
        <v>0</v>
      </c>
      <c r="R635" s="49">
        <v>0</v>
      </c>
      <c r="S635" s="49">
        <v>0</v>
      </c>
    </row>
    <row r="636" spans="1:19" ht="18">
      <c r="A636" s="49">
        <v>3105</v>
      </c>
      <c r="B636" s="49" t="s">
        <v>1316</v>
      </c>
      <c r="C636" s="49">
        <v>0</v>
      </c>
      <c r="D636" s="49">
        <v>0</v>
      </c>
      <c r="E636" s="49">
        <v>0</v>
      </c>
      <c r="F636" s="49">
        <v>0</v>
      </c>
      <c r="G636" s="49">
        <v>19.34</v>
      </c>
      <c r="H636" s="49">
        <v>10.35</v>
      </c>
      <c r="I636" s="49">
        <v>11.06</v>
      </c>
      <c r="J636" s="49">
        <v>14.3</v>
      </c>
      <c r="K636" s="49">
        <v>11.71</v>
      </c>
      <c r="L636" s="49">
        <v>11.36</v>
      </c>
      <c r="M636" s="49">
        <v>38.19</v>
      </c>
      <c r="N636" s="49">
        <v>13.5</v>
      </c>
      <c r="O636" s="49">
        <v>36.979999999999997</v>
      </c>
      <c r="P636" s="49">
        <v>20.68</v>
      </c>
      <c r="Q636" s="49">
        <v>31.9</v>
      </c>
      <c r="R636" s="49">
        <v>15.85</v>
      </c>
      <c r="S636" s="49">
        <v>0</v>
      </c>
    </row>
    <row r="637" spans="1:19" ht="18">
      <c r="A637" s="49">
        <v>3114</v>
      </c>
      <c r="B637" s="49" t="s">
        <v>1317</v>
      </c>
      <c r="C637" s="49">
        <v>8.1</v>
      </c>
      <c r="D637" s="49">
        <v>5.09</v>
      </c>
      <c r="E637" s="49">
        <v>677.5</v>
      </c>
      <c r="F637" s="49">
        <v>0</v>
      </c>
      <c r="G637" s="49">
        <v>53.48</v>
      </c>
      <c r="H637" s="49">
        <v>16.47</v>
      </c>
      <c r="I637" s="49">
        <v>20.25</v>
      </c>
      <c r="J637" s="49">
        <v>16.52</v>
      </c>
      <c r="K637" s="49">
        <v>8.61</v>
      </c>
      <c r="L637" s="49">
        <v>0</v>
      </c>
      <c r="M637" s="49">
        <v>10.86</v>
      </c>
      <c r="N637" s="49">
        <v>9.23</v>
      </c>
      <c r="O637" s="49">
        <v>10.029999999999999</v>
      </c>
      <c r="P637" s="49">
        <v>16.12</v>
      </c>
      <c r="Q637" s="49">
        <v>12.15</v>
      </c>
      <c r="R637" s="49">
        <v>6.13</v>
      </c>
      <c r="S637" s="49">
        <v>17.73</v>
      </c>
    </row>
    <row r="638" spans="1:19" ht="18">
      <c r="A638" s="49">
        <v>3115</v>
      </c>
      <c r="B638" s="49" t="s">
        <v>1318</v>
      </c>
      <c r="C638" s="49">
        <v>70.790000000000006</v>
      </c>
      <c r="D638" s="49">
        <v>0</v>
      </c>
      <c r="E638" s="49">
        <v>0</v>
      </c>
      <c r="F638" s="49">
        <v>0</v>
      </c>
      <c r="G638" s="49">
        <v>148.57</v>
      </c>
      <c r="H638" s="49">
        <v>0</v>
      </c>
      <c r="I638" s="49">
        <v>17.649999999999999</v>
      </c>
      <c r="J638" s="49">
        <v>25.44</v>
      </c>
      <c r="K638" s="49">
        <v>1390</v>
      </c>
      <c r="L638" s="49">
        <v>0</v>
      </c>
      <c r="M638" s="49">
        <v>32.57</v>
      </c>
      <c r="N638" s="49">
        <v>0</v>
      </c>
      <c r="O638" s="49">
        <v>0</v>
      </c>
      <c r="P638" s="49">
        <v>0</v>
      </c>
      <c r="Q638" s="49">
        <v>0</v>
      </c>
      <c r="R638" s="49">
        <v>0</v>
      </c>
      <c r="S638" s="49">
        <v>0</v>
      </c>
    </row>
    <row r="639" spans="1:19" ht="18">
      <c r="A639" s="49">
        <v>3118</v>
      </c>
      <c r="B639" s="49" t="s">
        <v>1319</v>
      </c>
      <c r="C639" s="49">
        <v>0</v>
      </c>
      <c r="D639" s="49">
        <v>10.93</v>
      </c>
      <c r="E639" s="49">
        <v>26.77</v>
      </c>
      <c r="F639" s="49">
        <v>21</v>
      </c>
      <c r="G639" s="49">
        <v>15.59</v>
      </c>
      <c r="H639" s="49">
        <v>22.75</v>
      </c>
      <c r="I639" s="49">
        <v>20.329999999999998</v>
      </c>
      <c r="J639" s="49">
        <v>15.32</v>
      </c>
      <c r="K639" s="49">
        <v>14.98</v>
      </c>
      <c r="L639" s="49">
        <v>16.2</v>
      </c>
      <c r="M639" s="49">
        <v>14.55</v>
      </c>
      <c r="N639" s="49">
        <v>19.79</v>
      </c>
      <c r="O639" s="49">
        <v>18.62</v>
      </c>
      <c r="P639" s="49">
        <v>19.32</v>
      </c>
      <c r="Q639" s="49">
        <v>13.19</v>
      </c>
      <c r="R639" s="49">
        <v>15.8</v>
      </c>
      <c r="S639" s="49">
        <v>16.46</v>
      </c>
    </row>
    <row r="640" spans="1:19" ht="18">
      <c r="A640" s="49">
        <v>3122</v>
      </c>
      <c r="B640" s="49" t="s">
        <v>1320</v>
      </c>
      <c r="C640" s="49">
        <v>0</v>
      </c>
      <c r="D640" s="49">
        <v>0</v>
      </c>
      <c r="E640" s="49">
        <v>0</v>
      </c>
      <c r="F640" s="49">
        <v>0</v>
      </c>
      <c r="G640" s="49">
        <v>0</v>
      </c>
      <c r="H640" s="49">
        <v>0</v>
      </c>
      <c r="I640" s="49">
        <v>0</v>
      </c>
      <c r="J640" s="49">
        <v>0</v>
      </c>
      <c r="K640" s="49">
        <v>15.34</v>
      </c>
      <c r="L640" s="49">
        <v>19.75</v>
      </c>
      <c r="M640" s="49">
        <v>0</v>
      </c>
      <c r="N640" s="49">
        <v>0</v>
      </c>
      <c r="O640" s="49">
        <v>0</v>
      </c>
      <c r="P640" s="49">
        <v>0</v>
      </c>
      <c r="Q640" s="49">
        <v>25.11</v>
      </c>
      <c r="R640" s="49">
        <v>12.78</v>
      </c>
      <c r="S640" s="49">
        <v>0</v>
      </c>
    </row>
    <row r="641" spans="1:19" ht="18">
      <c r="A641" s="49">
        <v>3128</v>
      </c>
      <c r="B641" s="49" t="s">
        <v>1321</v>
      </c>
      <c r="C641" s="49">
        <v>12.11</v>
      </c>
      <c r="D641" s="49">
        <v>6.97</v>
      </c>
      <c r="E641" s="49">
        <v>26.43</v>
      </c>
      <c r="F641" s="49">
        <v>22.69</v>
      </c>
      <c r="G641" s="49">
        <v>0</v>
      </c>
      <c r="H641" s="49">
        <v>0</v>
      </c>
      <c r="I641" s="49">
        <v>104.62</v>
      </c>
      <c r="J641" s="49">
        <v>0</v>
      </c>
      <c r="K641" s="49">
        <v>0</v>
      </c>
      <c r="L641" s="49">
        <v>49.13</v>
      </c>
      <c r="M641" s="49">
        <v>183.33</v>
      </c>
      <c r="N641" s="49">
        <v>24.56</v>
      </c>
      <c r="O641" s="49">
        <v>23.16</v>
      </c>
      <c r="P641" s="49">
        <v>29.62</v>
      </c>
      <c r="Q641" s="49">
        <v>34.630000000000003</v>
      </c>
      <c r="R641" s="49">
        <v>23.96</v>
      </c>
      <c r="S641" s="49">
        <v>25.59</v>
      </c>
    </row>
    <row r="642" spans="1:19" ht="18">
      <c r="A642" s="49">
        <v>3130</v>
      </c>
      <c r="B642" s="49" t="s">
        <v>828</v>
      </c>
      <c r="C642" s="49">
        <v>16.27</v>
      </c>
      <c r="D642" s="49">
        <v>8.4499999999999993</v>
      </c>
      <c r="E642" s="49">
        <v>17.09</v>
      </c>
      <c r="F642" s="49">
        <v>16.96</v>
      </c>
      <c r="G642" s="49">
        <v>11.42</v>
      </c>
      <c r="H642" s="49">
        <v>16.670000000000002</v>
      </c>
      <c r="I642" s="49">
        <v>15.62</v>
      </c>
      <c r="J642" s="49">
        <v>18.190000000000001</v>
      </c>
      <c r="K642" s="49">
        <v>14.11</v>
      </c>
      <c r="L642" s="49">
        <v>10.92</v>
      </c>
      <c r="M642" s="49">
        <v>18.25</v>
      </c>
      <c r="N642" s="49">
        <v>17.16</v>
      </c>
      <c r="O642" s="49">
        <v>19.34</v>
      </c>
      <c r="P642" s="49">
        <v>20.61</v>
      </c>
      <c r="Q642" s="49">
        <v>17</v>
      </c>
      <c r="R642" s="49">
        <v>14.49</v>
      </c>
      <c r="S642" s="49">
        <v>15.94</v>
      </c>
    </row>
    <row r="643" spans="1:19" ht="18">
      <c r="A643" s="49">
        <v>3131</v>
      </c>
      <c r="B643" s="49" t="s">
        <v>1322</v>
      </c>
      <c r="C643" s="49">
        <v>0</v>
      </c>
      <c r="D643" s="49">
        <v>0</v>
      </c>
      <c r="E643" s="49">
        <v>0</v>
      </c>
      <c r="F643" s="49">
        <v>0</v>
      </c>
      <c r="G643" s="49">
        <v>6.83</v>
      </c>
      <c r="H643" s="49">
        <v>15.25</v>
      </c>
      <c r="I643" s="49">
        <v>10.59</v>
      </c>
      <c r="J643" s="49">
        <v>15.3</v>
      </c>
      <c r="K643" s="49">
        <v>14.31</v>
      </c>
      <c r="L643" s="49">
        <v>12.14</v>
      </c>
      <c r="M643" s="49">
        <v>8.58</v>
      </c>
      <c r="N643" s="49">
        <v>10.62</v>
      </c>
      <c r="O643" s="49">
        <v>28.36</v>
      </c>
      <c r="P643" s="49">
        <v>31.1</v>
      </c>
      <c r="Q643" s="49">
        <v>20.440000000000001</v>
      </c>
      <c r="R643" s="49">
        <v>8.14</v>
      </c>
      <c r="S643" s="49">
        <v>30.18</v>
      </c>
    </row>
    <row r="644" spans="1:19" ht="18">
      <c r="A644" s="49">
        <v>3138</v>
      </c>
      <c r="B644" s="49" t="s">
        <v>829</v>
      </c>
      <c r="C644" s="49">
        <v>0</v>
      </c>
      <c r="D644" s="49">
        <v>0</v>
      </c>
      <c r="E644" s="49">
        <v>0</v>
      </c>
      <c r="F644" s="49">
        <v>0</v>
      </c>
      <c r="G644" s="49">
        <v>0</v>
      </c>
      <c r="H644" s="49">
        <v>0</v>
      </c>
      <c r="I644" s="49">
        <v>0</v>
      </c>
      <c r="J644" s="49">
        <v>0</v>
      </c>
      <c r="K644" s="49">
        <v>0</v>
      </c>
      <c r="L644" s="49">
        <v>0</v>
      </c>
      <c r="M644" s="49">
        <v>0</v>
      </c>
      <c r="N644" s="49">
        <v>0</v>
      </c>
      <c r="O644" s="49">
        <v>0</v>
      </c>
      <c r="P644" s="49">
        <v>73.709999999999994</v>
      </c>
      <c r="Q644" s="49">
        <v>52.81</v>
      </c>
      <c r="R644" s="49">
        <v>25.14</v>
      </c>
      <c r="S644" s="49">
        <v>21.73</v>
      </c>
    </row>
    <row r="645" spans="1:19" ht="18">
      <c r="A645" s="49">
        <v>3141</v>
      </c>
      <c r="B645" s="49" t="s">
        <v>1323</v>
      </c>
      <c r="C645" s="49">
        <v>0</v>
      </c>
      <c r="D645" s="49">
        <v>0</v>
      </c>
      <c r="E645" s="49">
        <v>0</v>
      </c>
      <c r="F645" s="49">
        <v>0</v>
      </c>
      <c r="G645" s="49">
        <v>0</v>
      </c>
      <c r="H645" s="49">
        <v>0</v>
      </c>
      <c r="I645" s="49">
        <v>0</v>
      </c>
      <c r="J645" s="49">
        <v>26.15</v>
      </c>
      <c r="K645" s="49">
        <v>24.86</v>
      </c>
      <c r="L645" s="49">
        <v>18.22</v>
      </c>
      <c r="M645" s="49">
        <v>30.63</v>
      </c>
      <c r="N645" s="49">
        <v>12.97</v>
      </c>
      <c r="O645" s="49">
        <v>19.55</v>
      </c>
      <c r="P645" s="49">
        <v>36.450000000000003</v>
      </c>
      <c r="Q645" s="49">
        <v>37.89</v>
      </c>
      <c r="R645" s="49">
        <v>7.2</v>
      </c>
      <c r="S645" s="49">
        <v>70.92</v>
      </c>
    </row>
    <row r="646" spans="1:19" ht="18">
      <c r="A646" s="49">
        <v>3147</v>
      </c>
      <c r="B646" s="49" t="s">
        <v>1324</v>
      </c>
      <c r="C646" s="49">
        <v>0</v>
      </c>
      <c r="D646" s="49">
        <v>0</v>
      </c>
      <c r="E646" s="49">
        <v>0</v>
      </c>
      <c r="F646" s="49">
        <v>0</v>
      </c>
      <c r="G646" s="49">
        <v>0</v>
      </c>
      <c r="H646" s="49">
        <v>0</v>
      </c>
      <c r="I646" s="49">
        <v>0</v>
      </c>
      <c r="J646" s="49">
        <v>0</v>
      </c>
      <c r="K646" s="49">
        <v>0</v>
      </c>
      <c r="L646" s="49">
        <v>0</v>
      </c>
      <c r="M646" s="49">
        <v>0</v>
      </c>
      <c r="N646" s="49">
        <v>8.33</v>
      </c>
      <c r="O646" s="49">
        <v>10.56</v>
      </c>
      <c r="P646" s="49">
        <v>12.35</v>
      </c>
      <c r="Q646" s="49">
        <v>9.77</v>
      </c>
      <c r="R646" s="49">
        <v>7.72</v>
      </c>
      <c r="S646" s="49">
        <v>13.92</v>
      </c>
    </row>
    <row r="647" spans="1:19" ht="18">
      <c r="A647" s="49">
        <v>3149</v>
      </c>
      <c r="B647" s="49" t="s">
        <v>830</v>
      </c>
      <c r="C647" s="49">
        <v>0</v>
      </c>
      <c r="D647" s="49">
        <v>0</v>
      </c>
      <c r="E647" s="49">
        <v>0</v>
      </c>
      <c r="F647" s="49">
        <v>0</v>
      </c>
      <c r="G647" s="49">
        <v>16.28</v>
      </c>
      <c r="H647" s="49">
        <v>34.5</v>
      </c>
      <c r="I647" s="49">
        <v>0</v>
      </c>
      <c r="J647" s="49">
        <v>0</v>
      </c>
      <c r="K647" s="49">
        <v>0</v>
      </c>
      <c r="L647" s="49">
        <v>0</v>
      </c>
      <c r="M647" s="49">
        <v>0</v>
      </c>
      <c r="N647" s="49">
        <v>0</v>
      </c>
      <c r="O647" s="49">
        <v>0</v>
      </c>
      <c r="P647" s="49">
        <v>0</v>
      </c>
      <c r="Q647" s="49">
        <v>0</v>
      </c>
      <c r="R647" s="49">
        <v>0</v>
      </c>
      <c r="S647" s="49">
        <v>0</v>
      </c>
    </row>
    <row r="648" spans="1:19" ht="18">
      <c r="A648" s="49">
        <v>3152</v>
      </c>
      <c r="B648" s="49" t="s">
        <v>1325</v>
      </c>
      <c r="C648" s="49">
        <v>0</v>
      </c>
      <c r="D648" s="49">
        <v>7.93</v>
      </c>
      <c r="E648" s="49">
        <v>32.299999999999997</v>
      </c>
      <c r="F648" s="49">
        <v>13.27</v>
      </c>
      <c r="G648" s="49">
        <v>12.82</v>
      </c>
      <c r="H648" s="49">
        <v>17.36</v>
      </c>
      <c r="I648" s="49">
        <v>25.6</v>
      </c>
      <c r="J648" s="49">
        <v>19.239999999999998</v>
      </c>
      <c r="K648" s="49">
        <v>21.84</v>
      </c>
      <c r="L648" s="49">
        <v>20.94</v>
      </c>
      <c r="M648" s="49">
        <v>31.15</v>
      </c>
      <c r="N648" s="49">
        <v>22.83</v>
      </c>
      <c r="O648" s="49">
        <v>34.92</v>
      </c>
      <c r="P648" s="49">
        <v>47.75</v>
      </c>
      <c r="Q648" s="49">
        <v>20.81</v>
      </c>
      <c r="R648" s="49">
        <v>36.65</v>
      </c>
      <c r="S648" s="49">
        <v>70.61</v>
      </c>
    </row>
    <row r="649" spans="1:19" ht="18">
      <c r="A649" s="49">
        <v>3162</v>
      </c>
      <c r="B649" s="49" t="s">
        <v>1326</v>
      </c>
      <c r="C649" s="49">
        <v>18.64</v>
      </c>
      <c r="D649" s="49">
        <v>8.01</v>
      </c>
      <c r="E649" s="49">
        <v>36.94</v>
      </c>
      <c r="F649" s="49">
        <v>23.27</v>
      </c>
      <c r="G649" s="49">
        <v>29.71</v>
      </c>
      <c r="H649" s="49">
        <v>497.5</v>
      </c>
      <c r="I649" s="49">
        <v>0</v>
      </c>
      <c r="J649" s="49">
        <v>0</v>
      </c>
      <c r="K649" s="49">
        <v>0</v>
      </c>
      <c r="L649" s="49">
        <v>0</v>
      </c>
      <c r="M649" s="49">
        <v>0</v>
      </c>
      <c r="N649" s="49">
        <v>0</v>
      </c>
      <c r="O649" s="49">
        <v>0</v>
      </c>
      <c r="P649" s="49">
        <v>0</v>
      </c>
      <c r="Q649" s="49">
        <v>63.01</v>
      </c>
      <c r="R649" s="49">
        <v>0</v>
      </c>
      <c r="S649" s="49">
        <v>84.58</v>
      </c>
    </row>
    <row r="650" spans="1:19" ht="18">
      <c r="A650" s="49">
        <v>3163</v>
      </c>
      <c r="B650" s="49" t="s">
        <v>1327</v>
      </c>
      <c r="C650" s="49">
        <v>0</v>
      </c>
      <c r="D650" s="49">
        <v>0</v>
      </c>
      <c r="E650" s="49">
        <v>0</v>
      </c>
      <c r="F650" s="49">
        <v>0</v>
      </c>
      <c r="G650" s="49">
        <v>0</v>
      </c>
      <c r="H650" s="49">
        <v>15.49</v>
      </c>
      <c r="I650" s="49">
        <v>21.61</v>
      </c>
      <c r="J650" s="49">
        <v>15.94</v>
      </c>
      <c r="K650" s="49">
        <v>0</v>
      </c>
      <c r="L650" s="49">
        <v>21.12</v>
      </c>
      <c r="M650" s="49">
        <v>51.06</v>
      </c>
      <c r="N650" s="49">
        <v>86.48</v>
      </c>
      <c r="O650" s="49">
        <v>33.46</v>
      </c>
      <c r="P650" s="49">
        <v>15.63</v>
      </c>
      <c r="Q650" s="49">
        <v>62.76</v>
      </c>
      <c r="R650" s="49">
        <v>8.58</v>
      </c>
      <c r="S650" s="49">
        <v>15.29</v>
      </c>
    </row>
    <row r="651" spans="1:19" ht="18">
      <c r="A651" s="49">
        <v>3164</v>
      </c>
      <c r="B651" s="49" t="s">
        <v>831</v>
      </c>
      <c r="C651" s="49">
        <v>0</v>
      </c>
      <c r="D651" s="49">
        <v>6.53</v>
      </c>
      <c r="E651" s="49">
        <v>56.44</v>
      </c>
      <c r="F651" s="49">
        <v>32.25</v>
      </c>
      <c r="G651" s="49">
        <v>25.54</v>
      </c>
      <c r="H651" s="49">
        <v>67.17</v>
      </c>
      <c r="I651" s="49">
        <v>52.1</v>
      </c>
      <c r="J651" s="49">
        <v>0</v>
      </c>
      <c r="K651" s="49">
        <v>0</v>
      </c>
      <c r="L651" s="49">
        <v>0</v>
      </c>
      <c r="M651" s="49">
        <v>0</v>
      </c>
      <c r="N651" s="49">
        <v>20.23</v>
      </c>
      <c r="O651" s="49">
        <v>25.67</v>
      </c>
      <c r="P651" s="49">
        <v>39.119999999999997</v>
      </c>
      <c r="Q651" s="49">
        <v>27.36</v>
      </c>
      <c r="R651" s="49">
        <v>23.47</v>
      </c>
      <c r="S651" s="49">
        <v>44.11</v>
      </c>
    </row>
    <row r="652" spans="1:19" ht="18">
      <c r="A652" s="49">
        <v>3167</v>
      </c>
      <c r="B652" s="49" t="s">
        <v>832</v>
      </c>
      <c r="C652" s="49">
        <v>0</v>
      </c>
      <c r="D652" s="49">
        <v>0</v>
      </c>
      <c r="E652" s="49">
        <v>0</v>
      </c>
      <c r="F652" s="49">
        <v>0</v>
      </c>
      <c r="G652" s="49">
        <v>0</v>
      </c>
      <c r="H652" s="49">
        <v>0</v>
      </c>
      <c r="I652" s="49">
        <v>30.76</v>
      </c>
      <c r="J652" s="49">
        <v>14.3</v>
      </c>
      <c r="K652" s="49">
        <v>7.21</v>
      </c>
      <c r="L652" s="49">
        <v>24.25</v>
      </c>
      <c r="M652" s="49">
        <v>13.88</v>
      </c>
      <c r="N652" s="49">
        <v>7</v>
      </c>
      <c r="O652" s="49">
        <v>16.64</v>
      </c>
      <c r="P652" s="49">
        <v>21.14</v>
      </c>
      <c r="Q652" s="49">
        <v>12.91</v>
      </c>
      <c r="R652" s="49">
        <v>7.98</v>
      </c>
      <c r="S652" s="49">
        <v>0</v>
      </c>
    </row>
    <row r="653" spans="1:19" ht="18">
      <c r="A653" s="49">
        <v>3169</v>
      </c>
      <c r="B653" s="49" t="s">
        <v>1328</v>
      </c>
      <c r="C653" s="49">
        <v>0</v>
      </c>
      <c r="D653" s="49">
        <v>0</v>
      </c>
      <c r="E653" s="49">
        <v>36.229999999999997</v>
      </c>
      <c r="F653" s="49">
        <v>15.08</v>
      </c>
      <c r="G653" s="49">
        <v>12.99</v>
      </c>
      <c r="H653" s="49">
        <v>11.13</v>
      </c>
      <c r="I653" s="49">
        <v>34.97</v>
      </c>
      <c r="J653" s="49">
        <v>27.03</v>
      </c>
      <c r="K653" s="49">
        <v>25.21</v>
      </c>
      <c r="L653" s="49">
        <v>17.02</v>
      </c>
      <c r="M653" s="49">
        <v>17.079999999999998</v>
      </c>
      <c r="N653" s="49">
        <v>16.100000000000001</v>
      </c>
      <c r="O653" s="49">
        <v>13.65</v>
      </c>
      <c r="P653" s="49">
        <v>22.05</v>
      </c>
      <c r="Q653" s="49">
        <v>53.89</v>
      </c>
      <c r="R653" s="49">
        <v>13.77</v>
      </c>
      <c r="S653" s="49">
        <v>32.840000000000003</v>
      </c>
    </row>
    <row r="654" spans="1:19" ht="18">
      <c r="A654" s="49">
        <v>3171</v>
      </c>
      <c r="B654" s="49" t="s">
        <v>1329</v>
      </c>
      <c r="C654" s="49">
        <v>20.38</v>
      </c>
      <c r="D654" s="49">
        <v>47</v>
      </c>
      <c r="E654" s="49">
        <v>96.54</v>
      </c>
      <c r="F654" s="49">
        <v>0</v>
      </c>
      <c r="G654" s="49">
        <v>0</v>
      </c>
      <c r="H654" s="49">
        <v>0</v>
      </c>
      <c r="I654" s="49">
        <v>16.57</v>
      </c>
      <c r="J654" s="49">
        <v>18.600000000000001</v>
      </c>
      <c r="K654" s="49">
        <v>14.15</v>
      </c>
      <c r="L654" s="49">
        <v>15.48</v>
      </c>
      <c r="M654" s="49">
        <v>16.829999999999998</v>
      </c>
      <c r="N654" s="49">
        <v>10.92</v>
      </c>
      <c r="O654" s="49">
        <v>9.3000000000000007</v>
      </c>
      <c r="P654" s="49">
        <v>10.09</v>
      </c>
      <c r="Q654" s="49">
        <v>13.04</v>
      </c>
      <c r="R654" s="49">
        <v>12.5</v>
      </c>
      <c r="S654" s="49">
        <v>9.31</v>
      </c>
    </row>
    <row r="655" spans="1:19" ht="18">
      <c r="A655" s="49">
        <v>3176</v>
      </c>
      <c r="B655" s="49" t="s">
        <v>1330</v>
      </c>
      <c r="C655" s="49">
        <v>0</v>
      </c>
      <c r="D655" s="49">
        <v>0</v>
      </c>
      <c r="E655" s="49">
        <v>0</v>
      </c>
      <c r="F655" s="49">
        <v>0</v>
      </c>
      <c r="G655" s="49">
        <v>0</v>
      </c>
      <c r="H655" s="49">
        <v>0</v>
      </c>
      <c r="I655" s="49">
        <v>136.30000000000001</v>
      </c>
      <c r="J655" s="49">
        <v>0</v>
      </c>
      <c r="K655" s="49">
        <v>0</v>
      </c>
      <c r="L655" s="49">
        <v>0</v>
      </c>
      <c r="M655" s="49">
        <v>0</v>
      </c>
      <c r="N655" s="49">
        <v>0</v>
      </c>
      <c r="O655" s="49">
        <v>0</v>
      </c>
      <c r="P655" s="49">
        <v>0</v>
      </c>
      <c r="Q655" s="49">
        <v>0</v>
      </c>
      <c r="R655" s="49">
        <v>0</v>
      </c>
      <c r="S655" s="49">
        <v>0</v>
      </c>
    </row>
    <row r="656" spans="1:19" ht="18">
      <c r="A656" s="49">
        <v>3178</v>
      </c>
      <c r="B656" s="49" t="s">
        <v>1331</v>
      </c>
      <c r="C656" s="49">
        <v>0</v>
      </c>
      <c r="D656" s="49">
        <v>0</v>
      </c>
      <c r="E656" s="49">
        <v>0</v>
      </c>
      <c r="F656" s="49">
        <v>0</v>
      </c>
      <c r="G656" s="49">
        <v>0</v>
      </c>
      <c r="H656" s="49">
        <v>0</v>
      </c>
      <c r="I656" s="49">
        <v>0</v>
      </c>
      <c r="J656" s="49">
        <v>0</v>
      </c>
      <c r="K656" s="49">
        <v>0</v>
      </c>
      <c r="L656" s="49">
        <v>0</v>
      </c>
      <c r="M656" s="49">
        <v>0</v>
      </c>
      <c r="N656" s="49">
        <v>15.71</v>
      </c>
      <c r="O656" s="49">
        <v>24.26</v>
      </c>
      <c r="P656" s="49">
        <v>23.32</v>
      </c>
      <c r="Q656" s="49">
        <v>41.69</v>
      </c>
      <c r="R656" s="49">
        <v>13.8</v>
      </c>
      <c r="S656" s="49">
        <v>20.88</v>
      </c>
    </row>
    <row r="657" spans="1:19" ht="18">
      <c r="A657" s="49">
        <v>3188</v>
      </c>
      <c r="B657" s="49" t="s">
        <v>1332</v>
      </c>
      <c r="C657" s="49">
        <v>21.55</v>
      </c>
      <c r="D657" s="49">
        <v>13.68</v>
      </c>
      <c r="E657" s="49">
        <v>0</v>
      </c>
      <c r="F657" s="49">
        <v>0</v>
      </c>
      <c r="G657" s="49">
        <v>0</v>
      </c>
      <c r="H657" s="49">
        <v>0</v>
      </c>
      <c r="I657" s="49">
        <v>0</v>
      </c>
      <c r="J657" s="49">
        <v>0</v>
      </c>
      <c r="K657" s="49">
        <v>0</v>
      </c>
      <c r="L657" s="49">
        <v>0</v>
      </c>
      <c r="M657" s="49">
        <v>45.25</v>
      </c>
      <c r="N657" s="49">
        <v>21</v>
      </c>
      <c r="O657" s="49">
        <v>8.8000000000000007</v>
      </c>
      <c r="P657" s="49">
        <v>37.24</v>
      </c>
      <c r="Q657" s="49">
        <v>9.3699999999999992</v>
      </c>
      <c r="R657" s="49">
        <v>0</v>
      </c>
      <c r="S657" s="49">
        <v>22.36</v>
      </c>
    </row>
    <row r="658" spans="1:19" ht="18">
      <c r="A658" s="49">
        <v>3189</v>
      </c>
      <c r="B658" s="49" t="s">
        <v>833</v>
      </c>
      <c r="C658" s="49">
        <v>12.78</v>
      </c>
      <c r="D658" s="49">
        <v>4.62</v>
      </c>
      <c r="E658" s="49">
        <v>21.14</v>
      </c>
      <c r="F658" s="49">
        <v>18.93</v>
      </c>
      <c r="G658" s="49">
        <v>12.99</v>
      </c>
      <c r="H658" s="49">
        <v>14.98</v>
      </c>
      <c r="I658" s="49">
        <v>13.81</v>
      </c>
      <c r="J658" s="49">
        <v>12.38</v>
      </c>
      <c r="K658" s="49">
        <v>11.51</v>
      </c>
      <c r="L658" s="49">
        <v>11.91</v>
      </c>
      <c r="M658" s="49">
        <v>25.09</v>
      </c>
      <c r="N658" s="49">
        <v>54.5</v>
      </c>
      <c r="O658" s="49">
        <v>0</v>
      </c>
      <c r="P658" s="49">
        <v>96.31</v>
      </c>
      <c r="Q658" s="49">
        <v>39.42</v>
      </c>
      <c r="R658" s="49">
        <v>6.62</v>
      </c>
      <c r="S658" s="49">
        <v>51.66</v>
      </c>
    </row>
    <row r="659" spans="1:19" ht="18">
      <c r="A659" s="49">
        <v>3191</v>
      </c>
      <c r="B659" s="49" t="s">
        <v>1333</v>
      </c>
      <c r="C659" s="49">
        <v>13.15</v>
      </c>
      <c r="D659" s="49">
        <v>0</v>
      </c>
      <c r="E659" s="49">
        <v>0</v>
      </c>
      <c r="F659" s="49">
        <v>12.45</v>
      </c>
      <c r="G659" s="49">
        <v>11.3</v>
      </c>
      <c r="H659" s="49">
        <v>0</v>
      </c>
      <c r="I659" s="49">
        <v>0</v>
      </c>
      <c r="J659" s="49">
        <v>11.29</v>
      </c>
      <c r="K659" s="49">
        <v>0</v>
      </c>
      <c r="L659" s="49">
        <v>0</v>
      </c>
      <c r="M659" s="49">
        <v>0</v>
      </c>
      <c r="N659" s="49">
        <v>67.27</v>
      </c>
      <c r="O659" s="49">
        <v>27.79</v>
      </c>
      <c r="P659" s="49">
        <v>0</v>
      </c>
      <c r="Q659" s="49">
        <v>0</v>
      </c>
      <c r="R659" s="49">
        <v>0</v>
      </c>
      <c r="S659" s="49">
        <v>0</v>
      </c>
    </row>
    <row r="660" spans="1:19" ht="18">
      <c r="A660" s="49">
        <v>3202</v>
      </c>
      <c r="B660" s="49" t="s">
        <v>1334</v>
      </c>
      <c r="C660" s="49">
        <v>14.64</v>
      </c>
      <c r="D660" s="49">
        <v>8.8800000000000008</v>
      </c>
      <c r="E660" s="49">
        <v>15.68</v>
      </c>
      <c r="F660" s="49">
        <v>17.3</v>
      </c>
      <c r="G660" s="49">
        <v>0</v>
      </c>
      <c r="H660" s="49">
        <v>0</v>
      </c>
      <c r="I660" s="49">
        <v>0</v>
      </c>
      <c r="J660" s="49">
        <v>0</v>
      </c>
      <c r="K660" s="49">
        <v>0</v>
      </c>
      <c r="L660" s="49">
        <v>50.8</v>
      </c>
      <c r="M660" s="49">
        <v>301.25</v>
      </c>
      <c r="N660" s="49">
        <v>0</v>
      </c>
      <c r="O660" s="49">
        <v>97.63</v>
      </c>
      <c r="P660" s="49">
        <v>0</v>
      </c>
      <c r="Q660" s="49">
        <v>0</v>
      </c>
      <c r="R660" s="49">
        <v>0</v>
      </c>
      <c r="S660" s="49">
        <v>0</v>
      </c>
    </row>
    <row r="661" spans="1:19" ht="18">
      <c r="A661" s="49">
        <v>3205</v>
      </c>
      <c r="B661" s="49" t="s">
        <v>1335</v>
      </c>
      <c r="C661" s="49">
        <v>0</v>
      </c>
      <c r="D661" s="49">
        <v>0</v>
      </c>
      <c r="E661" s="49">
        <v>0</v>
      </c>
      <c r="F661" s="49">
        <v>0</v>
      </c>
      <c r="G661" s="49">
        <v>0</v>
      </c>
      <c r="H661" s="49">
        <v>0</v>
      </c>
      <c r="I661" s="49">
        <v>0</v>
      </c>
      <c r="J661" s="49">
        <v>65.45</v>
      </c>
      <c r="K661" s="49">
        <v>44.96</v>
      </c>
      <c r="L661" s="49">
        <v>10.47</v>
      </c>
      <c r="M661" s="49">
        <v>0</v>
      </c>
      <c r="N661" s="49">
        <v>0</v>
      </c>
      <c r="O661" s="49">
        <v>0</v>
      </c>
      <c r="P661" s="49">
        <v>0</v>
      </c>
      <c r="Q661" s="49">
        <v>0</v>
      </c>
      <c r="R661" s="49">
        <v>0</v>
      </c>
      <c r="S661" s="49">
        <v>0</v>
      </c>
    </row>
    <row r="662" spans="1:19" ht="18">
      <c r="A662" s="49">
        <v>3206</v>
      </c>
      <c r="B662" s="49" t="s">
        <v>1336</v>
      </c>
      <c r="C662" s="49">
        <v>13.7</v>
      </c>
      <c r="D662" s="49">
        <v>8.49</v>
      </c>
      <c r="E662" s="49">
        <v>0</v>
      </c>
      <c r="F662" s="49">
        <v>17.07</v>
      </c>
      <c r="G662" s="49">
        <v>7.84</v>
      </c>
      <c r="H662" s="49">
        <v>11.68</v>
      </c>
      <c r="I662" s="49">
        <v>34.76</v>
      </c>
      <c r="J662" s="49">
        <v>17.36</v>
      </c>
      <c r="K662" s="49">
        <v>10.050000000000001</v>
      </c>
      <c r="L662" s="49">
        <v>21.95</v>
      </c>
      <c r="M662" s="49">
        <v>14.74</v>
      </c>
      <c r="N662" s="49">
        <v>12.78</v>
      </c>
      <c r="O662" s="49">
        <v>10.48</v>
      </c>
      <c r="P662" s="49">
        <v>12.65</v>
      </c>
      <c r="Q662" s="49">
        <v>11.44</v>
      </c>
      <c r="R662" s="49">
        <v>8.39</v>
      </c>
      <c r="S662" s="49">
        <v>9.4700000000000006</v>
      </c>
    </row>
    <row r="663" spans="1:19" ht="18">
      <c r="A663" s="49">
        <v>3207</v>
      </c>
      <c r="B663" s="49" t="s">
        <v>1337</v>
      </c>
      <c r="C663" s="49">
        <v>17.809999999999999</v>
      </c>
      <c r="D663" s="49">
        <v>0</v>
      </c>
      <c r="E663" s="49">
        <v>134.22999999999999</v>
      </c>
      <c r="F663" s="49">
        <v>11.35</v>
      </c>
      <c r="G663" s="49">
        <v>43.87</v>
      </c>
      <c r="H663" s="49">
        <v>0</v>
      </c>
      <c r="I663" s="49">
        <v>0</v>
      </c>
      <c r="J663" s="49">
        <v>0</v>
      </c>
      <c r="K663" s="49">
        <v>0</v>
      </c>
      <c r="L663" s="49">
        <v>0</v>
      </c>
      <c r="M663" s="49">
        <v>0</v>
      </c>
      <c r="N663" s="49">
        <v>0</v>
      </c>
      <c r="O663" s="49">
        <v>0</v>
      </c>
      <c r="P663" s="49">
        <v>0</v>
      </c>
      <c r="Q663" s="49">
        <v>55.85</v>
      </c>
      <c r="R663" s="49">
        <v>16.43</v>
      </c>
      <c r="S663" s="49">
        <v>27.4</v>
      </c>
    </row>
    <row r="664" spans="1:19" ht="18">
      <c r="A664" s="49">
        <v>3209</v>
      </c>
      <c r="B664" s="49" t="s">
        <v>834</v>
      </c>
      <c r="C664" s="49">
        <v>10.08</v>
      </c>
      <c r="D664" s="49">
        <v>4.79</v>
      </c>
      <c r="E664" s="49">
        <v>12.14</v>
      </c>
      <c r="F664" s="49">
        <v>11.59</v>
      </c>
      <c r="G664" s="49">
        <v>8.6999999999999993</v>
      </c>
      <c r="H664" s="49">
        <v>14.9</v>
      </c>
      <c r="I664" s="49">
        <v>16.2</v>
      </c>
      <c r="J664" s="49">
        <v>11.15</v>
      </c>
      <c r="K664" s="49">
        <v>8.77</v>
      </c>
      <c r="L664" s="49">
        <v>9.64</v>
      </c>
      <c r="M664" s="49">
        <v>13.96</v>
      </c>
      <c r="N664" s="49">
        <v>10.06</v>
      </c>
      <c r="O664" s="49">
        <v>14.49</v>
      </c>
      <c r="P664" s="49">
        <v>10.02</v>
      </c>
      <c r="Q664" s="49">
        <v>8.24</v>
      </c>
      <c r="R664" s="49">
        <v>6.92</v>
      </c>
      <c r="S664" s="49">
        <v>13.3</v>
      </c>
    </row>
    <row r="665" spans="1:19" ht="18">
      <c r="A665" s="49">
        <v>3211</v>
      </c>
      <c r="B665" s="49" t="s">
        <v>1338</v>
      </c>
      <c r="C665" s="49">
        <v>13.65</v>
      </c>
      <c r="D665" s="49">
        <v>5.24</v>
      </c>
      <c r="E665" s="49">
        <v>15.07</v>
      </c>
      <c r="F665" s="49">
        <v>9.3000000000000007</v>
      </c>
      <c r="G665" s="49">
        <v>11.93</v>
      </c>
      <c r="H665" s="49">
        <v>10.220000000000001</v>
      </c>
      <c r="I665" s="49">
        <v>14.61</v>
      </c>
      <c r="J665" s="49">
        <v>12.04</v>
      </c>
      <c r="K665" s="49">
        <v>10.39</v>
      </c>
      <c r="L665" s="49">
        <v>9.7100000000000009</v>
      </c>
      <c r="M665" s="49">
        <v>16.86</v>
      </c>
      <c r="N665" s="49">
        <v>11.28</v>
      </c>
      <c r="O665" s="49">
        <v>12.35</v>
      </c>
      <c r="P665" s="49">
        <v>11.71</v>
      </c>
      <c r="Q665" s="49">
        <v>16.559999999999999</v>
      </c>
      <c r="R665" s="49">
        <v>3.4</v>
      </c>
      <c r="S665" s="49">
        <v>18.89</v>
      </c>
    </row>
    <row r="666" spans="1:19" ht="18">
      <c r="A666" s="49">
        <v>3213</v>
      </c>
      <c r="B666" s="49" t="s">
        <v>1339</v>
      </c>
      <c r="C666" s="49">
        <v>14.48</v>
      </c>
      <c r="D666" s="49">
        <v>6.07</v>
      </c>
      <c r="E666" s="49">
        <v>13.09</v>
      </c>
      <c r="F666" s="49">
        <v>11.67</v>
      </c>
      <c r="G666" s="49">
        <v>9.14</v>
      </c>
      <c r="H666" s="49">
        <v>9.7200000000000006</v>
      </c>
      <c r="I666" s="49">
        <v>13.76</v>
      </c>
      <c r="J666" s="49">
        <v>11.75</v>
      </c>
      <c r="K666" s="49">
        <v>10.19</v>
      </c>
      <c r="L666" s="49">
        <v>11.93</v>
      </c>
      <c r="M666" s="49">
        <v>8.7200000000000006</v>
      </c>
      <c r="N666" s="49">
        <v>9.8000000000000007</v>
      </c>
      <c r="O666" s="49">
        <v>13.13</v>
      </c>
      <c r="P666" s="49">
        <v>9.6199999999999992</v>
      </c>
      <c r="Q666" s="49">
        <v>4.78</v>
      </c>
      <c r="R666" s="49">
        <v>16.73</v>
      </c>
      <c r="S666" s="49">
        <v>12.86</v>
      </c>
    </row>
    <row r="667" spans="1:19" ht="18">
      <c r="A667" s="49">
        <v>3217</v>
      </c>
      <c r="B667" s="49" t="s">
        <v>1340</v>
      </c>
      <c r="C667" s="49">
        <v>10.25</v>
      </c>
      <c r="D667" s="49">
        <v>6.38</v>
      </c>
      <c r="E667" s="49">
        <v>0</v>
      </c>
      <c r="F667" s="49">
        <v>8.4</v>
      </c>
      <c r="G667" s="49">
        <v>8.5</v>
      </c>
      <c r="H667" s="49">
        <v>13.35</v>
      </c>
      <c r="I667" s="49">
        <v>11.7</v>
      </c>
      <c r="J667" s="49">
        <v>13.42</v>
      </c>
      <c r="K667" s="49">
        <v>9.9600000000000009</v>
      </c>
      <c r="L667" s="49">
        <v>12.38</v>
      </c>
      <c r="M667" s="49">
        <v>10.69</v>
      </c>
      <c r="N667" s="49">
        <v>8.58</v>
      </c>
      <c r="O667" s="49">
        <v>14.96</v>
      </c>
      <c r="P667" s="49">
        <v>17.16</v>
      </c>
      <c r="Q667" s="49">
        <v>18.670000000000002</v>
      </c>
      <c r="R667" s="49">
        <v>10.7</v>
      </c>
      <c r="S667" s="49">
        <v>24.4</v>
      </c>
    </row>
    <row r="668" spans="1:19" ht="18">
      <c r="A668" s="49">
        <v>3218</v>
      </c>
      <c r="B668" s="49" t="s">
        <v>1341</v>
      </c>
      <c r="C668" s="49">
        <v>20.2</v>
      </c>
      <c r="D668" s="49">
        <v>40</v>
      </c>
      <c r="E668" s="49">
        <v>0</v>
      </c>
      <c r="F668" s="49">
        <v>0</v>
      </c>
      <c r="G668" s="49">
        <v>34.92</v>
      </c>
      <c r="H668" s="49">
        <v>0</v>
      </c>
      <c r="I668" s="49">
        <v>881.67</v>
      </c>
      <c r="J668" s="49">
        <v>18.03</v>
      </c>
      <c r="K668" s="49">
        <v>18.149999999999999</v>
      </c>
      <c r="L668" s="49">
        <v>24.26</v>
      </c>
      <c r="M668" s="49">
        <v>15.35</v>
      </c>
      <c r="N668" s="49">
        <v>13.31</v>
      </c>
      <c r="O668" s="49">
        <v>22.73</v>
      </c>
      <c r="P668" s="49">
        <v>43.14</v>
      </c>
      <c r="Q668" s="49">
        <v>40.03</v>
      </c>
      <c r="R668" s="49">
        <v>30.18</v>
      </c>
      <c r="S668" s="49">
        <v>22.67</v>
      </c>
    </row>
    <row r="669" spans="1:19" ht="18">
      <c r="A669" s="49">
        <v>3219</v>
      </c>
      <c r="B669" s="49" t="s">
        <v>1342</v>
      </c>
      <c r="C669" s="49">
        <v>15.02</v>
      </c>
      <c r="D669" s="49">
        <v>0</v>
      </c>
      <c r="E669" s="49">
        <v>0</v>
      </c>
      <c r="F669" s="49">
        <v>0</v>
      </c>
      <c r="G669" s="49">
        <v>0</v>
      </c>
      <c r="H669" s="49">
        <v>0</v>
      </c>
      <c r="I669" s="49">
        <v>0</v>
      </c>
      <c r="J669" s="49">
        <v>33.700000000000003</v>
      </c>
      <c r="K669" s="49">
        <v>0</v>
      </c>
      <c r="L669" s="49">
        <v>0</v>
      </c>
      <c r="M669" s="49">
        <v>580</v>
      </c>
      <c r="N669" s="49">
        <v>0</v>
      </c>
      <c r="O669" s="49">
        <v>0</v>
      </c>
      <c r="P669" s="49">
        <v>270.58999999999997</v>
      </c>
      <c r="Q669" s="49">
        <v>15.52</v>
      </c>
      <c r="R669" s="49">
        <v>19.68</v>
      </c>
      <c r="S669" s="49">
        <v>50.53</v>
      </c>
    </row>
    <row r="670" spans="1:19" ht="18">
      <c r="A670" s="49">
        <v>3221</v>
      </c>
      <c r="B670" s="49" t="s">
        <v>1343</v>
      </c>
      <c r="C670" s="49">
        <v>14.6</v>
      </c>
      <c r="D670" s="49">
        <v>4.1100000000000003</v>
      </c>
      <c r="E670" s="49">
        <v>0</v>
      </c>
      <c r="F670" s="49">
        <v>12.76</v>
      </c>
      <c r="G670" s="49">
        <v>0</v>
      </c>
      <c r="H670" s="49">
        <v>0</v>
      </c>
      <c r="I670" s="49">
        <v>14.81</v>
      </c>
      <c r="J670" s="49">
        <v>15.95</v>
      </c>
      <c r="K670" s="49">
        <v>15.91</v>
      </c>
      <c r="L670" s="49">
        <v>16.55</v>
      </c>
      <c r="M670" s="49">
        <v>42.74</v>
      </c>
      <c r="N670" s="49">
        <v>26.85</v>
      </c>
      <c r="O670" s="49">
        <v>0</v>
      </c>
      <c r="P670" s="49">
        <v>0</v>
      </c>
      <c r="Q670" s="49">
        <v>38.24</v>
      </c>
      <c r="R670" s="49">
        <v>3.49</v>
      </c>
      <c r="S670" s="49">
        <v>0</v>
      </c>
    </row>
    <row r="671" spans="1:19" ht="18">
      <c r="A671" s="49">
        <v>3224</v>
      </c>
      <c r="B671" s="49" t="s">
        <v>1344</v>
      </c>
      <c r="C671" s="49">
        <v>11.9</v>
      </c>
      <c r="D671" s="49">
        <v>0</v>
      </c>
      <c r="E671" s="49">
        <v>0</v>
      </c>
      <c r="F671" s="49">
        <v>10.47</v>
      </c>
      <c r="G671" s="49">
        <v>0</v>
      </c>
      <c r="H671" s="49">
        <v>0</v>
      </c>
      <c r="I671" s="49">
        <v>0</v>
      </c>
      <c r="J671" s="49">
        <v>102.96</v>
      </c>
      <c r="K671" s="49">
        <v>157.62</v>
      </c>
      <c r="L671" s="49">
        <v>0</v>
      </c>
      <c r="M671" s="49">
        <v>0</v>
      </c>
      <c r="N671" s="49">
        <v>0</v>
      </c>
      <c r="O671" s="49">
        <v>0</v>
      </c>
      <c r="P671" s="49">
        <v>0</v>
      </c>
      <c r="Q671" s="49">
        <v>0</v>
      </c>
      <c r="R671" s="49">
        <v>215.79</v>
      </c>
      <c r="S671" s="49">
        <v>0</v>
      </c>
    </row>
    <row r="672" spans="1:19" ht="18">
      <c r="A672" s="49">
        <v>3226</v>
      </c>
      <c r="B672" s="49" t="s">
        <v>1345</v>
      </c>
      <c r="C672" s="49">
        <v>8.82</v>
      </c>
      <c r="D672" s="49">
        <v>0</v>
      </c>
      <c r="E672" s="49">
        <v>0</v>
      </c>
      <c r="F672" s="49">
        <v>0</v>
      </c>
      <c r="G672" s="49">
        <v>0</v>
      </c>
      <c r="H672" s="49">
        <v>0</v>
      </c>
      <c r="I672" s="49">
        <v>0</v>
      </c>
      <c r="J672" s="49">
        <v>35.69</v>
      </c>
      <c r="K672" s="49">
        <v>24.01</v>
      </c>
      <c r="L672" s="49">
        <v>26.5</v>
      </c>
      <c r="M672" s="49">
        <v>26.29</v>
      </c>
      <c r="N672" s="49">
        <v>12.95</v>
      </c>
      <c r="O672" s="49">
        <v>12.13</v>
      </c>
      <c r="P672" s="49">
        <v>15.78</v>
      </c>
      <c r="Q672" s="49">
        <v>16.57</v>
      </c>
      <c r="R672" s="49">
        <v>9.6300000000000008</v>
      </c>
      <c r="S672" s="49">
        <v>17.510000000000002</v>
      </c>
    </row>
    <row r="673" spans="1:19" ht="18">
      <c r="A673" s="49">
        <v>3227</v>
      </c>
      <c r="B673" s="49" t="s">
        <v>1346</v>
      </c>
      <c r="C673" s="49">
        <v>14.21</v>
      </c>
      <c r="D673" s="49">
        <v>9.91</v>
      </c>
      <c r="E673" s="49">
        <v>40</v>
      </c>
      <c r="F673" s="49">
        <v>19.940000000000001</v>
      </c>
      <c r="G673" s="49">
        <v>25.16</v>
      </c>
      <c r="H673" s="49">
        <v>21.8</v>
      </c>
      <c r="I673" s="49">
        <v>25.4</v>
      </c>
      <c r="J673" s="49">
        <v>24.4</v>
      </c>
      <c r="K673" s="49">
        <v>32.979999999999997</v>
      </c>
      <c r="L673" s="49">
        <v>56.78</v>
      </c>
      <c r="M673" s="49">
        <v>34.5</v>
      </c>
      <c r="N673" s="49">
        <v>12.69</v>
      </c>
      <c r="O673" s="49">
        <v>32.31</v>
      </c>
      <c r="P673" s="49">
        <v>20.38</v>
      </c>
      <c r="Q673" s="49">
        <v>11.45</v>
      </c>
      <c r="R673" s="49">
        <v>11.04</v>
      </c>
      <c r="S673" s="49">
        <v>49.04</v>
      </c>
    </row>
    <row r="674" spans="1:19" ht="18">
      <c r="A674" s="49">
        <v>3228</v>
      </c>
      <c r="B674" s="49" t="s">
        <v>1347</v>
      </c>
      <c r="C674" s="49">
        <v>35.65</v>
      </c>
      <c r="D674" s="49">
        <v>89.3</v>
      </c>
      <c r="E674" s="49">
        <v>0</v>
      </c>
      <c r="F674" s="49">
        <v>0</v>
      </c>
      <c r="G674" s="49">
        <v>0</v>
      </c>
      <c r="H674" s="49">
        <v>0</v>
      </c>
      <c r="I674" s="49">
        <v>0</v>
      </c>
      <c r="J674" s="49">
        <v>0</v>
      </c>
      <c r="K674" s="49">
        <v>0</v>
      </c>
      <c r="L674" s="49">
        <v>0</v>
      </c>
      <c r="M674" s="49">
        <v>0</v>
      </c>
      <c r="N674" s="49">
        <v>41.38</v>
      </c>
      <c r="O674" s="49">
        <v>0</v>
      </c>
      <c r="P674" s="49">
        <v>10625</v>
      </c>
      <c r="Q674" s="49">
        <v>130.22</v>
      </c>
      <c r="R674" s="49">
        <v>147.94999999999999</v>
      </c>
      <c r="S674" s="49">
        <v>0</v>
      </c>
    </row>
    <row r="675" spans="1:19" ht="18">
      <c r="A675" s="49">
        <v>3229</v>
      </c>
      <c r="B675" s="49" t="s">
        <v>835</v>
      </c>
      <c r="C675" s="49">
        <v>17.690000000000001</v>
      </c>
      <c r="D675" s="49">
        <v>6.01</v>
      </c>
      <c r="E675" s="49">
        <v>8.7799999999999994</v>
      </c>
      <c r="F675" s="49">
        <v>20.07</v>
      </c>
      <c r="G675" s="49">
        <v>31.74</v>
      </c>
      <c r="H675" s="49">
        <v>0</v>
      </c>
      <c r="I675" s="49">
        <v>0</v>
      </c>
      <c r="J675" s="49">
        <v>58.79</v>
      </c>
      <c r="K675" s="49">
        <v>0</v>
      </c>
      <c r="L675" s="49">
        <v>0</v>
      </c>
      <c r="M675" s="49">
        <v>0</v>
      </c>
      <c r="N675" s="49">
        <v>0</v>
      </c>
      <c r="O675" s="49">
        <v>0</v>
      </c>
      <c r="P675" s="49">
        <v>0</v>
      </c>
      <c r="Q675" s="49">
        <v>0</v>
      </c>
      <c r="R675" s="49">
        <v>0</v>
      </c>
      <c r="S675" s="49">
        <v>0</v>
      </c>
    </row>
    <row r="676" spans="1:19" ht="18">
      <c r="A676" s="49">
        <v>3230</v>
      </c>
      <c r="B676" s="49" t="s">
        <v>1348</v>
      </c>
      <c r="C676" s="49">
        <v>10.33</v>
      </c>
      <c r="D676" s="49">
        <v>5.0999999999999996</v>
      </c>
      <c r="E676" s="49">
        <v>0</v>
      </c>
      <c r="F676" s="49">
        <v>0</v>
      </c>
      <c r="G676" s="49">
        <v>0</v>
      </c>
      <c r="H676" s="49">
        <v>0</v>
      </c>
      <c r="I676" s="49">
        <v>0</v>
      </c>
      <c r="J676" s="49">
        <v>0</v>
      </c>
      <c r="K676" s="49">
        <v>0</v>
      </c>
      <c r="L676" s="49">
        <v>0</v>
      </c>
      <c r="M676" s="49">
        <v>0</v>
      </c>
      <c r="N676" s="49">
        <v>0</v>
      </c>
      <c r="O676" s="49">
        <v>0</v>
      </c>
      <c r="P676" s="49">
        <v>0</v>
      </c>
      <c r="Q676" s="49">
        <v>91.5</v>
      </c>
      <c r="R676" s="49">
        <v>0</v>
      </c>
      <c r="S676" s="49">
        <v>0</v>
      </c>
    </row>
    <row r="677" spans="1:19" ht="18">
      <c r="A677" s="49">
        <v>3231</v>
      </c>
      <c r="B677" s="49" t="s">
        <v>836</v>
      </c>
      <c r="C677" s="49">
        <v>15.23</v>
      </c>
      <c r="D677" s="49">
        <v>4.93</v>
      </c>
      <c r="E677" s="49">
        <v>15.15</v>
      </c>
      <c r="F677" s="49">
        <v>9.69</v>
      </c>
      <c r="G677" s="49">
        <v>8.16</v>
      </c>
      <c r="H677" s="49">
        <v>9.1199999999999992</v>
      </c>
      <c r="I677" s="49">
        <v>9.01</v>
      </c>
      <c r="J677" s="49">
        <v>17.940000000000001</v>
      </c>
      <c r="K677" s="49">
        <v>22.14</v>
      </c>
      <c r="L677" s="49">
        <v>45.36</v>
      </c>
      <c r="M677" s="49">
        <v>17.11</v>
      </c>
      <c r="N677" s="49">
        <v>12.24</v>
      </c>
      <c r="O677" s="49">
        <v>13.25</v>
      </c>
      <c r="P677" s="49">
        <v>9.39</v>
      </c>
      <c r="Q677" s="49">
        <v>11.17</v>
      </c>
      <c r="R677" s="49">
        <v>6.71</v>
      </c>
      <c r="S677" s="49">
        <v>23.15</v>
      </c>
    </row>
    <row r="678" spans="1:19" ht="18">
      <c r="A678" s="49">
        <v>3232</v>
      </c>
      <c r="B678" s="49" t="s">
        <v>1349</v>
      </c>
      <c r="C678" s="49">
        <v>24.42</v>
      </c>
      <c r="D678" s="49">
        <v>0</v>
      </c>
      <c r="E678" s="49">
        <v>0</v>
      </c>
      <c r="F678" s="49">
        <v>10.39</v>
      </c>
      <c r="G678" s="49">
        <v>53.21</v>
      </c>
      <c r="H678" s="49">
        <v>0</v>
      </c>
      <c r="I678" s="49">
        <v>70.290000000000006</v>
      </c>
      <c r="J678" s="49">
        <v>22.13</v>
      </c>
      <c r="K678" s="49">
        <v>27.19</v>
      </c>
      <c r="L678" s="49">
        <v>0</v>
      </c>
      <c r="M678" s="49">
        <v>157.88999999999999</v>
      </c>
      <c r="N678" s="49">
        <v>25.14</v>
      </c>
      <c r="O678" s="49">
        <v>0</v>
      </c>
      <c r="P678" s="49">
        <v>35.22</v>
      </c>
      <c r="Q678" s="49">
        <v>35.44</v>
      </c>
      <c r="R678" s="49">
        <v>68.41</v>
      </c>
      <c r="S678" s="49">
        <v>44.61</v>
      </c>
    </row>
    <row r="679" spans="1:19" ht="18">
      <c r="A679" s="49">
        <v>3234</v>
      </c>
      <c r="B679" s="49" t="s">
        <v>1350</v>
      </c>
      <c r="C679" s="49">
        <v>0</v>
      </c>
      <c r="D679" s="49">
        <v>0</v>
      </c>
      <c r="E679" s="49">
        <v>0</v>
      </c>
      <c r="F679" s="49">
        <v>0</v>
      </c>
      <c r="G679" s="49">
        <v>19.02</v>
      </c>
      <c r="H679" s="49">
        <v>12.67</v>
      </c>
      <c r="I679" s="49">
        <v>19.41</v>
      </c>
      <c r="J679" s="49">
        <v>16.66</v>
      </c>
      <c r="K679" s="49">
        <v>15.99</v>
      </c>
      <c r="L679" s="49">
        <v>6.49</v>
      </c>
      <c r="M679" s="49">
        <v>0</v>
      </c>
      <c r="N679" s="49">
        <v>0</v>
      </c>
      <c r="O679" s="49">
        <v>0</v>
      </c>
      <c r="P679" s="49">
        <v>0</v>
      </c>
      <c r="Q679" s="49">
        <v>0</v>
      </c>
      <c r="R679" s="49">
        <v>0</v>
      </c>
      <c r="S679" s="49">
        <v>0</v>
      </c>
    </row>
    <row r="680" spans="1:19" ht="18">
      <c r="A680" s="49">
        <v>3236</v>
      </c>
      <c r="B680" s="49" t="s">
        <v>1351</v>
      </c>
      <c r="C680" s="49">
        <v>17.47</v>
      </c>
      <c r="D680" s="49">
        <v>13.22</v>
      </c>
      <c r="E680" s="49">
        <v>0</v>
      </c>
      <c r="F680" s="49">
        <v>14.75</v>
      </c>
      <c r="G680" s="49">
        <v>16.91</v>
      </c>
      <c r="H680" s="49">
        <v>52.83</v>
      </c>
      <c r="I680" s="49">
        <v>0</v>
      </c>
      <c r="J680" s="49">
        <v>17.39</v>
      </c>
      <c r="K680" s="49">
        <v>14.25</v>
      </c>
      <c r="L680" s="49">
        <v>10.86</v>
      </c>
      <c r="M680" s="49">
        <v>19.68</v>
      </c>
      <c r="N680" s="49">
        <v>12.14</v>
      </c>
      <c r="O680" s="49">
        <v>23.75</v>
      </c>
      <c r="P680" s="49">
        <v>47.46</v>
      </c>
      <c r="Q680" s="49">
        <v>29.71</v>
      </c>
      <c r="R680" s="49">
        <v>11.87</v>
      </c>
      <c r="S680" s="49">
        <v>19.36</v>
      </c>
    </row>
    <row r="681" spans="1:19" ht="18">
      <c r="A681" s="49">
        <v>3252</v>
      </c>
      <c r="B681" s="49" t="s">
        <v>1352</v>
      </c>
      <c r="C681" s="49">
        <v>0</v>
      </c>
      <c r="D681" s="49">
        <v>0</v>
      </c>
      <c r="E681" s="49">
        <v>0</v>
      </c>
      <c r="F681" s="49">
        <v>0</v>
      </c>
      <c r="G681" s="49">
        <v>4.28</v>
      </c>
      <c r="H681" s="49">
        <v>42.97</v>
      </c>
      <c r="I681" s="49">
        <v>131.22</v>
      </c>
      <c r="J681" s="49">
        <v>0</v>
      </c>
      <c r="K681" s="49">
        <v>0</v>
      </c>
      <c r="L681" s="49">
        <v>1195</v>
      </c>
      <c r="M681" s="49">
        <v>0</v>
      </c>
      <c r="N681" s="49">
        <v>0</v>
      </c>
      <c r="O681" s="49">
        <v>14.43</v>
      </c>
      <c r="P681" s="49">
        <v>0</v>
      </c>
      <c r="Q681" s="49">
        <v>0</v>
      </c>
      <c r="R681" s="49">
        <v>20.96</v>
      </c>
      <c r="S681" s="49">
        <v>0</v>
      </c>
    </row>
    <row r="682" spans="1:19" ht="18">
      <c r="A682" s="49">
        <v>3257</v>
      </c>
      <c r="B682" s="49" t="s">
        <v>837</v>
      </c>
      <c r="C682" s="49">
        <v>0</v>
      </c>
      <c r="D682" s="49">
        <v>0</v>
      </c>
      <c r="E682" s="49">
        <v>0</v>
      </c>
      <c r="F682" s="49">
        <v>0</v>
      </c>
      <c r="G682" s="49">
        <v>9.17</v>
      </c>
      <c r="H682" s="49">
        <v>9.6300000000000008</v>
      </c>
      <c r="I682" s="49">
        <v>24.94</v>
      </c>
      <c r="J682" s="49">
        <v>14.7</v>
      </c>
      <c r="K682" s="49">
        <v>16.059999999999999</v>
      </c>
      <c r="L682" s="49">
        <v>17.559999999999999</v>
      </c>
      <c r="M682" s="49">
        <v>39.590000000000003</v>
      </c>
      <c r="N682" s="49">
        <v>30</v>
      </c>
      <c r="O682" s="49">
        <v>57.35</v>
      </c>
      <c r="P682" s="49">
        <v>33.26</v>
      </c>
      <c r="Q682" s="49">
        <v>13.62</v>
      </c>
      <c r="R682" s="49">
        <v>17.21</v>
      </c>
      <c r="S682" s="49">
        <v>29.92</v>
      </c>
    </row>
    <row r="683" spans="1:19" ht="18">
      <c r="A683" s="49">
        <v>3259</v>
      </c>
      <c r="B683" s="49" t="s">
        <v>1353</v>
      </c>
      <c r="C683" s="49">
        <v>0</v>
      </c>
      <c r="D683" s="49">
        <v>0</v>
      </c>
      <c r="E683" s="49">
        <v>0</v>
      </c>
      <c r="F683" s="49">
        <v>0</v>
      </c>
      <c r="G683" s="49">
        <v>0</v>
      </c>
      <c r="H683" s="49">
        <v>0</v>
      </c>
      <c r="I683" s="49">
        <v>0</v>
      </c>
      <c r="J683" s="49">
        <v>0</v>
      </c>
      <c r="K683" s="49">
        <v>0</v>
      </c>
      <c r="L683" s="49">
        <v>0</v>
      </c>
      <c r="M683" s="49">
        <v>0</v>
      </c>
      <c r="N683" s="49">
        <v>0</v>
      </c>
      <c r="O683" s="49">
        <v>0</v>
      </c>
      <c r="P683" s="49">
        <v>0</v>
      </c>
      <c r="Q683" s="49">
        <v>0</v>
      </c>
      <c r="R683" s="49">
        <v>0</v>
      </c>
      <c r="S683" s="49">
        <v>0</v>
      </c>
    </row>
    <row r="684" spans="1:19" ht="18">
      <c r="A684" s="49">
        <v>3260</v>
      </c>
      <c r="B684" s="49" t="s">
        <v>1354</v>
      </c>
      <c r="C684" s="49">
        <v>16.89</v>
      </c>
      <c r="D684" s="49">
        <v>0</v>
      </c>
      <c r="E684" s="49">
        <v>50.48</v>
      </c>
      <c r="F684" s="49">
        <v>14.76</v>
      </c>
      <c r="G684" s="49">
        <v>0</v>
      </c>
      <c r="H684" s="49">
        <v>9.2899999999999991</v>
      </c>
      <c r="I684" s="49">
        <v>8.25</v>
      </c>
      <c r="J684" s="49">
        <v>14.29</v>
      </c>
      <c r="K684" s="49">
        <v>0</v>
      </c>
      <c r="L684" s="49">
        <v>17.739999999999998</v>
      </c>
      <c r="M684" s="49">
        <v>6.2</v>
      </c>
      <c r="N684" s="49">
        <v>38.64</v>
      </c>
      <c r="O684" s="49">
        <v>50.15</v>
      </c>
      <c r="P684" s="49">
        <v>21.47</v>
      </c>
      <c r="Q684" s="49">
        <v>9.61</v>
      </c>
      <c r="R684" s="49">
        <v>21.67</v>
      </c>
      <c r="S684" s="49">
        <v>34.22</v>
      </c>
    </row>
    <row r="685" spans="1:19" ht="18">
      <c r="A685" s="49">
        <v>3264</v>
      </c>
      <c r="B685" s="49" t="s">
        <v>1355</v>
      </c>
      <c r="C685" s="49">
        <v>10.25</v>
      </c>
      <c r="D685" s="49">
        <v>4.12</v>
      </c>
      <c r="E685" s="49">
        <v>53.13</v>
      </c>
      <c r="F685" s="49">
        <v>9.73</v>
      </c>
      <c r="G685" s="49">
        <v>9.36</v>
      </c>
      <c r="H685" s="49">
        <v>10.67</v>
      </c>
      <c r="I685" s="49">
        <v>12.96</v>
      </c>
      <c r="J685" s="49">
        <v>11.35</v>
      </c>
      <c r="K685" s="49">
        <v>9.6999999999999993</v>
      </c>
      <c r="L685" s="49">
        <v>14.84</v>
      </c>
      <c r="M685" s="49">
        <v>15.71</v>
      </c>
      <c r="N685" s="49">
        <v>8.44</v>
      </c>
      <c r="O685" s="49">
        <v>12.39</v>
      </c>
      <c r="P685" s="49">
        <v>12.23</v>
      </c>
      <c r="Q685" s="49">
        <v>11.12</v>
      </c>
      <c r="R685" s="49">
        <v>7.25</v>
      </c>
      <c r="S685" s="49">
        <v>11.99</v>
      </c>
    </row>
    <row r="686" spans="1:19" ht="18">
      <c r="A686" s="49">
        <v>3265</v>
      </c>
      <c r="B686" s="49" t="s">
        <v>1356</v>
      </c>
      <c r="C686" s="49">
        <v>12.14</v>
      </c>
      <c r="D686" s="49">
        <v>5.07</v>
      </c>
      <c r="E686" s="49">
        <v>0</v>
      </c>
      <c r="F686" s="49">
        <v>10.65</v>
      </c>
      <c r="G686" s="49">
        <v>5.8</v>
      </c>
      <c r="H686" s="49">
        <v>10.119999999999999</v>
      </c>
      <c r="I686" s="49">
        <v>11.92</v>
      </c>
      <c r="J686" s="49">
        <v>9.91</v>
      </c>
      <c r="K686" s="49">
        <v>19.440000000000001</v>
      </c>
      <c r="L686" s="49">
        <v>0</v>
      </c>
      <c r="M686" s="49">
        <v>5.18</v>
      </c>
      <c r="N686" s="49">
        <v>3.76</v>
      </c>
      <c r="O686" s="49">
        <v>41.12</v>
      </c>
      <c r="P686" s="49">
        <v>6.63</v>
      </c>
      <c r="Q686" s="49">
        <v>12</v>
      </c>
      <c r="R686" s="49">
        <v>6.83</v>
      </c>
      <c r="S686" s="49">
        <v>15.14</v>
      </c>
    </row>
    <row r="687" spans="1:19" ht="18">
      <c r="A687" s="49">
        <v>3266</v>
      </c>
      <c r="B687" s="49" t="s">
        <v>838</v>
      </c>
      <c r="C687" s="49">
        <v>129.38</v>
      </c>
      <c r="D687" s="49">
        <v>60.63</v>
      </c>
      <c r="E687" s="49">
        <v>0</v>
      </c>
      <c r="F687" s="49">
        <v>0</v>
      </c>
      <c r="G687" s="49">
        <v>5.63</v>
      </c>
      <c r="H687" s="49">
        <v>76.209999999999994</v>
      </c>
      <c r="I687" s="49">
        <v>6.45</v>
      </c>
      <c r="J687" s="49">
        <v>3.16</v>
      </c>
      <c r="K687" s="49">
        <v>0</v>
      </c>
      <c r="L687" s="49">
        <v>0</v>
      </c>
      <c r="M687" s="49">
        <v>59.47</v>
      </c>
      <c r="N687" s="49">
        <v>15.69</v>
      </c>
      <c r="O687" s="49">
        <v>35.58</v>
      </c>
      <c r="P687" s="49">
        <v>35.229999999999997</v>
      </c>
      <c r="Q687" s="49">
        <v>38.19</v>
      </c>
      <c r="R687" s="49">
        <v>32.92</v>
      </c>
      <c r="S687" s="49">
        <v>16.71</v>
      </c>
    </row>
    <row r="688" spans="1:19" ht="18">
      <c r="A688" s="49">
        <v>3268</v>
      </c>
      <c r="B688" s="49" t="s">
        <v>1357</v>
      </c>
      <c r="C688" s="49">
        <v>42</v>
      </c>
      <c r="D688" s="49">
        <v>0</v>
      </c>
      <c r="E688" s="49">
        <v>0</v>
      </c>
      <c r="F688" s="49">
        <v>89.68</v>
      </c>
      <c r="G688" s="49">
        <v>0</v>
      </c>
      <c r="H688" s="49">
        <v>0</v>
      </c>
      <c r="I688" s="49">
        <v>0</v>
      </c>
      <c r="J688" s="49">
        <v>2.65</v>
      </c>
      <c r="K688" s="49">
        <v>0</v>
      </c>
      <c r="L688" s="49">
        <v>0</v>
      </c>
      <c r="M688" s="49">
        <v>0</v>
      </c>
      <c r="N688" s="49">
        <v>0</v>
      </c>
      <c r="O688" s="49">
        <v>0</v>
      </c>
      <c r="P688" s="49">
        <v>0</v>
      </c>
      <c r="Q688" s="49">
        <v>15.25</v>
      </c>
      <c r="R688" s="49">
        <v>9.5</v>
      </c>
      <c r="S688" s="49">
        <v>0</v>
      </c>
    </row>
    <row r="689" spans="1:19" ht="18">
      <c r="A689" s="49">
        <v>3272</v>
      </c>
      <c r="B689" s="49" t="s">
        <v>1358</v>
      </c>
      <c r="C689" s="49">
        <v>0</v>
      </c>
      <c r="D689" s="49">
        <v>0</v>
      </c>
      <c r="E689" s="49">
        <v>0</v>
      </c>
      <c r="F689" s="49">
        <v>0</v>
      </c>
      <c r="G689" s="49">
        <v>0</v>
      </c>
      <c r="H689" s="49">
        <v>0</v>
      </c>
      <c r="I689" s="49">
        <v>0</v>
      </c>
      <c r="J689" s="49">
        <v>15.74</v>
      </c>
      <c r="K689" s="49">
        <v>11.69</v>
      </c>
      <c r="L689" s="49">
        <v>16.93</v>
      </c>
      <c r="M689" s="49">
        <v>13.2</v>
      </c>
      <c r="N689" s="49">
        <v>17.36</v>
      </c>
      <c r="O689" s="49">
        <v>14.84</v>
      </c>
      <c r="P689" s="49">
        <v>15.26</v>
      </c>
      <c r="Q689" s="49">
        <v>42.95</v>
      </c>
      <c r="R689" s="49">
        <v>58.55</v>
      </c>
      <c r="S689" s="49">
        <v>0</v>
      </c>
    </row>
    <row r="690" spans="1:19" ht="18">
      <c r="A690" s="49">
        <v>3276</v>
      </c>
      <c r="B690" s="49" t="s">
        <v>1359</v>
      </c>
      <c r="C690" s="49">
        <v>10.96</v>
      </c>
      <c r="D690" s="49">
        <v>0</v>
      </c>
      <c r="E690" s="49">
        <v>0</v>
      </c>
      <c r="F690" s="49">
        <v>0</v>
      </c>
      <c r="G690" s="49">
        <v>57.88</v>
      </c>
      <c r="H690" s="49">
        <v>0</v>
      </c>
      <c r="I690" s="49">
        <v>0</v>
      </c>
      <c r="J690" s="49">
        <v>11.87</v>
      </c>
      <c r="K690" s="49">
        <v>15.82</v>
      </c>
      <c r="L690" s="49">
        <v>557.5</v>
      </c>
      <c r="M690" s="49">
        <v>11.99</v>
      </c>
      <c r="N690" s="49">
        <v>56.5</v>
      </c>
      <c r="O690" s="49">
        <v>0</v>
      </c>
      <c r="P690" s="49">
        <v>0</v>
      </c>
      <c r="Q690" s="49">
        <v>16.149999999999999</v>
      </c>
      <c r="R690" s="49">
        <v>10.9</v>
      </c>
      <c r="S690" s="49">
        <v>36.69</v>
      </c>
    </row>
    <row r="691" spans="1:19" ht="18">
      <c r="A691" s="49">
        <v>3284</v>
      </c>
      <c r="B691" s="49" t="s">
        <v>1360</v>
      </c>
      <c r="C691" s="49">
        <v>0</v>
      </c>
      <c r="D691" s="49">
        <v>0</v>
      </c>
      <c r="E691" s="49">
        <v>34.380000000000003</v>
      </c>
      <c r="F691" s="49">
        <v>12.37</v>
      </c>
      <c r="G691" s="49">
        <v>18.89</v>
      </c>
      <c r="H691" s="49">
        <v>17.03</v>
      </c>
      <c r="I691" s="49">
        <v>11.26</v>
      </c>
      <c r="J691" s="49">
        <v>42.29</v>
      </c>
      <c r="K691" s="49">
        <v>8.65</v>
      </c>
      <c r="L691" s="49">
        <v>28.38</v>
      </c>
      <c r="M691" s="49">
        <v>9.16</v>
      </c>
      <c r="N691" s="49">
        <v>29.13</v>
      </c>
      <c r="O691" s="49">
        <v>0</v>
      </c>
      <c r="P691" s="49">
        <v>0</v>
      </c>
      <c r="Q691" s="49">
        <v>0</v>
      </c>
      <c r="R691" s="49">
        <v>0</v>
      </c>
      <c r="S691" s="49">
        <v>25.63</v>
      </c>
    </row>
    <row r="692" spans="1:19" ht="18">
      <c r="A692" s="49">
        <v>3285</v>
      </c>
      <c r="B692" s="49" t="s">
        <v>1361</v>
      </c>
      <c r="C692" s="49">
        <v>0</v>
      </c>
      <c r="D692" s="49">
        <v>0</v>
      </c>
      <c r="E692" s="49">
        <v>0</v>
      </c>
      <c r="F692" s="49">
        <v>0</v>
      </c>
      <c r="G692" s="49">
        <v>0</v>
      </c>
      <c r="H692" s="49">
        <v>18.7</v>
      </c>
      <c r="I692" s="49">
        <v>28.25</v>
      </c>
      <c r="J692" s="49">
        <v>71.25</v>
      </c>
      <c r="K692" s="49">
        <v>20.64</v>
      </c>
      <c r="L692" s="49">
        <v>27</v>
      </c>
      <c r="M692" s="49">
        <v>17.809999999999999</v>
      </c>
      <c r="N692" s="49">
        <v>11.15</v>
      </c>
      <c r="O692" s="49">
        <v>65.8</v>
      </c>
      <c r="P692" s="49">
        <v>45.77</v>
      </c>
      <c r="Q692" s="49">
        <v>84.23</v>
      </c>
      <c r="R692" s="49">
        <v>0</v>
      </c>
      <c r="S692" s="49">
        <v>47.07</v>
      </c>
    </row>
    <row r="693" spans="1:19" ht="18">
      <c r="A693" s="49">
        <v>3287</v>
      </c>
      <c r="B693" s="49" t="s">
        <v>1362</v>
      </c>
      <c r="C693" s="49">
        <v>0</v>
      </c>
      <c r="D693" s="49">
        <v>5.33</v>
      </c>
      <c r="E693" s="49">
        <v>23.11</v>
      </c>
      <c r="F693" s="49">
        <v>10.92</v>
      </c>
      <c r="G693" s="49">
        <v>0</v>
      </c>
      <c r="H693" s="49">
        <v>0</v>
      </c>
      <c r="I693" s="49">
        <v>65</v>
      </c>
      <c r="J693" s="49">
        <v>0</v>
      </c>
      <c r="K693" s="49">
        <v>0</v>
      </c>
      <c r="L693" s="49">
        <v>0</v>
      </c>
      <c r="M693" s="49">
        <v>0</v>
      </c>
      <c r="N693" s="49">
        <v>0</v>
      </c>
      <c r="O693" s="49">
        <v>152.66999999999999</v>
      </c>
      <c r="P693" s="49">
        <v>16.88</v>
      </c>
      <c r="Q693" s="49">
        <v>22.65</v>
      </c>
      <c r="R693" s="49">
        <v>26.08</v>
      </c>
      <c r="S693" s="49">
        <v>63.46</v>
      </c>
    </row>
    <row r="694" spans="1:19" ht="18">
      <c r="A694" s="49">
        <v>3288</v>
      </c>
      <c r="B694" s="49" t="s">
        <v>1363</v>
      </c>
      <c r="C694" s="49">
        <v>16.489999999999998</v>
      </c>
      <c r="D694" s="49">
        <v>24.75</v>
      </c>
      <c r="E694" s="49">
        <v>0</v>
      </c>
      <c r="F694" s="49">
        <v>33.6</v>
      </c>
      <c r="G694" s="49">
        <v>0</v>
      </c>
      <c r="H694" s="49">
        <v>0</v>
      </c>
      <c r="I694" s="49">
        <v>0</v>
      </c>
      <c r="J694" s="49">
        <v>0</v>
      </c>
      <c r="K694" s="49">
        <v>0</v>
      </c>
      <c r="L694" s="49">
        <v>0</v>
      </c>
      <c r="M694" s="49">
        <v>0</v>
      </c>
      <c r="N694" s="49">
        <v>19.899999999999999</v>
      </c>
      <c r="O694" s="49">
        <v>71</v>
      </c>
      <c r="P694" s="49">
        <v>0</v>
      </c>
      <c r="Q694" s="49">
        <v>0</v>
      </c>
      <c r="R694" s="49">
        <v>0</v>
      </c>
      <c r="S694" s="49">
        <v>0</v>
      </c>
    </row>
    <row r="695" spans="1:19" ht="18">
      <c r="A695" s="49">
        <v>3289</v>
      </c>
      <c r="B695" s="49" t="s">
        <v>1364</v>
      </c>
      <c r="C695" s="49">
        <v>12.34</v>
      </c>
      <c r="D695" s="49">
        <v>5.6</v>
      </c>
      <c r="E695" s="49">
        <v>0</v>
      </c>
      <c r="F695" s="49">
        <v>0</v>
      </c>
      <c r="G695" s="49">
        <v>13.15</v>
      </c>
      <c r="H695" s="49">
        <v>13.95</v>
      </c>
      <c r="I695" s="49">
        <v>27.52</v>
      </c>
      <c r="J695" s="49">
        <v>14.26</v>
      </c>
      <c r="K695" s="49">
        <v>16.350000000000001</v>
      </c>
      <c r="L695" s="49">
        <v>18.96</v>
      </c>
      <c r="M695" s="49">
        <v>46.4</v>
      </c>
      <c r="N695" s="49">
        <v>51.98</v>
      </c>
      <c r="O695" s="49">
        <v>0</v>
      </c>
      <c r="P695" s="49">
        <v>13.34</v>
      </c>
      <c r="Q695" s="49">
        <v>26.29</v>
      </c>
      <c r="R695" s="49">
        <v>15.29</v>
      </c>
      <c r="S695" s="49">
        <v>15.98</v>
      </c>
    </row>
    <row r="696" spans="1:19" ht="18">
      <c r="A696" s="49">
        <v>3290</v>
      </c>
      <c r="B696" s="49" t="s">
        <v>1365</v>
      </c>
      <c r="C696" s="49">
        <v>0</v>
      </c>
      <c r="D696" s="49">
        <v>2.4300000000000002</v>
      </c>
      <c r="E696" s="49">
        <v>65.94</v>
      </c>
      <c r="F696" s="49">
        <v>9.7200000000000006</v>
      </c>
      <c r="G696" s="49">
        <v>7.28</v>
      </c>
      <c r="H696" s="49">
        <v>0</v>
      </c>
      <c r="I696" s="49">
        <v>25.34</v>
      </c>
      <c r="J696" s="49">
        <v>60</v>
      </c>
      <c r="K696" s="49">
        <v>5.91</v>
      </c>
      <c r="L696" s="49">
        <v>0</v>
      </c>
      <c r="M696" s="49">
        <v>14.52</v>
      </c>
      <c r="N696" s="49">
        <v>18.329999999999998</v>
      </c>
      <c r="O696" s="49">
        <v>10</v>
      </c>
      <c r="P696" s="49">
        <v>225</v>
      </c>
      <c r="Q696" s="49">
        <v>108.13</v>
      </c>
      <c r="R696" s="49">
        <v>21.37</v>
      </c>
      <c r="S696" s="49">
        <v>18.29</v>
      </c>
    </row>
    <row r="697" spans="1:19" ht="18">
      <c r="A697" s="49">
        <v>3293</v>
      </c>
      <c r="B697" s="49" t="s">
        <v>1366</v>
      </c>
      <c r="C697" s="49">
        <v>16.55</v>
      </c>
      <c r="D697" s="49">
        <v>10.130000000000001</v>
      </c>
      <c r="E697" s="49">
        <v>16.670000000000002</v>
      </c>
      <c r="F697" s="49">
        <v>10.75</v>
      </c>
      <c r="G697" s="49">
        <v>16.78</v>
      </c>
      <c r="H697" s="49">
        <v>13.69</v>
      </c>
      <c r="I697" s="49">
        <v>51.33</v>
      </c>
      <c r="J697" s="49">
        <v>52.43</v>
      </c>
      <c r="K697" s="49">
        <v>36.71</v>
      </c>
      <c r="L697" s="49">
        <v>17.5</v>
      </c>
      <c r="M697" s="49">
        <v>12.15</v>
      </c>
      <c r="N697" s="49">
        <v>12.2</v>
      </c>
      <c r="O697" s="49">
        <v>16.84</v>
      </c>
      <c r="P697" s="49">
        <v>17.18</v>
      </c>
      <c r="Q697" s="49">
        <v>12.52</v>
      </c>
      <c r="R697" s="49">
        <v>11.47</v>
      </c>
      <c r="S697" s="49">
        <v>16.489999999999998</v>
      </c>
    </row>
    <row r="698" spans="1:19" ht="18">
      <c r="A698" s="49">
        <v>3294</v>
      </c>
      <c r="B698" s="49" t="s">
        <v>1367</v>
      </c>
      <c r="C698" s="49">
        <v>14.77</v>
      </c>
      <c r="D698" s="49">
        <v>6.16</v>
      </c>
      <c r="E698" s="49">
        <v>0</v>
      </c>
      <c r="F698" s="49">
        <v>0</v>
      </c>
      <c r="G698" s="49">
        <v>35.81</v>
      </c>
      <c r="H698" s="49">
        <v>0</v>
      </c>
      <c r="I698" s="49">
        <v>0</v>
      </c>
      <c r="J698" s="49">
        <v>0</v>
      </c>
      <c r="K698" s="49">
        <v>80.45</v>
      </c>
      <c r="L698" s="49">
        <v>35.54</v>
      </c>
      <c r="M698" s="49">
        <v>12.44</v>
      </c>
      <c r="N698" s="49">
        <v>0</v>
      </c>
      <c r="O698" s="49">
        <v>42.62</v>
      </c>
      <c r="P698" s="49">
        <v>155</v>
      </c>
      <c r="Q698" s="49">
        <v>42.15</v>
      </c>
      <c r="R698" s="49">
        <v>0</v>
      </c>
      <c r="S698" s="49">
        <v>0</v>
      </c>
    </row>
    <row r="699" spans="1:19" ht="18">
      <c r="A699" s="49">
        <v>3296</v>
      </c>
      <c r="B699" s="49" t="s">
        <v>839</v>
      </c>
      <c r="C699" s="49">
        <v>0</v>
      </c>
      <c r="D699" s="49">
        <v>5.73</v>
      </c>
      <c r="E699" s="49">
        <v>16.34</v>
      </c>
      <c r="F699" s="49">
        <v>15.81</v>
      </c>
      <c r="G699" s="49">
        <v>0</v>
      </c>
      <c r="H699" s="49">
        <v>15.7</v>
      </c>
      <c r="I699" s="49">
        <v>0</v>
      </c>
      <c r="J699" s="49">
        <v>0</v>
      </c>
      <c r="K699" s="49">
        <v>68.680000000000007</v>
      </c>
      <c r="L699" s="49">
        <v>18.66</v>
      </c>
      <c r="M699" s="49">
        <v>19.32</v>
      </c>
      <c r="N699" s="49">
        <v>35.85</v>
      </c>
      <c r="O699" s="49">
        <v>14.9</v>
      </c>
      <c r="P699" s="49">
        <v>270.83</v>
      </c>
      <c r="Q699" s="49">
        <v>0</v>
      </c>
      <c r="R699" s="49">
        <v>0</v>
      </c>
      <c r="S699" s="49">
        <v>0</v>
      </c>
    </row>
    <row r="700" spans="1:19" ht="18">
      <c r="A700" s="49">
        <v>3297</v>
      </c>
      <c r="B700" s="49" t="s">
        <v>1368</v>
      </c>
      <c r="C700" s="49">
        <v>11.04</v>
      </c>
      <c r="D700" s="49">
        <v>7.94</v>
      </c>
      <c r="E700" s="49">
        <v>16.13</v>
      </c>
      <c r="F700" s="49">
        <v>11.43</v>
      </c>
      <c r="G700" s="49">
        <v>128.13</v>
      </c>
      <c r="H700" s="49">
        <v>12.47</v>
      </c>
      <c r="I700" s="49">
        <v>14.11</v>
      </c>
      <c r="J700" s="49">
        <v>12.99</v>
      </c>
      <c r="K700" s="49">
        <v>10.88</v>
      </c>
      <c r="L700" s="49">
        <v>51.67</v>
      </c>
      <c r="M700" s="49">
        <v>0</v>
      </c>
      <c r="N700" s="49">
        <v>0</v>
      </c>
      <c r="O700" s="49">
        <v>0</v>
      </c>
      <c r="P700" s="49">
        <v>0</v>
      </c>
      <c r="Q700" s="49">
        <v>0</v>
      </c>
      <c r="R700" s="49">
        <v>105</v>
      </c>
      <c r="S700" s="49">
        <v>0</v>
      </c>
    </row>
    <row r="701" spans="1:19" ht="18">
      <c r="A701" s="49">
        <v>3303</v>
      </c>
      <c r="B701" s="49" t="s">
        <v>1369</v>
      </c>
      <c r="C701" s="49">
        <v>16.920000000000002</v>
      </c>
      <c r="D701" s="49">
        <v>4.76</v>
      </c>
      <c r="E701" s="49">
        <v>28.33</v>
      </c>
      <c r="F701" s="49">
        <v>0</v>
      </c>
      <c r="G701" s="49">
        <v>0</v>
      </c>
      <c r="H701" s="49">
        <v>25.54</v>
      </c>
      <c r="I701" s="49">
        <v>13.82</v>
      </c>
      <c r="J701" s="49">
        <v>25.97</v>
      </c>
      <c r="K701" s="49">
        <v>12.85</v>
      </c>
      <c r="L701" s="49">
        <v>11.27</v>
      </c>
      <c r="M701" s="49">
        <v>154.16999999999999</v>
      </c>
      <c r="N701" s="49">
        <v>10.69</v>
      </c>
      <c r="O701" s="49">
        <v>9.48</v>
      </c>
      <c r="P701" s="49">
        <v>11.4</v>
      </c>
      <c r="Q701" s="49">
        <v>30.49</v>
      </c>
      <c r="R701" s="49">
        <v>7.12</v>
      </c>
      <c r="S701" s="49">
        <v>17.41</v>
      </c>
    </row>
    <row r="702" spans="1:19" ht="18">
      <c r="A702" s="49">
        <v>3305</v>
      </c>
      <c r="B702" s="49" t="s">
        <v>840</v>
      </c>
      <c r="C702" s="49">
        <v>10.44</v>
      </c>
      <c r="D702" s="49">
        <v>5.46</v>
      </c>
      <c r="E702" s="49">
        <v>18.55</v>
      </c>
      <c r="F702" s="49">
        <v>13.03</v>
      </c>
      <c r="G702" s="49">
        <v>8.0399999999999991</v>
      </c>
      <c r="H702" s="49">
        <v>10.7</v>
      </c>
      <c r="I702" s="49">
        <v>11.38</v>
      </c>
      <c r="J702" s="49">
        <v>12</v>
      </c>
      <c r="K702" s="49">
        <v>18.93</v>
      </c>
      <c r="L702" s="49">
        <v>15.17</v>
      </c>
      <c r="M702" s="49">
        <v>29.61</v>
      </c>
      <c r="N702" s="49">
        <v>51.08</v>
      </c>
      <c r="O702" s="49">
        <v>16.170000000000002</v>
      </c>
      <c r="P702" s="49">
        <v>28.42</v>
      </c>
      <c r="Q702" s="49">
        <v>20.74</v>
      </c>
      <c r="R702" s="49">
        <v>7.09</v>
      </c>
      <c r="S702" s="49">
        <v>57.28</v>
      </c>
    </row>
    <row r="703" spans="1:19" ht="18">
      <c r="A703" s="49">
        <v>3306</v>
      </c>
      <c r="B703" s="49" t="s">
        <v>1370</v>
      </c>
      <c r="C703" s="49">
        <v>35.950000000000003</v>
      </c>
      <c r="D703" s="49">
        <v>4.76</v>
      </c>
      <c r="E703" s="49">
        <v>379.5</v>
      </c>
      <c r="F703" s="49">
        <v>23.23</v>
      </c>
      <c r="G703" s="49">
        <v>8.4499999999999993</v>
      </c>
      <c r="H703" s="49">
        <v>18.09</v>
      </c>
      <c r="I703" s="49">
        <v>28.89</v>
      </c>
      <c r="J703" s="49">
        <v>15.85</v>
      </c>
      <c r="K703" s="49">
        <v>18.63</v>
      </c>
      <c r="L703" s="49">
        <v>28.68</v>
      </c>
      <c r="M703" s="49">
        <v>0</v>
      </c>
      <c r="N703" s="49">
        <v>168</v>
      </c>
      <c r="O703" s="49">
        <v>26.27</v>
      </c>
      <c r="P703" s="49">
        <v>56.67</v>
      </c>
      <c r="Q703" s="49">
        <v>45.06</v>
      </c>
      <c r="R703" s="49">
        <v>34.090000000000003</v>
      </c>
      <c r="S703" s="49">
        <v>46.86</v>
      </c>
    </row>
    <row r="704" spans="1:19" ht="18">
      <c r="A704" s="49">
        <v>3308</v>
      </c>
      <c r="B704" s="49" t="s">
        <v>841</v>
      </c>
      <c r="C704" s="49">
        <v>0</v>
      </c>
      <c r="D704" s="49">
        <v>6.78</v>
      </c>
      <c r="E704" s="49">
        <v>105.58</v>
      </c>
      <c r="F704" s="49">
        <v>19.23</v>
      </c>
      <c r="G704" s="49">
        <v>0</v>
      </c>
      <c r="H704" s="49">
        <v>0</v>
      </c>
      <c r="I704" s="49">
        <v>0</v>
      </c>
      <c r="J704" s="49">
        <v>0</v>
      </c>
      <c r="K704" s="49">
        <v>11.13</v>
      </c>
      <c r="L704" s="49">
        <v>0</v>
      </c>
      <c r="M704" s="49">
        <v>0</v>
      </c>
      <c r="N704" s="49">
        <v>0</v>
      </c>
      <c r="O704" s="49">
        <v>0</v>
      </c>
      <c r="P704" s="49">
        <v>0</v>
      </c>
      <c r="Q704" s="49">
        <v>0</v>
      </c>
      <c r="R704" s="49">
        <v>0</v>
      </c>
      <c r="S704" s="49">
        <v>5.01</v>
      </c>
    </row>
    <row r="705" spans="1:19" ht="18">
      <c r="A705" s="49">
        <v>3310</v>
      </c>
      <c r="B705" s="49" t="s">
        <v>1371</v>
      </c>
      <c r="C705" s="49">
        <v>0</v>
      </c>
      <c r="D705" s="49">
        <v>10.92</v>
      </c>
      <c r="E705" s="49">
        <v>0</v>
      </c>
      <c r="F705" s="49">
        <v>0</v>
      </c>
      <c r="G705" s="49">
        <v>0</v>
      </c>
      <c r="H705" s="49">
        <v>0</v>
      </c>
      <c r="I705" s="49">
        <v>110.63</v>
      </c>
      <c r="J705" s="49">
        <v>125</v>
      </c>
      <c r="K705" s="49">
        <v>23.04</v>
      </c>
      <c r="L705" s="49">
        <v>18.5</v>
      </c>
      <c r="M705" s="49">
        <v>8.0500000000000007</v>
      </c>
      <c r="N705" s="49">
        <v>6.62</v>
      </c>
      <c r="O705" s="49">
        <v>0</v>
      </c>
      <c r="P705" s="49">
        <v>6.36</v>
      </c>
      <c r="Q705" s="49">
        <v>25.53</v>
      </c>
      <c r="R705" s="49">
        <v>20.3</v>
      </c>
      <c r="S705" s="49">
        <v>35.74</v>
      </c>
    </row>
    <row r="706" spans="1:19" ht="18">
      <c r="A706" s="49">
        <v>3311</v>
      </c>
      <c r="B706" s="49" t="s">
        <v>842</v>
      </c>
      <c r="C706" s="49">
        <v>16.18</v>
      </c>
      <c r="D706" s="49">
        <v>5.73</v>
      </c>
      <c r="E706" s="49">
        <v>17.09</v>
      </c>
      <c r="F706" s="49">
        <v>10.83</v>
      </c>
      <c r="G706" s="49">
        <v>9.5399999999999991</v>
      </c>
      <c r="H706" s="49">
        <v>9.11</v>
      </c>
      <c r="I706" s="49">
        <v>14.03</v>
      </c>
      <c r="J706" s="49">
        <v>0</v>
      </c>
      <c r="K706" s="49">
        <v>19.66</v>
      </c>
      <c r="L706" s="49">
        <v>0</v>
      </c>
      <c r="M706" s="49">
        <v>0</v>
      </c>
      <c r="N706" s="49">
        <v>0</v>
      </c>
      <c r="O706" s="49">
        <v>0</v>
      </c>
      <c r="P706" s="49">
        <v>0</v>
      </c>
      <c r="Q706" s="49">
        <v>34.380000000000003</v>
      </c>
      <c r="R706" s="49">
        <v>21.35</v>
      </c>
      <c r="S706" s="49">
        <v>24.15</v>
      </c>
    </row>
    <row r="707" spans="1:19" ht="18">
      <c r="A707" s="49">
        <v>3312</v>
      </c>
      <c r="B707" s="49" t="s">
        <v>843</v>
      </c>
      <c r="C707" s="49">
        <v>21.21</v>
      </c>
      <c r="D707" s="49">
        <v>0</v>
      </c>
      <c r="E707" s="49">
        <v>14.11</v>
      </c>
      <c r="F707" s="49">
        <v>9.52</v>
      </c>
      <c r="G707" s="49">
        <v>12.69</v>
      </c>
      <c r="H707" s="49">
        <v>10.33</v>
      </c>
      <c r="I707" s="49">
        <v>14.73</v>
      </c>
      <c r="J707" s="49">
        <v>12.42</v>
      </c>
      <c r="K707" s="49">
        <v>0</v>
      </c>
      <c r="L707" s="49">
        <v>0</v>
      </c>
      <c r="M707" s="49">
        <v>0</v>
      </c>
      <c r="N707" s="49">
        <v>7.89</v>
      </c>
      <c r="O707" s="49">
        <v>13.19</v>
      </c>
      <c r="P707" s="49">
        <v>12.37</v>
      </c>
      <c r="Q707" s="49">
        <v>7.83</v>
      </c>
      <c r="R707" s="49">
        <v>6.63</v>
      </c>
      <c r="S707" s="49">
        <v>9.58</v>
      </c>
    </row>
    <row r="708" spans="1:19" ht="18">
      <c r="A708" s="49">
        <v>3313</v>
      </c>
      <c r="B708" s="49" t="s">
        <v>1372</v>
      </c>
      <c r="C708" s="49">
        <v>17.03</v>
      </c>
      <c r="D708" s="49">
        <v>0</v>
      </c>
      <c r="E708" s="49">
        <v>0</v>
      </c>
      <c r="F708" s="49">
        <v>20.22</v>
      </c>
      <c r="G708" s="49">
        <v>38.57</v>
      </c>
      <c r="H708" s="49">
        <v>17.170000000000002</v>
      </c>
      <c r="I708" s="49">
        <v>0</v>
      </c>
      <c r="J708" s="49">
        <v>0</v>
      </c>
      <c r="K708" s="49">
        <v>0</v>
      </c>
      <c r="L708" s="49">
        <v>0</v>
      </c>
      <c r="M708" s="49">
        <v>0</v>
      </c>
      <c r="N708" s="49">
        <v>0</v>
      </c>
      <c r="O708" s="49">
        <v>0</v>
      </c>
      <c r="P708" s="49">
        <v>0</v>
      </c>
      <c r="Q708" s="49">
        <v>0</v>
      </c>
      <c r="R708" s="49">
        <v>0</v>
      </c>
      <c r="S708" s="49">
        <v>0</v>
      </c>
    </row>
    <row r="709" spans="1:19" ht="18">
      <c r="A709" s="49">
        <v>3317</v>
      </c>
      <c r="B709" s="49" t="s">
        <v>1373</v>
      </c>
      <c r="C709" s="49">
        <v>13.21</v>
      </c>
      <c r="D709" s="49">
        <v>7.52</v>
      </c>
      <c r="E709" s="49">
        <v>31.07</v>
      </c>
      <c r="F709" s="49">
        <v>26.19</v>
      </c>
      <c r="G709" s="49">
        <v>0</v>
      </c>
      <c r="H709" s="49">
        <v>0</v>
      </c>
      <c r="I709" s="49">
        <v>34.15</v>
      </c>
      <c r="J709" s="49">
        <v>60.36</v>
      </c>
      <c r="K709" s="49">
        <v>0</v>
      </c>
      <c r="L709" s="49">
        <v>18.27</v>
      </c>
      <c r="M709" s="49">
        <v>25.93</v>
      </c>
      <c r="N709" s="49">
        <v>12.69</v>
      </c>
      <c r="O709" s="49">
        <v>16.88</v>
      </c>
      <c r="P709" s="49">
        <v>19.86</v>
      </c>
      <c r="Q709" s="49">
        <v>15.72</v>
      </c>
      <c r="R709" s="49">
        <v>6.56</v>
      </c>
      <c r="S709" s="49">
        <v>21.56</v>
      </c>
    </row>
    <row r="710" spans="1:19" ht="18">
      <c r="A710" s="49">
        <v>3321</v>
      </c>
      <c r="B710" s="49" t="s">
        <v>844</v>
      </c>
      <c r="C710" s="49">
        <v>0</v>
      </c>
      <c r="D710" s="49">
        <v>0</v>
      </c>
      <c r="E710" s="49">
        <v>0</v>
      </c>
      <c r="F710" s="49">
        <v>0</v>
      </c>
      <c r="G710" s="49">
        <v>0</v>
      </c>
      <c r="H710" s="49">
        <v>0</v>
      </c>
      <c r="I710" s="49">
        <v>0</v>
      </c>
      <c r="J710" s="49">
        <v>0</v>
      </c>
      <c r="K710" s="49">
        <v>7.23</v>
      </c>
      <c r="L710" s="49">
        <v>0</v>
      </c>
      <c r="M710" s="49">
        <v>0</v>
      </c>
      <c r="N710" s="49">
        <v>0</v>
      </c>
      <c r="O710" s="49">
        <v>0</v>
      </c>
      <c r="P710" s="49">
        <v>0</v>
      </c>
      <c r="Q710" s="49">
        <v>0</v>
      </c>
      <c r="R710" s="49">
        <v>0</v>
      </c>
      <c r="S710" s="49">
        <v>0</v>
      </c>
    </row>
    <row r="711" spans="1:19" ht="18">
      <c r="A711" s="49">
        <v>3322</v>
      </c>
      <c r="B711" s="49" t="s">
        <v>1374</v>
      </c>
      <c r="C711" s="49">
        <v>0</v>
      </c>
      <c r="D711" s="49">
        <v>0</v>
      </c>
      <c r="E711" s="49">
        <v>49.09</v>
      </c>
      <c r="F711" s="49">
        <v>0</v>
      </c>
      <c r="G711" s="49">
        <v>0</v>
      </c>
      <c r="H711" s="49">
        <v>0</v>
      </c>
      <c r="I711" s="49">
        <v>0</v>
      </c>
      <c r="J711" s="49">
        <v>127</v>
      </c>
      <c r="K711" s="49">
        <v>0</v>
      </c>
      <c r="L711" s="49">
        <v>0</v>
      </c>
      <c r="M711" s="49">
        <v>0</v>
      </c>
      <c r="N711" s="49">
        <v>4.32</v>
      </c>
      <c r="O711" s="49">
        <v>0</v>
      </c>
      <c r="P711" s="49">
        <v>0</v>
      </c>
      <c r="Q711" s="49">
        <v>71.5</v>
      </c>
      <c r="R711" s="49">
        <v>7.41</v>
      </c>
      <c r="S711" s="49">
        <v>24.94</v>
      </c>
    </row>
    <row r="712" spans="1:19" ht="18">
      <c r="A712" s="49">
        <v>3323</v>
      </c>
      <c r="B712" s="49" t="s">
        <v>1375</v>
      </c>
      <c r="C712" s="49">
        <v>14.35</v>
      </c>
      <c r="D712" s="49">
        <v>5.56</v>
      </c>
      <c r="E712" s="49">
        <v>15.34</v>
      </c>
      <c r="F712" s="49">
        <v>8.41</v>
      </c>
      <c r="G712" s="49">
        <v>0</v>
      </c>
      <c r="H712" s="49">
        <v>0</v>
      </c>
      <c r="I712" s="49">
        <v>71.900000000000006</v>
      </c>
      <c r="J712" s="49">
        <v>38.1</v>
      </c>
      <c r="K712" s="49">
        <v>10.6</v>
      </c>
      <c r="L712" s="49">
        <v>32.090000000000003</v>
      </c>
      <c r="M712" s="49">
        <v>18.059999999999999</v>
      </c>
      <c r="N712" s="49">
        <v>11.76</v>
      </c>
      <c r="O712" s="49">
        <v>18.18</v>
      </c>
      <c r="P712" s="49">
        <v>13.34</v>
      </c>
      <c r="Q712" s="49">
        <v>12.18</v>
      </c>
      <c r="R712" s="49">
        <v>8.73</v>
      </c>
      <c r="S712" s="49">
        <v>0</v>
      </c>
    </row>
    <row r="713" spans="1:19" ht="18">
      <c r="A713" s="49">
        <v>3324</v>
      </c>
      <c r="B713" s="49" t="s">
        <v>1376</v>
      </c>
      <c r="C713" s="49">
        <v>0</v>
      </c>
      <c r="D713" s="49">
        <v>0</v>
      </c>
      <c r="E713" s="49">
        <v>0</v>
      </c>
      <c r="F713" s="49">
        <v>30.96</v>
      </c>
      <c r="G713" s="49">
        <v>12.34</v>
      </c>
      <c r="H713" s="49">
        <v>10.51</v>
      </c>
      <c r="I713" s="49">
        <v>81.67</v>
      </c>
      <c r="J713" s="49">
        <v>98.95</v>
      </c>
      <c r="K713" s="49">
        <v>19.350000000000001</v>
      </c>
      <c r="L713" s="49">
        <v>15.56</v>
      </c>
      <c r="M713" s="49">
        <v>13.01</v>
      </c>
      <c r="N713" s="49">
        <v>56.26</v>
      </c>
      <c r="O713" s="49">
        <v>20.97</v>
      </c>
      <c r="P713" s="49">
        <v>18.03</v>
      </c>
      <c r="Q713" s="49">
        <v>17.16</v>
      </c>
      <c r="R713" s="49">
        <v>9.1199999999999992</v>
      </c>
      <c r="S713" s="49">
        <v>25.69</v>
      </c>
    </row>
    <row r="714" spans="1:19" ht="18">
      <c r="A714" s="49">
        <v>3325</v>
      </c>
      <c r="B714" s="49" t="s">
        <v>1377</v>
      </c>
      <c r="C714" s="49">
        <v>11.61</v>
      </c>
      <c r="D714" s="49">
        <v>5.27</v>
      </c>
      <c r="E714" s="49">
        <v>21.94</v>
      </c>
      <c r="F714" s="49">
        <v>1925</v>
      </c>
      <c r="G714" s="49">
        <v>0</v>
      </c>
      <c r="H714" s="49">
        <v>0</v>
      </c>
      <c r="I714" s="49">
        <v>0</v>
      </c>
      <c r="J714" s="49">
        <v>0</v>
      </c>
      <c r="K714" s="49">
        <v>0</v>
      </c>
      <c r="L714" s="49">
        <v>73.86</v>
      </c>
      <c r="M714" s="49">
        <v>0</v>
      </c>
      <c r="N714" s="49">
        <v>0</v>
      </c>
      <c r="O714" s="49">
        <v>16.079999999999998</v>
      </c>
      <c r="P714" s="49">
        <v>11.81</v>
      </c>
      <c r="Q714" s="49">
        <v>0</v>
      </c>
      <c r="R714" s="49">
        <v>0</v>
      </c>
      <c r="S714" s="49">
        <v>0</v>
      </c>
    </row>
    <row r="715" spans="1:19" ht="18">
      <c r="A715" s="49">
        <v>3332</v>
      </c>
      <c r="B715" s="49" t="s">
        <v>1378</v>
      </c>
      <c r="C715" s="49">
        <v>0</v>
      </c>
      <c r="D715" s="49">
        <v>5.54</v>
      </c>
      <c r="E715" s="49">
        <v>13.58</v>
      </c>
      <c r="F715" s="49">
        <v>10.93</v>
      </c>
      <c r="G715" s="49">
        <v>10.62</v>
      </c>
      <c r="H715" s="49">
        <v>14.06</v>
      </c>
      <c r="I715" s="49">
        <v>13.37</v>
      </c>
      <c r="J715" s="49">
        <v>13.75</v>
      </c>
      <c r="K715" s="49">
        <v>12.78</v>
      </c>
      <c r="L715" s="49">
        <v>16.05</v>
      </c>
      <c r="M715" s="49">
        <v>13.7</v>
      </c>
      <c r="N715" s="49">
        <v>12.93</v>
      </c>
      <c r="O715" s="49">
        <v>17.66</v>
      </c>
      <c r="P715" s="49">
        <v>16.59</v>
      </c>
      <c r="Q715" s="49">
        <v>19.95</v>
      </c>
      <c r="R715" s="49">
        <v>9.81</v>
      </c>
      <c r="S715" s="49">
        <v>11.98</v>
      </c>
    </row>
    <row r="716" spans="1:19" ht="18">
      <c r="A716" s="49">
        <v>3338</v>
      </c>
      <c r="B716" s="49" t="s">
        <v>845</v>
      </c>
      <c r="C716" s="49">
        <v>0</v>
      </c>
      <c r="D716" s="49">
        <v>0</v>
      </c>
      <c r="E716" s="49">
        <v>0</v>
      </c>
      <c r="F716" s="49">
        <v>0</v>
      </c>
      <c r="G716" s="49">
        <v>0</v>
      </c>
      <c r="H716" s="49">
        <v>0</v>
      </c>
      <c r="I716" s="49">
        <v>16.170000000000002</v>
      </c>
      <c r="J716" s="49">
        <v>15.32</v>
      </c>
      <c r="K716" s="49">
        <v>13.4</v>
      </c>
      <c r="L716" s="49">
        <v>13.87</v>
      </c>
      <c r="M716" s="49">
        <v>16.59</v>
      </c>
      <c r="N716" s="49">
        <v>41.32</v>
      </c>
      <c r="O716" s="49">
        <v>30.06</v>
      </c>
      <c r="P716" s="49">
        <v>20.63</v>
      </c>
      <c r="Q716" s="49">
        <v>31.19</v>
      </c>
      <c r="R716" s="49">
        <v>9.34</v>
      </c>
      <c r="S716" s="49">
        <v>26.25</v>
      </c>
    </row>
    <row r="717" spans="1:19" ht="18">
      <c r="A717" s="49">
        <v>3339</v>
      </c>
      <c r="B717" s="49" t="s">
        <v>1379</v>
      </c>
      <c r="C717" s="49">
        <v>0</v>
      </c>
      <c r="D717" s="49">
        <v>0</v>
      </c>
      <c r="E717" s="49">
        <v>0</v>
      </c>
      <c r="F717" s="49">
        <v>25.63</v>
      </c>
      <c r="G717" s="49">
        <v>0</v>
      </c>
      <c r="H717" s="49">
        <v>0</v>
      </c>
      <c r="I717" s="49">
        <v>0</v>
      </c>
      <c r="J717" s="49">
        <v>0</v>
      </c>
      <c r="K717" s="49">
        <v>0</v>
      </c>
      <c r="L717" s="49">
        <v>0</v>
      </c>
      <c r="M717" s="49">
        <v>0</v>
      </c>
      <c r="N717" s="49">
        <v>0</v>
      </c>
      <c r="O717" s="49">
        <v>0</v>
      </c>
      <c r="P717" s="49">
        <v>0</v>
      </c>
      <c r="Q717" s="49">
        <v>25.64</v>
      </c>
      <c r="R717" s="49">
        <v>46.67</v>
      </c>
      <c r="S717" s="49">
        <v>50</v>
      </c>
    </row>
    <row r="718" spans="1:19" ht="18">
      <c r="A718" s="49">
        <v>3346</v>
      </c>
      <c r="B718" s="49" t="s">
        <v>846</v>
      </c>
      <c r="C718" s="49">
        <v>0</v>
      </c>
      <c r="D718" s="49">
        <v>0</v>
      </c>
      <c r="E718" s="49">
        <v>0</v>
      </c>
      <c r="F718" s="49">
        <v>0</v>
      </c>
      <c r="G718" s="49">
        <v>0</v>
      </c>
      <c r="H718" s="49">
        <v>0</v>
      </c>
      <c r="I718" s="49">
        <v>0</v>
      </c>
      <c r="J718" s="49">
        <v>0</v>
      </c>
      <c r="K718" s="49">
        <v>0</v>
      </c>
      <c r="L718" s="49">
        <v>40.46</v>
      </c>
      <c r="M718" s="49">
        <v>19.149999999999999</v>
      </c>
      <c r="N718" s="49">
        <v>9.83</v>
      </c>
      <c r="O718" s="49">
        <v>33.72</v>
      </c>
      <c r="P718" s="49">
        <v>0</v>
      </c>
      <c r="Q718" s="49">
        <v>35.520000000000003</v>
      </c>
      <c r="R718" s="49">
        <v>0</v>
      </c>
      <c r="S718" s="49">
        <v>19.52</v>
      </c>
    </row>
    <row r="719" spans="1:19" ht="18">
      <c r="A719" s="49">
        <v>3349</v>
      </c>
      <c r="B719" s="49" t="s">
        <v>1380</v>
      </c>
      <c r="C719" s="49">
        <v>0</v>
      </c>
      <c r="D719" s="49">
        <v>0</v>
      </c>
      <c r="E719" s="49">
        <v>0</v>
      </c>
      <c r="F719" s="49">
        <v>0</v>
      </c>
      <c r="G719" s="49">
        <v>0</v>
      </c>
      <c r="H719" s="49">
        <v>0</v>
      </c>
      <c r="I719" s="49">
        <v>0</v>
      </c>
      <c r="J719" s="49">
        <v>0</v>
      </c>
      <c r="K719" s="49">
        <v>0</v>
      </c>
      <c r="L719" s="49">
        <v>0</v>
      </c>
      <c r="M719" s="49">
        <v>0</v>
      </c>
      <c r="N719" s="49">
        <v>0</v>
      </c>
      <c r="O719" s="49">
        <v>0</v>
      </c>
      <c r="P719" s="49">
        <v>0</v>
      </c>
      <c r="Q719" s="49">
        <v>0</v>
      </c>
      <c r="R719" s="49">
        <v>0</v>
      </c>
      <c r="S719" s="49">
        <v>0</v>
      </c>
    </row>
    <row r="720" spans="1:19" ht="18">
      <c r="A720" s="49">
        <v>3354</v>
      </c>
      <c r="B720" s="49" t="s">
        <v>1381</v>
      </c>
      <c r="C720" s="49">
        <v>225.71</v>
      </c>
      <c r="D720" s="49">
        <v>8.02</v>
      </c>
      <c r="E720" s="49">
        <v>0</v>
      </c>
      <c r="F720" s="49">
        <v>38.83</v>
      </c>
      <c r="G720" s="49">
        <v>9.5299999999999994</v>
      </c>
      <c r="H720" s="49">
        <v>151.43</v>
      </c>
      <c r="I720" s="49">
        <v>47.8</v>
      </c>
      <c r="J720" s="49">
        <v>74.38</v>
      </c>
      <c r="K720" s="49">
        <v>20.45</v>
      </c>
      <c r="L720" s="49">
        <v>0</v>
      </c>
      <c r="M720" s="49">
        <v>64.459999999999994</v>
      </c>
      <c r="N720" s="49">
        <v>12.79</v>
      </c>
      <c r="O720" s="49">
        <v>23.82</v>
      </c>
      <c r="P720" s="49">
        <v>0</v>
      </c>
      <c r="Q720" s="49">
        <v>0</v>
      </c>
      <c r="R720" s="49">
        <v>0</v>
      </c>
      <c r="S720" s="49">
        <v>0</v>
      </c>
    </row>
    <row r="721" spans="1:19" ht="18">
      <c r="A721" s="49">
        <v>3356</v>
      </c>
      <c r="B721" s="49" t="s">
        <v>847</v>
      </c>
      <c r="C721" s="49">
        <v>22.08</v>
      </c>
      <c r="D721" s="49">
        <v>8.5299999999999994</v>
      </c>
      <c r="E721" s="49">
        <v>16.11</v>
      </c>
      <c r="F721" s="49">
        <v>13.61</v>
      </c>
      <c r="G721" s="49">
        <v>15.52</v>
      </c>
      <c r="H721" s="49">
        <v>14.56</v>
      </c>
      <c r="I721" s="49">
        <v>19.989999999999998</v>
      </c>
      <c r="J721" s="49">
        <v>15.25</v>
      </c>
      <c r="K721" s="49">
        <v>12.06</v>
      </c>
      <c r="L721" s="49">
        <v>22.11</v>
      </c>
      <c r="M721" s="49">
        <v>0</v>
      </c>
      <c r="N721" s="49">
        <v>437.86</v>
      </c>
      <c r="O721" s="49">
        <v>44.12</v>
      </c>
      <c r="P721" s="49">
        <v>74.89</v>
      </c>
      <c r="Q721" s="49">
        <v>14.74</v>
      </c>
      <c r="R721" s="49">
        <v>25.49</v>
      </c>
      <c r="S721" s="49">
        <v>16.07</v>
      </c>
    </row>
    <row r="722" spans="1:19" ht="18">
      <c r="A722" s="49">
        <v>3357</v>
      </c>
      <c r="B722" s="49" t="s">
        <v>1382</v>
      </c>
      <c r="C722" s="49">
        <v>0</v>
      </c>
      <c r="D722" s="49">
        <v>0</v>
      </c>
      <c r="E722" s="49">
        <v>0</v>
      </c>
      <c r="F722" s="49">
        <v>0</v>
      </c>
      <c r="G722" s="49">
        <v>0</v>
      </c>
      <c r="H722" s="49">
        <v>0</v>
      </c>
      <c r="I722" s="49">
        <v>0</v>
      </c>
      <c r="J722" s="49">
        <v>0</v>
      </c>
      <c r="K722" s="49">
        <v>0</v>
      </c>
      <c r="L722" s="49">
        <v>0</v>
      </c>
      <c r="M722" s="49">
        <v>0</v>
      </c>
      <c r="N722" s="49">
        <v>0</v>
      </c>
      <c r="O722" s="49">
        <v>0</v>
      </c>
      <c r="P722" s="49">
        <v>0</v>
      </c>
      <c r="Q722" s="49">
        <v>12.24</v>
      </c>
      <c r="R722" s="49">
        <v>7.09</v>
      </c>
      <c r="S722" s="49">
        <v>19.100000000000001</v>
      </c>
    </row>
    <row r="723" spans="1:19" ht="18">
      <c r="A723" s="49">
        <v>3360</v>
      </c>
      <c r="B723" s="49" t="s">
        <v>1383</v>
      </c>
      <c r="C723" s="49">
        <v>11.85</v>
      </c>
      <c r="D723" s="49">
        <v>13.92</v>
      </c>
      <c r="E723" s="49">
        <v>84.76</v>
      </c>
      <c r="F723" s="49">
        <v>17.670000000000002</v>
      </c>
      <c r="G723" s="49">
        <v>0</v>
      </c>
      <c r="H723" s="49">
        <v>167.6</v>
      </c>
      <c r="I723" s="49">
        <v>0</v>
      </c>
      <c r="J723" s="49">
        <v>27.53</v>
      </c>
      <c r="K723" s="49">
        <v>10.39</v>
      </c>
      <c r="L723" s="49">
        <v>24.48</v>
      </c>
      <c r="M723" s="49">
        <v>32.35</v>
      </c>
      <c r="N723" s="49">
        <v>0</v>
      </c>
      <c r="O723" s="49">
        <v>20.94</v>
      </c>
      <c r="P723" s="49">
        <v>14.11</v>
      </c>
      <c r="Q723" s="49">
        <v>29.27</v>
      </c>
      <c r="R723" s="49">
        <v>8.9600000000000009</v>
      </c>
      <c r="S723" s="49">
        <v>0</v>
      </c>
    </row>
    <row r="724" spans="1:19" ht="18">
      <c r="A724" s="49">
        <v>3362</v>
      </c>
      <c r="B724" s="49" t="s">
        <v>1384</v>
      </c>
      <c r="C724" s="49">
        <v>0</v>
      </c>
      <c r="D724" s="49">
        <v>0</v>
      </c>
      <c r="E724" s="49">
        <v>379.5</v>
      </c>
      <c r="F724" s="49">
        <v>82.65</v>
      </c>
      <c r="G724" s="49">
        <v>0</v>
      </c>
      <c r="H724" s="49">
        <v>55.22</v>
      </c>
      <c r="I724" s="49">
        <v>19.260000000000002</v>
      </c>
      <c r="J724" s="49">
        <v>26.84</v>
      </c>
      <c r="K724" s="49">
        <v>0</v>
      </c>
      <c r="L724" s="49">
        <v>0</v>
      </c>
      <c r="M724" s="49">
        <v>24.24</v>
      </c>
      <c r="N724" s="49">
        <v>26.95</v>
      </c>
      <c r="O724" s="49">
        <v>80.83</v>
      </c>
      <c r="P724" s="49">
        <v>0</v>
      </c>
      <c r="Q724" s="49">
        <v>0</v>
      </c>
      <c r="R724" s="49">
        <v>25.23</v>
      </c>
      <c r="S724" s="49">
        <v>68.92</v>
      </c>
    </row>
    <row r="725" spans="1:19" ht="18">
      <c r="A725" s="49">
        <v>3363</v>
      </c>
      <c r="B725" s="49" t="s">
        <v>1385</v>
      </c>
      <c r="C725" s="49">
        <v>0</v>
      </c>
      <c r="D725" s="49">
        <v>0</v>
      </c>
      <c r="E725" s="49">
        <v>0</v>
      </c>
      <c r="F725" s="49">
        <v>0</v>
      </c>
      <c r="G725" s="49">
        <v>14.34</v>
      </c>
      <c r="H725" s="49">
        <v>15.16</v>
      </c>
      <c r="I725" s="49">
        <v>16.350000000000001</v>
      </c>
      <c r="J725" s="49">
        <v>115.67</v>
      </c>
      <c r="K725" s="49">
        <v>0</v>
      </c>
      <c r="L725" s="49">
        <v>25.82</v>
      </c>
      <c r="M725" s="49">
        <v>21.94</v>
      </c>
      <c r="N725" s="49">
        <v>35.99</v>
      </c>
      <c r="O725" s="49">
        <v>15.42</v>
      </c>
      <c r="P725" s="49">
        <v>24.74</v>
      </c>
      <c r="Q725" s="49">
        <v>22.88</v>
      </c>
      <c r="R725" s="49">
        <v>29.48</v>
      </c>
      <c r="S725" s="49">
        <v>154</v>
      </c>
    </row>
    <row r="726" spans="1:19" ht="18">
      <c r="A726" s="49">
        <v>3372</v>
      </c>
      <c r="B726" s="49" t="s">
        <v>1386</v>
      </c>
      <c r="C726" s="49">
        <v>10.88</v>
      </c>
      <c r="D726" s="49">
        <v>6.41</v>
      </c>
      <c r="E726" s="49">
        <v>0</v>
      </c>
      <c r="F726" s="49">
        <v>0</v>
      </c>
      <c r="G726" s="49">
        <v>0</v>
      </c>
      <c r="H726" s="49">
        <v>0</v>
      </c>
      <c r="I726" s="49">
        <v>0</v>
      </c>
      <c r="J726" s="49">
        <v>1005</v>
      </c>
      <c r="K726" s="49">
        <v>159.80000000000001</v>
      </c>
      <c r="L726" s="49">
        <v>0</v>
      </c>
      <c r="M726" s="49">
        <v>0</v>
      </c>
      <c r="N726" s="49">
        <v>0</v>
      </c>
      <c r="O726" s="49">
        <v>0</v>
      </c>
      <c r="P726" s="49">
        <v>0</v>
      </c>
      <c r="Q726" s="49">
        <v>12.1</v>
      </c>
      <c r="R726" s="49">
        <v>8.98</v>
      </c>
      <c r="S726" s="49">
        <v>0</v>
      </c>
    </row>
    <row r="727" spans="1:19" ht="18">
      <c r="A727" s="49">
        <v>3373</v>
      </c>
      <c r="B727" s="49" t="s">
        <v>1387</v>
      </c>
      <c r="C727" s="49">
        <v>10.1</v>
      </c>
      <c r="D727" s="49">
        <v>8.09</v>
      </c>
      <c r="E727" s="49">
        <v>18.940000000000001</v>
      </c>
      <c r="F727" s="49">
        <v>10.93</v>
      </c>
      <c r="G727" s="49">
        <v>17.21</v>
      </c>
      <c r="H727" s="49">
        <v>433.85</v>
      </c>
      <c r="I727" s="49">
        <v>64.88</v>
      </c>
      <c r="J727" s="49">
        <v>29.74</v>
      </c>
      <c r="K727" s="49">
        <v>17.309999999999999</v>
      </c>
      <c r="L727" s="49">
        <v>13.23</v>
      </c>
      <c r="M727" s="49">
        <v>152.5</v>
      </c>
      <c r="N727" s="49">
        <v>67.08</v>
      </c>
      <c r="O727" s="49">
        <v>34.69</v>
      </c>
      <c r="P727" s="49">
        <v>5.62</v>
      </c>
      <c r="Q727" s="49">
        <v>8.0399999999999991</v>
      </c>
      <c r="R727" s="49">
        <v>28.2</v>
      </c>
      <c r="S727" s="49">
        <v>0</v>
      </c>
    </row>
    <row r="728" spans="1:19" ht="18">
      <c r="A728" s="49">
        <v>3374</v>
      </c>
      <c r="B728" s="49" t="s">
        <v>1388</v>
      </c>
      <c r="C728" s="49">
        <v>0</v>
      </c>
      <c r="D728" s="49">
        <v>0</v>
      </c>
      <c r="E728" s="49">
        <v>0</v>
      </c>
      <c r="F728" s="49">
        <v>0</v>
      </c>
      <c r="G728" s="49">
        <v>0</v>
      </c>
      <c r="H728" s="49">
        <v>0</v>
      </c>
      <c r="I728" s="49">
        <v>0</v>
      </c>
      <c r="J728" s="49">
        <v>0</v>
      </c>
      <c r="K728" s="49">
        <v>16.96</v>
      </c>
      <c r="L728" s="49">
        <v>0</v>
      </c>
      <c r="M728" s="49">
        <v>0</v>
      </c>
      <c r="N728" s="49">
        <v>0</v>
      </c>
      <c r="O728" s="49">
        <v>191.67</v>
      </c>
      <c r="P728" s="49">
        <v>45.53</v>
      </c>
      <c r="Q728" s="49">
        <v>17.21</v>
      </c>
      <c r="R728" s="49">
        <v>13.17</v>
      </c>
      <c r="S728" s="49">
        <v>24.81</v>
      </c>
    </row>
    <row r="729" spans="1:19" ht="18">
      <c r="A729" s="49">
        <v>3376</v>
      </c>
      <c r="B729" s="49" t="s">
        <v>848</v>
      </c>
      <c r="C729" s="49">
        <v>0</v>
      </c>
      <c r="D729" s="49">
        <v>8.31</v>
      </c>
      <c r="E729" s="49">
        <v>16.18</v>
      </c>
      <c r="F729" s="49">
        <v>14.62</v>
      </c>
      <c r="G729" s="49">
        <v>18.57</v>
      </c>
      <c r="H729" s="49">
        <v>21.01</v>
      </c>
      <c r="I729" s="49">
        <v>14.7</v>
      </c>
      <c r="J729" s="49">
        <v>12.95</v>
      </c>
      <c r="K729" s="49">
        <v>14.49</v>
      </c>
      <c r="L729" s="49">
        <v>13.98</v>
      </c>
      <c r="M729" s="49">
        <v>12.32</v>
      </c>
      <c r="N729" s="49">
        <v>16.77</v>
      </c>
      <c r="O729" s="49">
        <v>17.72</v>
      </c>
      <c r="P729" s="49">
        <v>16.28</v>
      </c>
      <c r="Q729" s="49">
        <v>13.45</v>
      </c>
      <c r="R729" s="49">
        <v>8.49</v>
      </c>
      <c r="S729" s="49">
        <v>29.55</v>
      </c>
    </row>
    <row r="730" spans="1:19" ht="18">
      <c r="A730" s="49">
        <v>3379</v>
      </c>
      <c r="B730" s="49" t="s">
        <v>1389</v>
      </c>
      <c r="C730" s="49">
        <v>0</v>
      </c>
      <c r="D730" s="49">
        <v>0</v>
      </c>
      <c r="E730" s="49">
        <v>0</v>
      </c>
      <c r="F730" s="49">
        <v>0</v>
      </c>
      <c r="G730" s="49">
        <v>8.93</v>
      </c>
      <c r="H730" s="49">
        <v>10.57</v>
      </c>
      <c r="I730" s="49">
        <v>23.42</v>
      </c>
      <c r="J730" s="49">
        <v>13.99</v>
      </c>
      <c r="K730" s="49">
        <v>52.12</v>
      </c>
      <c r="L730" s="49">
        <v>0</v>
      </c>
      <c r="M730" s="49">
        <v>0</v>
      </c>
      <c r="N730" s="49">
        <v>0</v>
      </c>
      <c r="O730" s="49">
        <v>0</v>
      </c>
      <c r="P730" s="49">
        <v>18.66</v>
      </c>
      <c r="Q730" s="49">
        <v>0</v>
      </c>
      <c r="R730" s="49">
        <v>53.18</v>
      </c>
      <c r="S730" s="49">
        <v>0</v>
      </c>
    </row>
    <row r="731" spans="1:19" ht="18">
      <c r="A731" s="49">
        <v>3380</v>
      </c>
      <c r="B731" s="49" t="s">
        <v>849</v>
      </c>
      <c r="C731" s="49">
        <v>9.81</v>
      </c>
      <c r="D731" s="49">
        <v>6.36</v>
      </c>
      <c r="E731" s="49">
        <v>21.17</v>
      </c>
      <c r="F731" s="49">
        <v>10.42</v>
      </c>
      <c r="G731" s="49">
        <v>13.67</v>
      </c>
      <c r="H731" s="49">
        <v>11.65</v>
      </c>
      <c r="I731" s="49">
        <v>15.65</v>
      </c>
      <c r="J731" s="49">
        <v>15.38</v>
      </c>
      <c r="K731" s="49">
        <v>244.29</v>
      </c>
      <c r="L731" s="49">
        <v>22.79</v>
      </c>
      <c r="M731" s="49">
        <v>17.25</v>
      </c>
      <c r="N731" s="49">
        <v>0</v>
      </c>
      <c r="O731" s="49">
        <v>44.43</v>
      </c>
      <c r="P731" s="49">
        <v>43.4</v>
      </c>
      <c r="Q731" s="49">
        <v>31.65</v>
      </c>
      <c r="R731" s="49">
        <v>19.45</v>
      </c>
      <c r="S731" s="49">
        <v>28.38</v>
      </c>
    </row>
    <row r="732" spans="1:19" ht="18">
      <c r="A732" s="49">
        <v>3388</v>
      </c>
      <c r="B732" s="49" t="s">
        <v>1390</v>
      </c>
      <c r="C732" s="49">
        <v>15.81</v>
      </c>
      <c r="D732" s="49">
        <v>4.58</v>
      </c>
      <c r="E732" s="49">
        <v>20.03</v>
      </c>
      <c r="F732" s="49">
        <v>9.3000000000000007</v>
      </c>
      <c r="G732" s="49">
        <v>8.66</v>
      </c>
      <c r="H732" s="49">
        <v>12.65</v>
      </c>
      <c r="I732" s="49">
        <v>12.9</v>
      </c>
      <c r="J732" s="49">
        <v>13.4</v>
      </c>
      <c r="K732" s="49">
        <v>13.2</v>
      </c>
      <c r="L732" s="49">
        <v>13.65</v>
      </c>
      <c r="M732" s="49">
        <v>14.22</v>
      </c>
      <c r="N732" s="49">
        <v>9.4600000000000009</v>
      </c>
      <c r="O732" s="49">
        <v>13.71</v>
      </c>
      <c r="P732" s="49">
        <v>13.37</v>
      </c>
      <c r="Q732" s="49">
        <v>11.49</v>
      </c>
      <c r="R732" s="49">
        <v>9.3000000000000007</v>
      </c>
      <c r="S732" s="49">
        <v>22.89</v>
      </c>
    </row>
    <row r="733" spans="1:19" ht="18">
      <c r="A733" s="49">
        <v>3390</v>
      </c>
      <c r="B733" s="49" t="s">
        <v>1391</v>
      </c>
      <c r="C733" s="49">
        <v>22.1</v>
      </c>
      <c r="D733" s="49">
        <v>5.55</v>
      </c>
      <c r="E733" s="49">
        <v>14.22</v>
      </c>
      <c r="F733" s="49">
        <v>11.99</v>
      </c>
      <c r="G733" s="49">
        <v>8.32</v>
      </c>
      <c r="H733" s="49">
        <v>7.85</v>
      </c>
      <c r="I733" s="49">
        <v>8.81</v>
      </c>
      <c r="J733" s="49">
        <v>11.71</v>
      </c>
      <c r="K733" s="49">
        <v>9.44</v>
      </c>
      <c r="L733" s="49">
        <v>0</v>
      </c>
      <c r="M733" s="49">
        <v>41.79</v>
      </c>
      <c r="N733" s="49">
        <v>30.29</v>
      </c>
      <c r="O733" s="49">
        <v>2320</v>
      </c>
      <c r="P733" s="49">
        <v>0</v>
      </c>
      <c r="Q733" s="49">
        <v>0</v>
      </c>
      <c r="R733" s="49">
        <v>10.29</v>
      </c>
      <c r="S733" s="49">
        <v>40.83</v>
      </c>
    </row>
    <row r="734" spans="1:19" ht="18">
      <c r="A734" s="49">
        <v>3402</v>
      </c>
      <c r="B734" s="49" t="s">
        <v>1392</v>
      </c>
      <c r="C734" s="49">
        <v>8.3699999999999992</v>
      </c>
      <c r="D734" s="49">
        <v>4.79</v>
      </c>
      <c r="E734" s="49">
        <v>0</v>
      </c>
      <c r="F734" s="49">
        <v>22.38</v>
      </c>
      <c r="G734" s="49">
        <v>4.71</v>
      </c>
      <c r="H734" s="49">
        <v>632.5</v>
      </c>
      <c r="I734" s="49">
        <v>47.92</v>
      </c>
      <c r="J734" s="49">
        <v>48.75</v>
      </c>
      <c r="K734" s="49">
        <v>10.27</v>
      </c>
      <c r="L734" s="49">
        <v>11.45</v>
      </c>
      <c r="M734" s="49">
        <v>9.2100000000000009</v>
      </c>
      <c r="N734" s="49">
        <v>8.2899999999999991</v>
      </c>
      <c r="O734" s="49">
        <v>12.03</v>
      </c>
      <c r="P734" s="49">
        <v>10.96</v>
      </c>
      <c r="Q734" s="49">
        <v>12.36</v>
      </c>
      <c r="R734" s="49">
        <v>9</v>
      </c>
      <c r="S734" s="49">
        <v>13.55</v>
      </c>
    </row>
    <row r="735" spans="1:19" ht="18">
      <c r="A735" s="49">
        <v>3406</v>
      </c>
      <c r="B735" s="49" t="s">
        <v>850</v>
      </c>
      <c r="C735" s="49">
        <v>0</v>
      </c>
      <c r="D735" s="49">
        <v>0</v>
      </c>
      <c r="E735" s="49">
        <v>0</v>
      </c>
      <c r="F735" s="49">
        <v>0</v>
      </c>
      <c r="G735" s="49">
        <v>15.71</v>
      </c>
      <c r="H735" s="49">
        <v>26.08</v>
      </c>
      <c r="I735" s="49">
        <v>0</v>
      </c>
      <c r="J735" s="49">
        <v>0</v>
      </c>
      <c r="K735" s="49">
        <v>0</v>
      </c>
      <c r="L735" s="49">
        <v>0</v>
      </c>
      <c r="M735" s="49">
        <v>34.200000000000003</v>
      </c>
      <c r="N735" s="49">
        <v>15.07</v>
      </c>
      <c r="O735" s="49">
        <v>32.630000000000003</v>
      </c>
      <c r="P735" s="49">
        <v>20.69</v>
      </c>
      <c r="Q735" s="49">
        <v>24.99</v>
      </c>
      <c r="R735" s="49">
        <v>11.28</v>
      </c>
      <c r="S735" s="49">
        <v>17.16</v>
      </c>
    </row>
    <row r="736" spans="1:19" ht="18">
      <c r="A736" s="49">
        <v>3413</v>
      </c>
      <c r="B736" s="49" t="s">
        <v>851</v>
      </c>
      <c r="C736" s="49">
        <v>0</v>
      </c>
      <c r="D736" s="49">
        <v>0</v>
      </c>
      <c r="E736" s="49">
        <v>0</v>
      </c>
      <c r="F736" s="49">
        <v>0</v>
      </c>
      <c r="G736" s="49">
        <v>0</v>
      </c>
      <c r="H736" s="49">
        <v>0</v>
      </c>
      <c r="I736" s="49">
        <v>0</v>
      </c>
      <c r="J736" s="49">
        <v>0</v>
      </c>
      <c r="K736" s="49">
        <v>15.77</v>
      </c>
      <c r="L736" s="49">
        <v>11.19</v>
      </c>
      <c r="M736" s="49">
        <v>15.69</v>
      </c>
      <c r="N736" s="49">
        <v>8.83</v>
      </c>
      <c r="O736" s="49">
        <v>25.11</v>
      </c>
      <c r="P736" s="49">
        <v>14.12</v>
      </c>
      <c r="Q736" s="49">
        <v>15.91</v>
      </c>
      <c r="R736" s="49">
        <v>7.63</v>
      </c>
      <c r="S736" s="49">
        <v>10.75</v>
      </c>
    </row>
    <row r="737" spans="1:19" ht="18">
      <c r="A737" s="49">
        <v>3416</v>
      </c>
      <c r="B737" s="49" t="s">
        <v>852</v>
      </c>
      <c r="C737" s="49">
        <v>18.54</v>
      </c>
      <c r="D737" s="49">
        <v>7.42</v>
      </c>
      <c r="E737" s="49">
        <v>16.87</v>
      </c>
      <c r="F737" s="49">
        <v>16.14</v>
      </c>
      <c r="G737" s="49">
        <v>10.65</v>
      </c>
      <c r="H737" s="49">
        <v>11.84</v>
      </c>
      <c r="I737" s="49">
        <v>16.54</v>
      </c>
      <c r="J737" s="49">
        <v>16.63</v>
      </c>
      <c r="K737" s="49">
        <v>15.64</v>
      </c>
      <c r="L737" s="49">
        <v>15.6</v>
      </c>
      <c r="M737" s="49">
        <v>22.99</v>
      </c>
      <c r="N737" s="49">
        <v>20.6</v>
      </c>
      <c r="O737" s="49">
        <v>15.49</v>
      </c>
      <c r="P737" s="49">
        <v>22.62</v>
      </c>
      <c r="Q737" s="49">
        <v>15.81</v>
      </c>
      <c r="R737" s="49">
        <v>14.46</v>
      </c>
      <c r="S737" s="49">
        <v>17.809999999999999</v>
      </c>
    </row>
    <row r="738" spans="1:19" ht="18">
      <c r="A738" s="49">
        <v>3419</v>
      </c>
      <c r="B738" s="49" t="s">
        <v>853</v>
      </c>
      <c r="C738" s="49">
        <v>14.15</v>
      </c>
      <c r="D738" s="49">
        <v>0</v>
      </c>
      <c r="E738" s="49">
        <v>60.3</v>
      </c>
      <c r="F738" s="49">
        <v>0</v>
      </c>
      <c r="G738" s="49">
        <v>0</v>
      </c>
      <c r="H738" s="49">
        <v>0</v>
      </c>
      <c r="I738" s="49">
        <v>0</v>
      </c>
      <c r="J738" s="49">
        <v>0</v>
      </c>
      <c r="K738" s="49">
        <v>0</v>
      </c>
      <c r="L738" s="49">
        <v>149.55000000000001</v>
      </c>
      <c r="M738" s="49">
        <v>21.7</v>
      </c>
      <c r="N738" s="49">
        <v>0</v>
      </c>
      <c r="O738" s="49">
        <v>0</v>
      </c>
      <c r="P738" s="49">
        <v>94.77</v>
      </c>
      <c r="Q738" s="49">
        <v>0</v>
      </c>
      <c r="R738" s="49">
        <v>55.76</v>
      </c>
      <c r="S738" s="49">
        <v>0</v>
      </c>
    </row>
    <row r="739" spans="1:19" ht="18">
      <c r="A739" s="49">
        <v>3426</v>
      </c>
      <c r="B739" s="49" t="s">
        <v>1393</v>
      </c>
      <c r="C739" s="49">
        <v>0</v>
      </c>
      <c r="D739" s="49">
        <v>0</v>
      </c>
      <c r="E739" s="49">
        <v>0</v>
      </c>
      <c r="F739" s="49">
        <v>0</v>
      </c>
      <c r="G739" s="49">
        <v>0</v>
      </c>
      <c r="H739" s="49">
        <v>0</v>
      </c>
      <c r="I739" s="49">
        <v>0</v>
      </c>
      <c r="J739" s="49">
        <v>0</v>
      </c>
      <c r="K739" s="49">
        <v>0</v>
      </c>
      <c r="L739" s="49">
        <v>16.899999999999999</v>
      </c>
      <c r="M739" s="49">
        <v>13.75</v>
      </c>
      <c r="N739" s="49">
        <v>12.99</v>
      </c>
      <c r="O739" s="49">
        <v>15.7</v>
      </c>
      <c r="P739" s="49">
        <v>20.29</v>
      </c>
      <c r="Q739" s="49">
        <v>17.82</v>
      </c>
      <c r="R739" s="49">
        <v>12.48</v>
      </c>
      <c r="S739" s="49">
        <v>17.579999999999998</v>
      </c>
    </row>
    <row r="740" spans="1:19" ht="18">
      <c r="A740" s="49">
        <v>3430</v>
      </c>
      <c r="B740" s="49" t="s">
        <v>1394</v>
      </c>
      <c r="C740" s="49">
        <v>0</v>
      </c>
      <c r="D740" s="49">
        <v>0</v>
      </c>
      <c r="E740" s="49">
        <v>0</v>
      </c>
      <c r="F740" s="49">
        <v>0</v>
      </c>
      <c r="G740" s="49">
        <v>0</v>
      </c>
      <c r="H740" s="49">
        <v>0</v>
      </c>
      <c r="I740" s="49">
        <v>0</v>
      </c>
      <c r="J740" s="49">
        <v>0</v>
      </c>
      <c r="K740" s="49">
        <v>0</v>
      </c>
      <c r="L740" s="49">
        <v>0</v>
      </c>
      <c r="M740" s="49">
        <v>0</v>
      </c>
      <c r="N740" s="49">
        <v>0</v>
      </c>
      <c r="O740" s="49">
        <v>0</v>
      </c>
      <c r="P740" s="49">
        <v>0</v>
      </c>
      <c r="Q740" s="49">
        <v>0</v>
      </c>
      <c r="R740" s="49">
        <v>7.41</v>
      </c>
      <c r="S740" s="49">
        <v>10.84</v>
      </c>
    </row>
    <row r="741" spans="1:19" ht="18">
      <c r="A741" s="49">
        <v>3432</v>
      </c>
      <c r="B741" s="49" t="s">
        <v>854</v>
      </c>
      <c r="C741" s="49">
        <v>0</v>
      </c>
      <c r="D741" s="49">
        <v>0</v>
      </c>
      <c r="E741" s="49">
        <v>0</v>
      </c>
      <c r="F741" s="49">
        <v>10.73</v>
      </c>
      <c r="G741" s="49">
        <v>0</v>
      </c>
      <c r="H741" s="49">
        <v>0</v>
      </c>
      <c r="I741" s="49">
        <v>0</v>
      </c>
      <c r="J741" s="49">
        <v>70.260000000000005</v>
      </c>
      <c r="K741" s="49">
        <v>28.09</v>
      </c>
      <c r="L741" s="49">
        <v>0</v>
      </c>
      <c r="M741" s="49">
        <v>0</v>
      </c>
      <c r="N741" s="49">
        <v>3.91</v>
      </c>
      <c r="O741" s="49">
        <v>12.29</v>
      </c>
      <c r="P741" s="49">
        <v>38.29</v>
      </c>
      <c r="Q741" s="49">
        <v>23.46</v>
      </c>
      <c r="R741" s="49">
        <v>7.39</v>
      </c>
      <c r="S741" s="49">
        <v>0</v>
      </c>
    </row>
    <row r="742" spans="1:19" ht="18">
      <c r="A742" s="49">
        <v>3434</v>
      </c>
      <c r="B742" s="49" t="s">
        <v>1395</v>
      </c>
      <c r="C742" s="49">
        <v>0</v>
      </c>
      <c r="D742" s="49">
        <v>7.89</v>
      </c>
      <c r="E742" s="49">
        <v>0</v>
      </c>
      <c r="F742" s="49">
        <v>0</v>
      </c>
      <c r="G742" s="49">
        <v>0</v>
      </c>
      <c r="H742" s="49">
        <v>0</v>
      </c>
      <c r="I742" s="49">
        <v>147.13999999999999</v>
      </c>
      <c r="J742" s="49">
        <v>48.6</v>
      </c>
      <c r="K742" s="49">
        <v>22.17</v>
      </c>
      <c r="L742" s="49">
        <v>16.489999999999998</v>
      </c>
      <c r="M742" s="49">
        <v>45.56</v>
      </c>
      <c r="N742" s="49">
        <v>75</v>
      </c>
      <c r="O742" s="49">
        <v>12.9</v>
      </c>
      <c r="P742" s="49">
        <v>0</v>
      </c>
      <c r="Q742" s="49">
        <v>35.380000000000003</v>
      </c>
      <c r="R742" s="49">
        <v>11.85</v>
      </c>
      <c r="S742" s="49">
        <v>43.2</v>
      </c>
    </row>
    <row r="743" spans="1:19" ht="18">
      <c r="A743" s="49">
        <v>3437</v>
      </c>
      <c r="B743" s="49" t="s">
        <v>855</v>
      </c>
      <c r="C743" s="49">
        <v>0</v>
      </c>
      <c r="D743" s="49">
        <v>0</v>
      </c>
      <c r="E743" s="49">
        <v>0</v>
      </c>
      <c r="F743" s="49">
        <v>0</v>
      </c>
      <c r="G743" s="49">
        <v>0</v>
      </c>
      <c r="H743" s="49">
        <v>0</v>
      </c>
      <c r="I743" s="49">
        <v>0</v>
      </c>
      <c r="J743" s="49">
        <v>12.63</v>
      </c>
      <c r="K743" s="49">
        <v>10.7</v>
      </c>
      <c r="L743" s="49">
        <v>23.83</v>
      </c>
      <c r="M743" s="49">
        <v>47.44</v>
      </c>
      <c r="N743" s="49">
        <v>0</v>
      </c>
      <c r="O743" s="49">
        <v>0</v>
      </c>
      <c r="P743" s="49">
        <v>0</v>
      </c>
      <c r="Q743" s="49">
        <v>80.31</v>
      </c>
      <c r="R743" s="49">
        <v>0</v>
      </c>
      <c r="S743" s="49">
        <v>0</v>
      </c>
    </row>
    <row r="744" spans="1:19" ht="18">
      <c r="A744" s="49">
        <v>3438</v>
      </c>
      <c r="B744" s="49" t="s">
        <v>1396</v>
      </c>
      <c r="C744" s="49">
        <v>16.63</v>
      </c>
      <c r="D744" s="49">
        <v>5.04</v>
      </c>
      <c r="E744" s="49">
        <v>31.12</v>
      </c>
      <c r="F744" s="49">
        <v>14.12</v>
      </c>
      <c r="G744" s="49">
        <v>10.58</v>
      </c>
      <c r="H744" s="49">
        <v>15.9</v>
      </c>
      <c r="I744" s="49">
        <v>18.37</v>
      </c>
      <c r="J744" s="49">
        <v>17.02</v>
      </c>
      <c r="K744" s="49">
        <v>18.75</v>
      </c>
      <c r="L744" s="49">
        <v>0</v>
      </c>
      <c r="M744" s="49">
        <v>0</v>
      </c>
      <c r="N744" s="49">
        <v>0</v>
      </c>
      <c r="O744" s="49">
        <v>0</v>
      </c>
      <c r="P744" s="49">
        <v>34.799999999999997</v>
      </c>
      <c r="Q744" s="49">
        <v>17.96</v>
      </c>
      <c r="R744" s="49">
        <v>13.84</v>
      </c>
      <c r="S744" s="49">
        <v>0</v>
      </c>
    </row>
    <row r="745" spans="1:19" ht="18">
      <c r="A745" s="49">
        <v>3441</v>
      </c>
      <c r="B745" s="49" t="s">
        <v>1397</v>
      </c>
      <c r="C745" s="49">
        <v>0</v>
      </c>
      <c r="D745" s="49">
        <v>0</v>
      </c>
      <c r="E745" s="49">
        <v>0</v>
      </c>
      <c r="F745" s="49">
        <v>14.68</v>
      </c>
      <c r="G745" s="49">
        <v>11.61</v>
      </c>
      <c r="H745" s="49">
        <v>11.57</v>
      </c>
      <c r="I745" s="49">
        <v>72.83</v>
      </c>
      <c r="J745" s="49">
        <v>0</v>
      </c>
      <c r="K745" s="49">
        <v>162.13999999999999</v>
      </c>
      <c r="L745" s="49">
        <v>0</v>
      </c>
      <c r="M745" s="49">
        <v>577.14</v>
      </c>
      <c r="N745" s="49">
        <v>0</v>
      </c>
      <c r="O745" s="49">
        <v>39.32</v>
      </c>
      <c r="P745" s="49">
        <v>0</v>
      </c>
      <c r="Q745" s="49">
        <v>143.52000000000001</v>
      </c>
      <c r="R745" s="49">
        <v>13.99</v>
      </c>
      <c r="S745" s="49">
        <v>39.74</v>
      </c>
    </row>
    <row r="746" spans="1:19" ht="18">
      <c r="A746" s="49">
        <v>3443</v>
      </c>
      <c r="B746" s="49" t="s">
        <v>856</v>
      </c>
      <c r="C746" s="49">
        <v>46.6</v>
      </c>
      <c r="D746" s="49">
        <v>17.850000000000001</v>
      </c>
      <c r="E746" s="49">
        <v>43.91</v>
      </c>
      <c r="F746" s="49">
        <v>30.89</v>
      </c>
      <c r="G746" s="49">
        <v>23.69</v>
      </c>
      <c r="H746" s="49">
        <v>22.64</v>
      </c>
      <c r="I746" s="49">
        <v>35.58</v>
      </c>
      <c r="J746" s="49">
        <v>25.4</v>
      </c>
      <c r="K746" s="49">
        <v>21.29</v>
      </c>
      <c r="L746" s="49">
        <v>18.559999999999999</v>
      </c>
      <c r="M746" s="49">
        <v>53.57</v>
      </c>
      <c r="N746" s="49">
        <v>25.46</v>
      </c>
      <c r="O746" s="49">
        <v>50.84</v>
      </c>
      <c r="P746" s="49">
        <v>87.82</v>
      </c>
      <c r="Q746" s="49">
        <v>50.56</v>
      </c>
      <c r="R746" s="49">
        <v>29.84</v>
      </c>
      <c r="S746" s="49">
        <v>56.29</v>
      </c>
    </row>
    <row r="747" spans="1:19" ht="18">
      <c r="A747" s="49">
        <v>3444</v>
      </c>
      <c r="B747" s="49" t="s">
        <v>1398</v>
      </c>
      <c r="C747" s="49">
        <v>0</v>
      </c>
      <c r="D747" s="49">
        <v>2.79</v>
      </c>
      <c r="E747" s="49">
        <v>26.99</v>
      </c>
      <c r="F747" s="49">
        <v>13.09</v>
      </c>
      <c r="G747" s="49">
        <v>8.1999999999999993</v>
      </c>
      <c r="H747" s="49">
        <v>14.32</v>
      </c>
      <c r="I747" s="49">
        <v>60.3</v>
      </c>
      <c r="J747" s="49">
        <v>16.25</v>
      </c>
      <c r="K747" s="49">
        <v>13.4</v>
      </c>
      <c r="L747" s="49">
        <v>17.39</v>
      </c>
      <c r="M747" s="49">
        <v>23.67</v>
      </c>
      <c r="N747" s="49">
        <v>13.13</v>
      </c>
      <c r="O747" s="49">
        <v>13.34</v>
      </c>
      <c r="P747" s="49">
        <v>12.52</v>
      </c>
      <c r="Q747" s="49">
        <v>20.43</v>
      </c>
      <c r="R747" s="49">
        <v>11.92</v>
      </c>
      <c r="S747" s="49">
        <v>40.96</v>
      </c>
    </row>
    <row r="748" spans="1:19" ht="18">
      <c r="A748" s="49">
        <v>3447</v>
      </c>
      <c r="B748" s="49" t="s">
        <v>857</v>
      </c>
      <c r="C748" s="49">
        <v>0</v>
      </c>
      <c r="D748" s="49">
        <v>0</v>
      </c>
      <c r="E748" s="49">
        <v>0</v>
      </c>
      <c r="F748" s="49">
        <v>0</v>
      </c>
      <c r="G748" s="49">
        <v>0</v>
      </c>
      <c r="H748" s="49">
        <v>0</v>
      </c>
      <c r="I748" s="49">
        <v>0</v>
      </c>
      <c r="J748" s="49">
        <v>0</v>
      </c>
      <c r="K748" s="49">
        <v>0</v>
      </c>
      <c r="L748" s="49">
        <v>0</v>
      </c>
      <c r="M748" s="49">
        <v>0</v>
      </c>
      <c r="N748" s="49">
        <v>0</v>
      </c>
      <c r="O748" s="49">
        <v>0</v>
      </c>
      <c r="P748" s="49">
        <v>0</v>
      </c>
      <c r="Q748" s="49">
        <v>0</v>
      </c>
      <c r="R748" s="49">
        <v>22.97</v>
      </c>
      <c r="S748" s="49">
        <v>21.76</v>
      </c>
    </row>
    <row r="749" spans="1:19" ht="18">
      <c r="A749" s="49">
        <v>3450</v>
      </c>
      <c r="B749" s="49" t="s">
        <v>858</v>
      </c>
      <c r="C749" s="49">
        <v>13.42</v>
      </c>
      <c r="D749" s="49">
        <v>6.17</v>
      </c>
      <c r="E749" s="49">
        <v>56.69</v>
      </c>
      <c r="F749" s="49">
        <v>15.46</v>
      </c>
      <c r="G749" s="49">
        <v>7.73</v>
      </c>
      <c r="H749" s="49">
        <v>23.8</v>
      </c>
      <c r="I749" s="49">
        <v>14.41</v>
      </c>
      <c r="J749" s="49">
        <v>11.58</v>
      </c>
      <c r="K749" s="49">
        <v>12.24</v>
      </c>
      <c r="L749" s="49">
        <v>11.39</v>
      </c>
      <c r="M749" s="49">
        <v>20.46</v>
      </c>
      <c r="N749" s="49">
        <v>13.52</v>
      </c>
      <c r="O749" s="49">
        <v>33.75</v>
      </c>
      <c r="P749" s="49">
        <v>42.5</v>
      </c>
      <c r="Q749" s="49">
        <v>23.37</v>
      </c>
      <c r="R749" s="49">
        <v>18.47</v>
      </c>
      <c r="S749" s="49">
        <v>0</v>
      </c>
    </row>
    <row r="750" spans="1:19" ht="18">
      <c r="A750" s="49">
        <v>3454</v>
      </c>
      <c r="B750" s="49" t="s">
        <v>859</v>
      </c>
      <c r="C750" s="49">
        <v>20.399999999999999</v>
      </c>
      <c r="D750" s="49">
        <v>8.7200000000000006</v>
      </c>
      <c r="E750" s="49">
        <v>48.4</v>
      </c>
      <c r="F750" s="49">
        <v>21.15</v>
      </c>
      <c r="G750" s="49">
        <v>11.97</v>
      </c>
      <c r="H750" s="49">
        <v>11.49</v>
      </c>
      <c r="I750" s="49">
        <v>17.54</v>
      </c>
      <c r="J750" s="49">
        <v>17.25</v>
      </c>
      <c r="K750" s="49">
        <v>13.06</v>
      </c>
      <c r="L750" s="49">
        <v>15.19</v>
      </c>
      <c r="M750" s="49">
        <v>17.52</v>
      </c>
      <c r="N750" s="49">
        <v>20.57</v>
      </c>
      <c r="O750" s="49">
        <v>23.1</v>
      </c>
      <c r="P750" s="49">
        <v>37.44</v>
      </c>
      <c r="Q750" s="49">
        <v>38.86</v>
      </c>
      <c r="R750" s="49">
        <v>32.14</v>
      </c>
      <c r="S750" s="49">
        <v>21.76</v>
      </c>
    </row>
    <row r="751" spans="1:19" ht="18">
      <c r="A751" s="49">
        <v>3455</v>
      </c>
      <c r="B751" s="49" t="s">
        <v>1399</v>
      </c>
      <c r="C751" s="49">
        <v>15.3</v>
      </c>
      <c r="D751" s="49">
        <v>3.29</v>
      </c>
      <c r="E751" s="49">
        <v>0</v>
      </c>
      <c r="F751" s="49">
        <v>15.47</v>
      </c>
      <c r="G751" s="49">
        <v>10.95</v>
      </c>
      <c r="H751" s="49">
        <v>0</v>
      </c>
      <c r="I751" s="49">
        <v>0</v>
      </c>
      <c r="J751" s="49">
        <v>135</v>
      </c>
      <c r="K751" s="49">
        <v>6.66</v>
      </c>
      <c r="L751" s="49">
        <v>27.41</v>
      </c>
      <c r="M751" s="49">
        <v>11.12</v>
      </c>
      <c r="N751" s="49">
        <v>13.86</v>
      </c>
      <c r="O751" s="49">
        <v>7.92</v>
      </c>
      <c r="P751" s="49">
        <v>36.47</v>
      </c>
      <c r="Q751" s="49">
        <v>13.37</v>
      </c>
      <c r="R751" s="49">
        <v>6.92</v>
      </c>
      <c r="S751" s="49">
        <v>12.06</v>
      </c>
    </row>
    <row r="752" spans="1:19" ht="18">
      <c r="A752" s="49">
        <v>3465</v>
      </c>
      <c r="B752" s="49" t="s">
        <v>1400</v>
      </c>
      <c r="C752" s="49">
        <v>0</v>
      </c>
      <c r="D752" s="49">
        <v>0</v>
      </c>
      <c r="E752" s="49">
        <v>0</v>
      </c>
      <c r="F752" s="49">
        <v>0</v>
      </c>
      <c r="G752" s="49">
        <v>0</v>
      </c>
      <c r="H752" s="49">
        <v>54.5</v>
      </c>
      <c r="I752" s="49">
        <v>0</v>
      </c>
      <c r="J752" s="49">
        <v>0</v>
      </c>
      <c r="K752" s="49">
        <v>0</v>
      </c>
      <c r="L752" s="49">
        <v>0</v>
      </c>
      <c r="M752" s="49">
        <v>0</v>
      </c>
      <c r="N752" s="49">
        <v>0</v>
      </c>
      <c r="O752" s="49">
        <v>0</v>
      </c>
      <c r="P752" s="49">
        <v>4300</v>
      </c>
      <c r="Q752" s="49">
        <v>16.07</v>
      </c>
      <c r="R752" s="49">
        <v>10.35</v>
      </c>
      <c r="S752" s="49">
        <v>0</v>
      </c>
    </row>
    <row r="753" spans="1:19" ht="18">
      <c r="A753" s="49">
        <v>3466</v>
      </c>
      <c r="B753" s="49" t="s">
        <v>1401</v>
      </c>
      <c r="C753" s="49">
        <v>14.79</v>
      </c>
      <c r="D753" s="49">
        <v>10.53</v>
      </c>
      <c r="E753" s="49">
        <v>25.69</v>
      </c>
      <c r="F753" s="49">
        <v>12.77</v>
      </c>
      <c r="G753" s="49">
        <v>17.48</v>
      </c>
      <c r="H753" s="49">
        <v>11.96</v>
      </c>
      <c r="I753" s="49">
        <v>25.17</v>
      </c>
      <c r="J753" s="49">
        <v>16.52</v>
      </c>
      <c r="K753" s="49">
        <v>147</v>
      </c>
      <c r="L753" s="49">
        <v>0</v>
      </c>
      <c r="M753" s="49">
        <v>0</v>
      </c>
      <c r="N753" s="49">
        <v>0</v>
      </c>
      <c r="O753" s="49">
        <v>14.03</v>
      </c>
      <c r="P753" s="49">
        <v>0</v>
      </c>
      <c r="Q753" s="49">
        <v>0</v>
      </c>
      <c r="R753" s="49">
        <v>0</v>
      </c>
      <c r="S753" s="49">
        <v>0</v>
      </c>
    </row>
    <row r="754" spans="1:19" ht="18">
      <c r="A754" s="49">
        <v>3479</v>
      </c>
      <c r="B754" s="49" t="s">
        <v>1402</v>
      </c>
      <c r="C754" s="49">
        <v>0</v>
      </c>
      <c r="D754" s="49">
        <v>0</v>
      </c>
      <c r="E754" s="49">
        <v>0</v>
      </c>
      <c r="F754" s="49">
        <v>12.63</v>
      </c>
      <c r="G754" s="49">
        <v>12.83</v>
      </c>
      <c r="H754" s="49">
        <v>7.88</v>
      </c>
      <c r="I754" s="49">
        <v>13.42</v>
      </c>
      <c r="J754" s="49">
        <v>14.04</v>
      </c>
      <c r="K754" s="49">
        <v>16.670000000000002</v>
      </c>
      <c r="L754" s="49">
        <v>11.41</v>
      </c>
      <c r="M754" s="49">
        <v>15.34</v>
      </c>
      <c r="N754" s="49">
        <v>11.85</v>
      </c>
      <c r="O754" s="49">
        <v>13.59</v>
      </c>
      <c r="P754" s="49">
        <v>11.94</v>
      </c>
      <c r="Q754" s="49">
        <v>25.75</v>
      </c>
      <c r="R754" s="49">
        <v>11.99</v>
      </c>
      <c r="S754" s="49">
        <v>12.99</v>
      </c>
    </row>
    <row r="755" spans="1:19" ht="18">
      <c r="A755" s="49">
        <v>3481</v>
      </c>
      <c r="B755" s="49" t="s">
        <v>860</v>
      </c>
      <c r="C755" s="49">
        <v>24.72</v>
      </c>
      <c r="D755" s="49">
        <v>5.65</v>
      </c>
      <c r="E755" s="49">
        <v>0</v>
      </c>
      <c r="F755" s="49">
        <v>27.6</v>
      </c>
      <c r="G755" s="49">
        <v>0</v>
      </c>
      <c r="H755" s="49">
        <v>0</v>
      </c>
      <c r="I755" s="49">
        <v>31.53</v>
      </c>
      <c r="J755" s="49">
        <v>16.739999999999998</v>
      </c>
      <c r="K755" s="49">
        <v>3.45</v>
      </c>
      <c r="L755" s="49">
        <v>0</v>
      </c>
      <c r="M755" s="49">
        <v>2.83</v>
      </c>
      <c r="N755" s="49">
        <v>13.32</v>
      </c>
      <c r="O755" s="49">
        <v>0</v>
      </c>
      <c r="P755" s="49">
        <v>0</v>
      </c>
      <c r="Q755" s="49">
        <v>3.35</v>
      </c>
      <c r="R755" s="49">
        <v>0</v>
      </c>
      <c r="S755" s="49">
        <v>0</v>
      </c>
    </row>
    <row r="756" spans="1:19" ht="18">
      <c r="A756" s="49">
        <v>3483</v>
      </c>
      <c r="B756" s="49" t="s">
        <v>1403</v>
      </c>
      <c r="C756" s="49">
        <v>14.4</v>
      </c>
      <c r="D756" s="49">
        <v>4.74</v>
      </c>
      <c r="E756" s="49">
        <v>19.21</v>
      </c>
      <c r="F756" s="49">
        <v>36.25</v>
      </c>
      <c r="G756" s="49">
        <v>0</v>
      </c>
      <c r="H756" s="49">
        <v>9.23</v>
      </c>
      <c r="I756" s="49">
        <v>0</v>
      </c>
      <c r="J756" s="49">
        <v>0</v>
      </c>
      <c r="K756" s="49">
        <v>0</v>
      </c>
      <c r="L756" s="49">
        <v>13.07</v>
      </c>
      <c r="M756" s="49">
        <v>28.45</v>
      </c>
      <c r="N756" s="49">
        <v>32.21</v>
      </c>
      <c r="O756" s="49">
        <v>27.16</v>
      </c>
      <c r="P756" s="49">
        <v>14.93</v>
      </c>
      <c r="Q756" s="49">
        <v>24.24</v>
      </c>
      <c r="R756" s="49">
        <v>6.75</v>
      </c>
      <c r="S756" s="49">
        <v>21.96</v>
      </c>
    </row>
    <row r="757" spans="1:19" ht="18">
      <c r="A757" s="49">
        <v>3484</v>
      </c>
      <c r="B757" s="49" t="s">
        <v>1404</v>
      </c>
      <c r="C757" s="49">
        <v>10.3</v>
      </c>
      <c r="D757" s="49">
        <v>5.6</v>
      </c>
      <c r="E757" s="49">
        <v>16.86</v>
      </c>
      <c r="F757" s="49">
        <v>10.42</v>
      </c>
      <c r="G757" s="49">
        <v>10.83</v>
      </c>
      <c r="H757" s="49">
        <v>16.149999999999999</v>
      </c>
      <c r="I757" s="49">
        <v>17.95</v>
      </c>
      <c r="J757" s="49">
        <v>15.42</v>
      </c>
      <c r="K757" s="49">
        <v>10.050000000000001</v>
      </c>
      <c r="L757" s="49">
        <v>13.59</v>
      </c>
      <c r="M757" s="49">
        <v>15.84</v>
      </c>
      <c r="N757" s="49">
        <v>12.16</v>
      </c>
      <c r="O757" s="49">
        <v>15.48</v>
      </c>
      <c r="P757" s="49">
        <v>16.260000000000002</v>
      </c>
      <c r="Q757" s="49">
        <v>10.119999999999999</v>
      </c>
      <c r="R757" s="49">
        <v>7.19</v>
      </c>
      <c r="S757" s="49">
        <v>40.869999999999997</v>
      </c>
    </row>
    <row r="758" spans="1:19" ht="18">
      <c r="A758" s="49">
        <v>3489</v>
      </c>
      <c r="B758" s="49" t="s">
        <v>1405</v>
      </c>
      <c r="C758" s="49">
        <v>11.06</v>
      </c>
      <c r="D758" s="49">
        <v>3.59</v>
      </c>
      <c r="E758" s="49">
        <v>19.07</v>
      </c>
      <c r="F758" s="49">
        <v>0</v>
      </c>
      <c r="G758" s="49">
        <v>0</v>
      </c>
      <c r="H758" s="49">
        <v>0</v>
      </c>
      <c r="I758" s="49">
        <v>0</v>
      </c>
      <c r="J758" s="49">
        <v>15</v>
      </c>
      <c r="K758" s="49">
        <v>99</v>
      </c>
      <c r="L758" s="49">
        <v>26</v>
      </c>
      <c r="M758" s="49">
        <v>18.649999999999999</v>
      </c>
      <c r="N758" s="49">
        <v>20.87</v>
      </c>
      <c r="O758" s="49">
        <v>19.190000000000001</v>
      </c>
      <c r="P758" s="49">
        <v>21.57</v>
      </c>
      <c r="Q758" s="49">
        <v>27.33</v>
      </c>
      <c r="R758" s="49">
        <v>0</v>
      </c>
      <c r="S758" s="49">
        <v>30.69</v>
      </c>
    </row>
    <row r="759" spans="1:19" ht="18">
      <c r="A759" s="49">
        <v>3490</v>
      </c>
      <c r="B759" s="49" t="s">
        <v>1406</v>
      </c>
      <c r="C759" s="49">
        <v>12.64</v>
      </c>
      <c r="D759" s="49">
        <v>5.0199999999999996</v>
      </c>
      <c r="E759" s="49">
        <v>0</v>
      </c>
      <c r="F759" s="49">
        <v>11.87</v>
      </c>
      <c r="G759" s="49">
        <v>6.44</v>
      </c>
      <c r="H759" s="49">
        <v>16.79</v>
      </c>
      <c r="I759" s="49">
        <v>92.86</v>
      </c>
      <c r="J759" s="49">
        <v>17.329999999999998</v>
      </c>
      <c r="K759" s="49">
        <v>8.2100000000000009</v>
      </c>
      <c r="L759" s="49">
        <v>28.91</v>
      </c>
      <c r="M759" s="49">
        <v>0</v>
      </c>
      <c r="N759" s="49">
        <v>0</v>
      </c>
      <c r="O759" s="49">
        <v>0</v>
      </c>
      <c r="P759" s="49">
        <v>106.41</v>
      </c>
      <c r="Q759" s="49">
        <v>18.059999999999999</v>
      </c>
      <c r="R759" s="49">
        <v>11.38</v>
      </c>
      <c r="S759" s="49">
        <v>19.75</v>
      </c>
    </row>
    <row r="760" spans="1:19" ht="18">
      <c r="A760" s="49">
        <v>3491</v>
      </c>
      <c r="B760" s="49" t="s">
        <v>1407</v>
      </c>
      <c r="C760" s="49">
        <v>0</v>
      </c>
      <c r="D760" s="49">
        <v>12.66</v>
      </c>
      <c r="E760" s="49">
        <v>22.13</v>
      </c>
      <c r="F760" s="49">
        <v>21.67</v>
      </c>
      <c r="G760" s="49">
        <v>19.420000000000002</v>
      </c>
      <c r="H760" s="49">
        <v>20.92</v>
      </c>
      <c r="I760" s="49">
        <v>17.48</v>
      </c>
      <c r="J760" s="49">
        <v>18.3</v>
      </c>
      <c r="K760" s="49">
        <v>15.13</v>
      </c>
      <c r="L760" s="49">
        <v>17.7</v>
      </c>
      <c r="M760" s="49">
        <v>15.5</v>
      </c>
      <c r="N760" s="49">
        <v>24.49</v>
      </c>
      <c r="O760" s="49">
        <v>19.71</v>
      </c>
      <c r="P760" s="49">
        <v>33</v>
      </c>
      <c r="Q760" s="49">
        <v>67.45</v>
      </c>
      <c r="R760" s="49">
        <v>30.09</v>
      </c>
      <c r="S760" s="49">
        <v>49.69</v>
      </c>
    </row>
    <row r="761" spans="1:19" ht="18">
      <c r="A761" s="49">
        <v>3492</v>
      </c>
      <c r="B761" s="49" t="s">
        <v>1408</v>
      </c>
      <c r="C761" s="49">
        <v>0</v>
      </c>
      <c r="D761" s="49">
        <v>0</v>
      </c>
      <c r="E761" s="49">
        <v>0</v>
      </c>
      <c r="F761" s="49">
        <v>0</v>
      </c>
      <c r="G761" s="49">
        <v>0</v>
      </c>
      <c r="H761" s="49">
        <v>0</v>
      </c>
      <c r="I761" s="49">
        <v>0</v>
      </c>
      <c r="J761" s="49">
        <v>0</v>
      </c>
      <c r="K761" s="49">
        <v>14.57</v>
      </c>
      <c r="L761" s="49">
        <v>13.42</v>
      </c>
      <c r="M761" s="49">
        <v>9.77</v>
      </c>
      <c r="N761" s="49">
        <v>12.79</v>
      </c>
      <c r="O761" s="49">
        <v>12.17</v>
      </c>
      <c r="P761" s="49">
        <v>42.5</v>
      </c>
      <c r="Q761" s="49">
        <v>26.76</v>
      </c>
      <c r="R761" s="49">
        <v>14.26</v>
      </c>
      <c r="S761" s="49">
        <v>23.11</v>
      </c>
    </row>
    <row r="762" spans="1:19" ht="18">
      <c r="A762" s="49">
        <v>3494</v>
      </c>
      <c r="B762" s="49" t="s">
        <v>861</v>
      </c>
      <c r="C762" s="49">
        <v>11.87</v>
      </c>
      <c r="D762" s="49">
        <v>10.77</v>
      </c>
      <c r="E762" s="49">
        <v>20.96</v>
      </c>
      <c r="F762" s="49">
        <v>34.14</v>
      </c>
      <c r="G762" s="49">
        <v>57.67</v>
      </c>
      <c r="H762" s="49">
        <v>0</v>
      </c>
      <c r="I762" s="49">
        <v>0</v>
      </c>
      <c r="J762" s="49">
        <v>38.020000000000003</v>
      </c>
      <c r="K762" s="49">
        <v>421.67</v>
      </c>
      <c r="L762" s="49">
        <v>0</v>
      </c>
      <c r="M762" s="49">
        <v>0</v>
      </c>
      <c r="N762" s="49">
        <v>0</v>
      </c>
      <c r="O762" s="49">
        <v>0</v>
      </c>
      <c r="P762" s="49">
        <v>0</v>
      </c>
      <c r="Q762" s="49">
        <v>0</v>
      </c>
      <c r="R762" s="49">
        <v>0</v>
      </c>
      <c r="S762" s="49">
        <v>0</v>
      </c>
    </row>
    <row r="763" spans="1:19" ht="18">
      <c r="A763" s="49">
        <v>3498</v>
      </c>
      <c r="B763" s="49" t="s">
        <v>1409</v>
      </c>
      <c r="C763" s="49">
        <v>9.19</v>
      </c>
      <c r="D763" s="49">
        <v>6.85</v>
      </c>
      <c r="E763" s="49">
        <v>12.59</v>
      </c>
      <c r="F763" s="49">
        <v>0</v>
      </c>
      <c r="G763" s="49">
        <v>0</v>
      </c>
      <c r="H763" s="49">
        <v>0</v>
      </c>
      <c r="I763" s="49">
        <v>13.33</v>
      </c>
      <c r="J763" s="49">
        <v>27.43</v>
      </c>
      <c r="K763" s="49">
        <v>10.77</v>
      </c>
      <c r="L763" s="49">
        <v>25.58</v>
      </c>
      <c r="M763" s="49">
        <v>50</v>
      </c>
      <c r="N763" s="49">
        <v>0</v>
      </c>
      <c r="O763" s="49">
        <v>0</v>
      </c>
      <c r="P763" s="49">
        <v>0</v>
      </c>
      <c r="Q763" s="49">
        <v>0</v>
      </c>
      <c r="R763" s="49">
        <v>0</v>
      </c>
      <c r="S763" s="49">
        <v>63.83</v>
      </c>
    </row>
    <row r="764" spans="1:19" ht="18">
      <c r="A764" s="49">
        <v>3499</v>
      </c>
      <c r="B764" s="49" t="s">
        <v>1410</v>
      </c>
      <c r="C764" s="49">
        <v>21.06</v>
      </c>
      <c r="D764" s="49">
        <v>0</v>
      </c>
      <c r="E764" s="49">
        <v>0</v>
      </c>
      <c r="F764" s="49">
        <v>21.67</v>
      </c>
      <c r="G764" s="49">
        <v>0</v>
      </c>
      <c r="H764" s="49">
        <v>0</v>
      </c>
      <c r="I764" s="49">
        <v>0</v>
      </c>
      <c r="J764" s="49">
        <v>0</v>
      </c>
      <c r="K764" s="49">
        <v>75.36</v>
      </c>
      <c r="L764" s="49">
        <v>0</v>
      </c>
      <c r="M764" s="49">
        <v>25.61</v>
      </c>
      <c r="N764" s="49">
        <v>103.33</v>
      </c>
      <c r="O764" s="49">
        <v>18.239999999999998</v>
      </c>
      <c r="P764" s="49">
        <v>0</v>
      </c>
      <c r="Q764" s="49">
        <v>0</v>
      </c>
      <c r="R764" s="49">
        <v>74.2</v>
      </c>
      <c r="S764" s="49">
        <v>0</v>
      </c>
    </row>
    <row r="765" spans="1:19" ht="18">
      <c r="A765" s="49">
        <v>3501</v>
      </c>
      <c r="B765" s="49" t="s">
        <v>862</v>
      </c>
      <c r="C765" s="49">
        <v>11.71</v>
      </c>
      <c r="D765" s="49">
        <v>6.05</v>
      </c>
      <c r="E765" s="49">
        <v>18.52</v>
      </c>
      <c r="F765" s="49">
        <v>8.89</v>
      </c>
      <c r="G765" s="49">
        <v>8.06</v>
      </c>
      <c r="H765" s="49">
        <v>9.6999999999999993</v>
      </c>
      <c r="I765" s="49">
        <v>10.45</v>
      </c>
      <c r="J765" s="49">
        <v>14.41</v>
      </c>
      <c r="K765" s="49">
        <v>8.49</v>
      </c>
      <c r="L765" s="49">
        <v>9.32</v>
      </c>
      <c r="M765" s="49">
        <v>10.61</v>
      </c>
      <c r="N765" s="49">
        <v>9.0299999999999994</v>
      </c>
      <c r="O765" s="49">
        <v>10.43</v>
      </c>
      <c r="P765" s="49">
        <v>13.07</v>
      </c>
      <c r="Q765" s="49">
        <v>16.23</v>
      </c>
      <c r="R765" s="49">
        <v>8.64</v>
      </c>
      <c r="S765" s="49">
        <v>11.51</v>
      </c>
    </row>
    <row r="766" spans="1:19" ht="18">
      <c r="A766" s="49">
        <v>3504</v>
      </c>
      <c r="B766" s="49" t="s">
        <v>863</v>
      </c>
      <c r="C766" s="49">
        <v>8.26</v>
      </c>
      <c r="D766" s="49">
        <v>6.63</v>
      </c>
      <c r="E766" s="49">
        <v>71.58</v>
      </c>
      <c r="F766" s="49">
        <v>40.450000000000003</v>
      </c>
      <c r="G766" s="49">
        <v>13.29</v>
      </c>
      <c r="H766" s="49">
        <v>25.49</v>
      </c>
      <c r="I766" s="49">
        <v>19.059999999999999</v>
      </c>
      <c r="J766" s="49">
        <v>49.13</v>
      </c>
      <c r="K766" s="49">
        <v>21.67</v>
      </c>
      <c r="L766" s="49">
        <v>0</v>
      </c>
      <c r="M766" s="49">
        <v>0</v>
      </c>
      <c r="N766" s="49">
        <v>48.48</v>
      </c>
      <c r="O766" s="49">
        <v>163.92</v>
      </c>
      <c r="P766" s="49">
        <v>0</v>
      </c>
      <c r="Q766" s="49">
        <v>0</v>
      </c>
      <c r="R766" s="49">
        <v>58.76</v>
      </c>
      <c r="S766" s="49">
        <v>0</v>
      </c>
    </row>
    <row r="767" spans="1:19" ht="18">
      <c r="A767" s="49">
        <v>3508</v>
      </c>
      <c r="B767" s="49" t="s">
        <v>1411</v>
      </c>
      <c r="C767" s="49">
        <v>48.48</v>
      </c>
      <c r="D767" s="49">
        <v>22.02</v>
      </c>
      <c r="E767" s="49">
        <v>196.05</v>
      </c>
      <c r="F767" s="49">
        <v>132.31</v>
      </c>
      <c r="G767" s="49">
        <v>13.7</v>
      </c>
      <c r="H767" s="49">
        <v>15.86</v>
      </c>
      <c r="I767" s="49">
        <v>18.48</v>
      </c>
      <c r="J767" s="49">
        <v>0</v>
      </c>
      <c r="K767" s="49">
        <v>0</v>
      </c>
      <c r="L767" s="49">
        <v>0</v>
      </c>
      <c r="M767" s="49">
        <v>0</v>
      </c>
      <c r="N767" s="49">
        <v>17.43</v>
      </c>
      <c r="O767" s="49">
        <v>0</v>
      </c>
      <c r="P767" s="49">
        <v>0</v>
      </c>
      <c r="Q767" s="49">
        <v>0</v>
      </c>
      <c r="R767" s="49">
        <v>0</v>
      </c>
      <c r="S767" s="49">
        <v>0</v>
      </c>
    </row>
    <row r="768" spans="1:19" ht="18">
      <c r="A768" s="49">
        <v>3511</v>
      </c>
      <c r="B768" s="49" t="s">
        <v>1412</v>
      </c>
      <c r="C768" s="49">
        <v>0</v>
      </c>
      <c r="D768" s="49">
        <v>0</v>
      </c>
      <c r="E768" s="49">
        <v>18.77</v>
      </c>
      <c r="F768" s="49">
        <v>11.77</v>
      </c>
      <c r="G768" s="49">
        <v>13.56</v>
      </c>
      <c r="H768" s="49">
        <v>0</v>
      </c>
      <c r="I768" s="49">
        <v>53.55</v>
      </c>
      <c r="J768" s="49">
        <v>0</v>
      </c>
      <c r="K768" s="49">
        <v>23.22</v>
      </c>
      <c r="L768" s="49">
        <v>0</v>
      </c>
      <c r="M768" s="49">
        <v>0</v>
      </c>
      <c r="N768" s="49">
        <v>0</v>
      </c>
      <c r="O768" s="49">
        <v>12.19</v>
      </c>
      <c r="P768" s="49">
        <v>28.77</v>
      </c>
      <c r="Q768" s="49">
        <v>33.61</v>
      </c>
      <c r="R768" s="49">
        <v>10.49</v>
      </c>
      <c r="S768" s="49">
        <v>0</v>
      </c>
    </row>
    <row r="769" spans="1:19" ht="18">
      <c r="A769" s="49">
        <v>3512</v>
      </c>
      <c r="B769" s="49" t="s">
        <v>1413</v>
      </c>
      <c r="C769" s="49">
        <v>17.420000000000002</v>
      </c>
      <c r="D769" s="49">
        <v>26.94</v>
      </c>
      <c r="E769" s="49">
        <v>0</v>
      </c>
      <c r="F769" s="49">
        <v>0</v>
      </c>
      <c r="G769" s="49">
        <v>0</v>
      </c>
      <c r="H769" s="49">
        <v>0</v>
      </c>
      <c r="I769" s="49">
        <v>0</v>
      </c>
      <c r="J769" s="49">
        <v>0</v>
      </c>
      <c r="K769" s="49">
        <v>80.28</v>
      </c>
      <c r="L769" s="49">
        <v>0</v>
      </c>
      <c r="M769" s="49">
        <v>0</v>
      </c>
      <c r="N769" s="49">
        <v>0</v>
      </c>
      <c r="O769" s="49">
        <v>45.59</v>
      </c>
      <c r="P769" s="49">
        <v>19.53</v>
      </c>
      <c r="Q769" s="49">
        <v>8.3000000000000007</v>
      </c>
      <c r="R769" s="49">
        <v>5.76</v>
      </c>
      <c r="S769" s="49">
        <v>20.56</v>
      </c>
    </row>
    <row r="770" spans="1:19" ht="18">
      <c r="A770" s="49">
        <v>3515</v>
      </c>
      <c r="B770" s="49" t="s">
        <v>864</v>
      </c>
      <c r="C770" s="49">
        <v>8.39</v>
      </c>
      <c r="D770" s="49">
        <v>6.58</v>
      </c>
      <c r="E770" s="49">
        <v>19.11</v>
      </c>
      <c r="F770" s="49">
        <v>10.67</v>
      </c>
      <c r="G770" s="49">
        <v>8.94</v>
      </c>
      <c r="H770" s="49">
        <v>10.52</v>
      </c>
      <c r="I770" s="49">
        <v>11.6</v>
      </c>
      <c r="J770" s="49">
        <v>14.07</v>
      </c>
      <c r="K770" s="49">
        <v>15.31</v>
      </c>
      <c r="L770" s="49">
        <v>20.64</v>
      </c>
      <c r="M770" s="49">
        <v>23.02</v>
      </c>
      <c r="N770" s="49">
        <v>10.67</v>
      </c>
      <c r="O770" s="49">
        <v>18.149999999999999</v>
      </c>
      <c r="P770" s="49">
        <v>15.68</v>
      </c>
      <c r="Q770" s="49">
        <v>16.510000000000002</v>
      </c>
      <c r="R770" s="49">
        <v>10.050000000000001</v>
      </c>
      <c r="S770" s="49">
        <v>50.79</v>
      </c>
    </row>
    <row r="771" spans="1:19" ht="18">
      <c r="A771" s="49">
        <v>3516</v>
      </c>
      <c r="B771" s="49" t="s">
        <v>1414</v>
      </c>
      <c r="C771" s="49">
        <v>37.76</v>
      </c>
      <c r="D771" s="49">
        <v>7.87</v>
      </c>
      <c r="E771" s="49">
        <v>0</v>
      </c>
      <c r="F771" s="49">
        <v>700</v>
      </c>
      <c r="G771" s="49">
        <v>0</v>
      </c>
      <c r="H771" s="49">
        <v>0</v>
      </c>
      <c r="I771" s="49">
        <v>0</v>
      </c>
      <c r="J771" s="49">
        <v>0</v>
      </c>
      <c r="K771" s="49">
        <v>0</v>
      </c>
      <c r="L771" s="49">
        <v>0</v>
      </c>
      <c r="M771" s="49">
        <v>0</v>
      </c>
      <c r="N771" s="49">
        <v>0</v>
      </c>
      <c r="O771" s="49">
        <v>0</v>
      </c>
      <c r="P771" s="49">
        <v>16.43</v>
      </c>
      <c r="Q771" s="49">
        <v>1780</v>
      </c>
      <c r="R771" s="49">
        <v>19.29</v>
      </c>
      <c r="S771" s="49">
        <v>23.4</v>
      </c>
    </row>
    <row r="772" spans="1:19" ht="18">
      <c r="A772" s="49">
        <v>3518</v>
      </c>
      <c r="B772" s="49" t="s">
        <v>865</v>
      </c>
      <c r="C772" s="49">
        <v>19.149999999999999</v>
      </c>
      <c r="D772" s="49">
        <v>6.33</v>
      </c>
      <c r="E772" s="49">
        <v>13.68</v>
      </c>
      <c r="F772" s="49">
        <v>8.0500000000000007</v>
      </c>
      <c r="G772" s="49">
        <v>51.23</v>
      </c>
      <c r="H772" s="49">
        <v>0</v>
      </c>
      <c r="I772" s="49">
        <v>215.2</v>
      </c>
      <c r="J772" s="49">
        <v>0</v>
      </c>
      <c r="K772" s="49">
        <v>0</v>
      </c>
      <c r="L772" s="49">
        <v>0</v>
      </c>
      <c r="M772" s="49">
        <v>0</v>
      </c>
      <c r="N772" s="49">
        <v>0</v>
      </c>
      <c r="O772" s="49">
        <v>0</v>
      </c>
      <c r="P772" s="49">
        <v>0</v>
      </c>
      <c r="Q772" s="49">
        <v>625</v>
      </c>
      <c r="R772" s="49">
        <v>150</v>
      </c>
      <c r="S772" s="49">
        <v>72</v>
      </c>
    </row>
    <row r="773" spans="1:19" ht="18">
      <c r="A773" s="49">
        <v>3520</v>
      </c>
      <c r="B773" s="49" t="s">
        <v>1415</v>
      </c>
      <c r="C773" s="49">
        <v>9.76</v>
      </c>
      <c r="D773" s="49">
        <v>4.51</v>
      </c>
      <c r="E773" s="49">
        <v>0</v>
      </c>
      <c r="F773" s="49">
        <v>0</v>
      </c>
      <c r="G773" s="49">
        <v>0</v>
      </c>
      <c r="H773" s="49">
        <v>0</v>
      </c>
      <c r="I773" s="49">
        <v>0</v>
      </c>
      <c r="J773" s="49">
        <v>0</v>
      </c>
      <c r="K773" s="49">
        <v>0</v>
      </c>
      <c r="L773" s="49">
        <v>0</v>
      </c>
      <c r="M773" s="49">
        <v>0</v>
      </c>
      <c r="N773" s="49">
        <v>0</v>
      </c>
      <c r="O773" s="49">
        <v>23.46</v>
      </c>
      <c r="P773" s="49">
        <v>35.56</v>
      </c>
      <c r="Q773" s="49">
        <v>0</v>
      </c>
      <c r="R773" s="49">
        <v>11.1</v>
      </c>
      <c r="S773" s="49">
        <v>150.44999999999999</v>
      </c>
    </row>
    <row r="774" spans="1:19" ht="18">
      <c r="A774" s="49">
        <v>3521</v>
      </c>
      <c r="B774" s="49" t="s">
        <v>1416</v>
      </c>
      <c r="C774" s="49">
        <v>11.86</v>
      </c>
      <c r="D774" s="49">
        <v>0</v>
      </c>
      <c r="E774" s="49">
        <v>0</v>
      </c>
      <c r="F774" s="49">
        <v>0</v>
      </c>
      <c r="G774" s="49">
        <v>0</v>
      </c>
      <c r="H774" s="49">
        <v>0</v>
      </c>
      <c r="I774" s="49">
        <v>0</v>
      </c>
      <c r="J774" s="49">
        <v>0</v>
      </c>
      <c r="K774" s="49">
        <v>0</v>
      </c>
      <c r="L774" s="49">
        <v>27.51</v>
      </c>
      <c r="M774" s="49">
        <v>0</v>
      </c>
      <c r="N774" s="49">
        <v>0</v>
      </c>
      <c r="O774" s="49">
        <v>7.5</v>
      </c>
      <c r="P774" s="49">
        <v>0</v>
      </c>
      <c r="Q774" s="49">
        <v>0</v>
      </c>
      <c r="R774" s="49">
        <v>0</v>
      </c>
      <c r="S774" s="49">
        <v>0</v>
      </c>
    </row>
    <row r="775" spans="1:19" ht="18">
      <c r="A775" s="49">
        <v>3522</v>
      </c>
      <c r="B775" s="49" t="s">
        <v>1417</v>
      </c>
      <c r="C775" s="49">
        <v>12.88</v>
      </c>
      <c r="D775" s="49">
        <v>3.32</v>
      </c>
      <c r="E775" s="49">
        <v>0</v>
      </c>
      <c r="F775" s="49">
        <v>12.69</v>
      </c>
      <c r="G775" s="49">
        <v>12.97</v>
      </c>
      <c r="H775" s="49">
        <v>15.29</v>
      </c>
      <c r="I775" s="49">
        <v>15.38</v>
      </c>
      <c r="J775" s="49">
        <v>18.260000000000002</v>
      </c>
      <c r="K775" s="49">
        <v>0</v>
      </c>
      <c r="L775" s="49">
        <v>0</v>
      </c>
      <c r="M775" s="49">
        <v>0</v>
      </c>
      <c r="N775" s="49">
        <v>0</v>
      </c>
      <c r="O775" s="49">
        <v>0</v>
      </c>
      <c r="P775" s="49">
        <v>0</v>
      </c>
      <c r="Q775" s="49">
        <v>0</v>
      </c>
      <c r="R775" s="49">
        <v>0</v>
      </c>
      <c r="S775" s="49">
        <v>0</v>
      </c>
    </row>
    <row r="776" spans="1:19" ht="18">
      <c r="A776" s="49">
        <v>3523</v>
      </c>
      <c r="B776" s="49" t="s">
        <v>1418</v>
      </c>
      <c r="C776" s="49">
        <v>11.98</v>
      </c>
      <c r="D776" s="49">
        <v>4.3499999999999996</v>
      </c>
      <c r="E776" s="49">
        <v>0</v>
      </c>
      <c r="F776" s="49">
        <v>0</v>
      </c>
      <c r="G776" s="49">
        <v>0</v>
      </c>
      <c r="H776" s="49">
        <v>0</v>
      </c>
      <c r="I776" s="49">
        <v>0</v>
      </c>
      <c r="J776" s="49">
        <v>0</v>
      </c>
      <c r="K776" s="49">
        <v>0</v>
      </c>
      <c r="L776" s="49">
        <v>0</v>
      </c>
      <c r="M776" s="49">
        <v>36.85</v>
      </c>
      <c r="N776" s="49">
        <v>0</v>
      </c>
      <c r="O776" s="49">
        <v>0</v>
      </c>
      <c r="P776" s="49">
        <v>0</v>
      </c>
      <c r="Q776" s="49">
        <v>0</v>
      </c>
      <c r="R776" s="49">
        <v>0</v>
      </c>
      <c r="S776" s="49">
        <v>0</v>
      </c>
    </row>
    <row r="777" spans="1:19" ht="18">
      <c r="A777" s="49">
        <v>3526</v>
      </c>
      <c r="B777" s="49" t="s">
        <v>1419</v>
      </c>
      <c r="C777" s="49">
        <v>14.09</v>
      </c>
      <c r="D777" s="49">
        <v>5.31</v>
      </c>
      <c r="E777" s="49">
        <v>11.51</v>
      </c>
      <c r="F777" s="49">
        <v>10.72</v>
      </c>
      <c r="G777" s="49">
        <v>10.54</v>
      </c>
      <c r="H777" s="49">
        <v>12.15</v>
      </c>
      <c r="I777" s="49">
        <v>155.88</v>
      </c>
      <c r="J777" s="49">
        <v>62.4</v>
      </c>
      <c r="K777" s="49">
        <v>22.76</v>
      </c>
      <c r="L777" s="49">
        <v>15.61</v>
      </c>
      <c r="M777" s="49">
        <v>18.18</v>
      </c>
      <c r="N777" s="49">
        <v>11.11</v>
      </c>
      <c r="O777" s="49">
        <v>13.75</v>
      </c>
      <c r="P777" s="49">
        <v>11.31</v>
      </c>
      <c r="Q777" s="49">
        <v>17.55</v>
      </c>
      <c r="R777" s="49">
        <v>10.83</v>
      </c>
      <c r="S777" s="49">
        <v>19.239999999999998</v>
      </c>
    </row>
    <row r="778" spans="1:19" ht="18">
      <c r="A778" s="49">
        <v>3527</v>
      </c>
      <c r="B778" s="49" t="s">
        <v>1420</v>
      </c>
      <c r="C778" s="49">
        <v>19.22</v>
      </c>
      <c r="D778" s="49">
        <v>7.35</v>
      </c>
      <c r="E778" s="49">
        <v>29.1</v>
      </c>
      <c r="F778" s="49">
        <v>13.52</v>
      </c>
      <c r="G778" s="49">
        <v>12</v>
      </c>
      <c r="H778" s="49">
        <v>10.61</v>
      </c>
      <c r="I778" s="49">
        <v>16.22</v>
      </c>
      <c r="J778" s="49">
        <v>14.04</v>
      </c>
      <c r="K778" s="49">
        <v>9.4</v>
      </c>
      <c r="L778" s="49">
        <v>12.69</v>
      </c>
      <c r="M778" s="49">
        <v>17.59</v>
      </c>
      <c r="N778" s="49">
        <v>14.22</v>
      </c>
      <c r="O778" s="49">
        <v>18.82</v>
      </c>
      <c r="P778" s="49">
        <v>61.21</v>
      </c>
      <c r="Q778" s="49">
        <v>17.579999999999998</v>
      </c>
      <c r="R778" s="49">
        <v>10.28</v>
      </c>
      <c r="S778" s="49">
        <v>0</v>
      </c>
    </row>
    <row r="779" spans="1:19" ht="18">
      <c r="A779" s="49">
        <v>3528</v>
      </c>
      <c r="B779" s="49" t="s">
        <v>866</v>
      </c>
      <c r="C779" s="49">
        <v>0</v>
      </c>
      <c r="D779" s="49">
        <v>0</v>
      </c>
      <c r="E779" s="49">
        <v>0</v>
      </c>
      <c r="F779" s="49">
        <v>0</v>
      </c>
      <c r="G779" s="49">
        <v>7.52</v>
      </c>
      <c r="H779" s="49">
        <v>9.93</v>
      </c>
      <c r="I779" s="49">
        <v>12.33</v>
      </c>
      <c r="J779" s="49">
        <v>11.07</v>
      </c>
      <c r="K779" s="49">
        <v>8.7899999999999991</v>
      </c>
      <c r="L779" s="49">
        <v>10.61</v>
      </c>
      <c r="M779" s="49">
        <v>13.8</v>
      </c>
      <c r="N779" s="49">
        <v>11.94</v>
      </c>
      <c r="O779" s="49">
        <v>14.73</v>
      </c>
      <c r="P779" s="49">
        <v>12.93</v>
      </c>
      <c r="Q779" s="49">
        <v>12.52</v>
      </c>
      <c r="R779" s="49">
        <v>10.14</v>
      </c>
      <c r="S779" s="49">
        <v>19.11</v>
      </c>
    </row>
    <row r="780" spans="1:19" ht="18">
      <c r="A780" s="49">
        <v>3529</v>
      </c>
      <c r="B780" s="49" t="s">
        <v>1421</v>
      </c>
      <c r="C780" s="49">
        <v>0</v>
      </c>
      <c r="D780" s="49">
        <v>0</v>
      </c>
      <c r="E780" s="49">
        <v>0</v>
      </c>
      <c r="F780" s="49">
        <v>0</v>
      </c>
      <c r="G780" s="49">
        <v>29.34</v>
      </c>
      <c r="H780" s="49">
        <v>36.4</v>
      </c>
      <c r="I780" s="49">
        <v>23.72</v>
      </c>
      <c r="J780" s="49">
        <v>69.36</v>
      </c>
      <c r="K780" s="49">
        <v>62.93</v>
      </c>
      <c r="L780" s="49">
        <v>56</v>
      </c>
      <c r="M780" s="49">
        <v>52.78</v>
      </c>
      <c r="N780" s="49">
        <v>35.03</v>
      </c>
      <c r="O780" s="49">
        <v>46.91</v>
      </c>
      <c r="P780" s="49">
        <v>70.25</v>
      </c>
      <c r="Q780" s="49">
        <v>165.41</v>
      </c>
      <c r="R780" s="49">
        <v>69.239999999999995</v>
      </c>
      <c r="S780" s="49">
        <v>124.37</v>
      </c>
    </row>
    <row r="781" spans="1:19" ht="18">
      <c r="A781" s="49">
        <v>3530</v>
      </c>
      <c r="B781" s="49" t="s">
        <v>867</v>
      </c>
      <c r="C781" s="49">
        <v>0</v>
      </c>
      <c r="D781" s="49">
        <v>0</v>
      </c>
      <c r="E781" s="49">
        <v>0</v>
      </c>
      <c r="F781" s="49">
        <v>0</v>
      </c>
      <c r="G781" s="49">
        <v>0</v>
      </c>
      <c r="H781" s="49">
        <v>0</v>
      </c>
      <c r="I781" s="49">
        <v>0</v>
      </c>
      <c r="J781" s="49">
        <v>0</v>
      </c>
      <c r="K781" s="49">
        <v>0</v>
      </c>
      <c r="L781" s="49">
        <v>0</v>
      </c>
      <c r="M781" s="49">
        <v>0</v>
      </c>
      <c r="N781" s="49">
        <v>30.6</v>
      </c>
      <c r="O781" s="49">
        <v>44.46</v>
      </c>
      <c r="P781" s="49">
        <v>45.32</v>
      </c>
      <c r="Q781" s="49">
        <v>14.13</v>
      </c>
      <c r="R781" s="49">
        <v>18.920000000000002</v>
      </c>
      <c r="S781" s="49">
        <v>0</v>
      </c>
    </row>
    <row r="782" spans="1:19" ht="18">
      <c r="A782" s="49">
        <v>3531</v>
      </c>
      <c r="B782" s="49" t="s">
        <v>1422</v>
      </c>
      <c r="C782" s="49">
        <v>0</v>
      </c>
      <c r="D782" s="49">
        <v>8.0299999999999994</v>
      </c>
      <c r="E782" s="49">
        <v>29.28</v>
      </c>
      <c r="F782" s="49">
        <v>13.27</v>
      </c>
      <c r="G782" s="49">
        <v>11.89</v>
      </c>
      <c r="H782" s="49">
        <v>10.17</v>
      </c>
      <c r="I782" s="49">
        <v>12.68</v>
      </c>
      <c r="J782" s="49">
        <v>18.48</v>
      </c>
      <c r="K782" s="49">
        <v>0</v>
      </c>
      <c r="L782" s="49">
        <v>14.18</v>
      </c>
      <c r="M782" s="49">
        <v>10.56</v>
      </c>
      <c r="N782" s="49">
        <v>13.01</v>
      </c>
      <c r="O782" s="49">
        <v>12.09</v>
      </c>
      <c r="P782" s="49">
        <v>17.77</v>
      </c>
      <c r="Q782" s="49">
        <v>21.15</v>
      </c>
      <c r="R782" s="49">
        <v>6.98</v>
      </c>
      <c r="S782" s="49">
        <v>14.09</v>
      </c>
    </row>
    <row r="783" spans="1:19" ht="18">
      <c r="A783" s="49">
        <v>3532</v>
      </c>
      <c r="B783" s="49" t="s">
        <v>868</v>
      </c>
      <c r="C783" s="49">
        <v>71.040000000000006</v>
      </c>
      <c r="D783" s="49">
        <v>12.6</v>
      </c>
      <c r="E783" s="49">
        <v>0</v>
      </c>
      <c r="F783" s="49">
        <v>93.39</v>
      </c>
      <c r="G783" s="49">
        <v>81.319999999999993</v>
      </c>
      <c r="H783" s="49">
        <v>0</v>
      </c>
      <c r="I783" s="49">
        <v>180.56</v>
      </c>
      <c r="J783" s="49">
        <v>50</v>
      </c>
      <c r="K783" s="49">
        <v>18.04</v>
      </c>
      <c r="L783" s="49">
        <v>77.38</v>
      </c>
      <c r="M783" s="49">
        <v>42.65</v>
      </c>
      <c r="N783" s="49">
        <v>9.27</v>
      </c>
      <c r="O783" s="49">
        <v>13.75</v>
      </c>
      <c r="P783" s="49">
        <v>44.12</v>
      </c>
      <c r="Q783" s="49">
        <v>84.55</v>
      </c>
      <c r="R783" s="49">
        <v>12.53</v>
      </c>
      <c r="S783" s="49">
        <v>17.12</v>
      </c>
    </row>
    <row r="784" spans="1:19" ht="18">
      <c r="A784" s="49">
        <v>3533</v>
      </c>
      <c r="B784" s="49" t="s">
        <v>869</v>
      </c>
      <c r="C784" s="49">
        <v>37.409999999999997</v>
      </c>
      <c r="D784" s="49">
        <v>5.5</v>
      </c>
      <c r="E784" s="49">
        <v>37.26</v>
      </c>
      <c r="F784" s="49">
        <v>9.8800000000000008</v>
      </c>
      <c r="G784" s="49">
        <v>8.75</v>
      </c>
      <c r="H784" s="49">
        <v>8.6</v>
      </c>
      <c r="I784" s="49">
        <v>11.01</v>
      </c>
      <c r="J784" s="49">
        <v>12.48</v>
      </c>
      <c r="K784" s="49">
        <v>13.07</v>
      </c>
      <c r="L784" s="49">
        <v>15.06</v>
      </c>
      <c r="M784" s="49">
        <v>17.309999999999999</v>
      </c>
      <c r="N784" s="49">
        <v>15.06</v>
      </c>
      <c r="O784" s="49">
        <v>17.05</v>
      </c>
      <c r="P784" s="49">
        <v>18.27</v>
      </c>
      <c r="Q784" s="49">
        <v>25.88</v>
      </c>
      <c r="R784" s="49">
        <v>15.15</v>
      </c>
      <c r="S784" s="49">
        <v>20.59</v>
      </c>
    </row>
    <row r="785" spans="1:19" ht="18">
      <c r="A785" s="49">
        <v>3535</v>
      </c>
      <c r="B785" s="49" t="s">
        <v>870</v>
      </c>
      <c r="C785" s="49">
        <v>0</v>
      </c>
      <c r="D785" s="49">
        <v>3.49</v>
      </c>
      <c r="E785" s="49">
        <v>76.62</v>
      </c>
      <c r="F785" s="49">
        <v>22.35</v>
      </c>
      <c r="G785" s="49">
        <v>14.49</v>
      </c>
      <c r="H785" s="49">
        <v>0</v>
      </c>
      <c r="I785" s="49">
        <v>0</v>
      </c>
      <c r="J785" s="49">
        <v>1455</v>
      </c>
      <c r="K785" s="49">
        <v>0</v>
      </c>
      <c r="L785" s="49">
        <v>0</v>
      </c>
      <c r="M785" s="49">
        <v>0</v>
      </c>
      <c r="N785" s="49">
        <v>30.85</v>
      </c>
      <c r="O785" s="49">
        <v>7.78</v>
      </c>
      <c r="P785" s="49">
        <v>0</v>
      </c>
      <c r="Q785" s="49">
        <v>0</v>
      </c>
      <c r="R785" s="49">
        <v>5.16</v>
      </c>
      <c r="S785" s="49">
        <v>59.68</v>
      </c>
    </row>
    <row r="786" spans="1:19" ht="18">
      <c r="A786" s="49">
        <v>3536</v>
      </c>
      <c r="B786" s="49" t="s">
        <v>871</v>
      </c>
      <c r="C786" s="49">
        <v>0</v>
      </c>
      <c r="D786" s="49">
        <v>2.79</v>
      </c>
      <c r="E786" s="49">
        <v>0</v>
      </c>
      <c r="F786" s="49">
        <v>0</v>
      </c>
      <c r="G786" s="49">
        <v>0</v>
      </c>
      <c r="H786" s="49">
        <v>0</v>
      </c>
      <c r="I786" s="49">
        <v>0</v>
      </c>
      <c r="J786" s="49">
        <v>0</v>
      </c>
      <c r="K786" s="49">
        <v>0</v>
      </c>
      <c r="L786" s="49">
        <v>0</v>
      </c>
      <c r="M786" s="49">
        <v>35.479999999999997</v>
      </c>
      <c r="N786" s="49">
        <v>0</v>
      </c>
      <c r="O786" s="49">
        <v>0</v>
      </c>
      <c r="P786" s="49">
        <v>0</v>
      </c>
      <c r="Q786" s="49">
        <v>0</v>
      </c>
      <c r="R786" s="49">
        <v>0</v>
      </c>
      <c r="S786" s="49">
        <v>0</v>
      </c>
    </row>
    <row r="787" spans="1:19" ht="18">
      <c r="A787" s="49">
        <v>3537</v>
      </c>
      <c r="B787" s="49" t="s">
        <v>1423</v>
      </c>
      <c r="C787" s="49">
        <v>0</v>
      </c>
      <c r="D787" s="49">
        <v>0</v>
      </c>
      <c r="E787" s="49">
        <v>0</v>
      </c>
      <c r="F787" s="49">
        <v>15.23</v>
      </c>
      <c r="G787" s="49">
        <v>10.47</v>
      </c>
      <c r="H787" s="49">
        <v>16.32</v>
      </c>
      <c r="I787" s="49">
        <v>11.33</v>
      </c>
      <c r="J787" s="49">
        <v>21.03</v>
      </c>
      <c r="K787" s="49">
        <v>10.79</v>
      </c>
      <c r="L787" s="49">
        <v>28.24</v>
      </c>
      <c r="M787" s="49">
        <v>11.5</v>
      </c>
      <c r="N787" s="49">
        <v>9.2200000000000006</v>
      </c>
      <c r="O787" s="49">
        <v>10.06</v>
      </c>
      <c r="P787" s="49">
        <v>13.31</v>
      </c>
      <c r="Q787" s="49">
        <v>11.13</v>
      </c>
      <c r="R787" s="49">
        <v>6.73</v>
      </c>
      <c r="S787" s="49">
        <v>12.37</v>
      </c>
    </row>
    <row r="788" spans="1:19" ht="18">
      <c r="A788" s="49">
        <v>3540</v>
      </c>
      <c r="B788" s="49" t="s">
        <v>1424</v>
      </c>
      <c r="C788" s="49">
        <v>9.49</v>
      </c>
      <c r="D788" s="49">
        <v>5.97</v>
      </c>
      <c r="E788" s="49">
        <v>53.22</v>
      </c>
      <c r="F788" s="49">
        <v>28.13</v>
      </c>
      <c r="G788" s="49">
        <v>61.67</v>
      </c>
      <c r="H788" s="49">
        <v>28.2</v>
      </c>
      <c r="I788" s="49">
        <v>47.12</v>
      </c>
      <c r="J788" s="49">
        <v>72.17</v>
      </c>
      <c r="K788" s="49">
        <v>0</v>
      </c>
      <c r="L788" s="49">
        <v>15.64</v>
      </c>
      <c r="M788" s="49">
        <v>18.37</v>
      </c>
      <c r="N788" s="49">
        <v>12</v>
      </c>
      <c r="O788" s="49">
        <v>20.83</v>
      </c>
      <c r="P788" s="49">
        <v>10.95</v>
      </c>
      <c r="Q788" s="49">
        <v>10.02</v>
      </c>
      <c r="R788" s="49">
        <v>162.65</v>
      </c>
      <c r="S788" s="49">
        <v>25.75</v>
      </c>
    </row>
    <row r="789" spans="1:19" ht="18">
      <c r="A789" s="49">
        <v>3541</v>
      </c>
      <c r="B789" s="49" t="s">
        <v>1425</v>
      </c>
      <c r="C789" s="49">
        <v>0</v>
      </c>
      <c r="D789" s="49">
        <v>0</v>
      </c>
      <c r="E789" s="49">
        <v>20.61</v>
      </c>
      <c r="F789" s="49">
        <v>10.39</v>
      </c>
      <c r="G789" s="49">
        <v>10.09</v>
      </c>
      <c r="H789" s="49">
        <v>10.11</v>
      </c>
      <c r="I789" s="49">
        <v>17.88</v>
      </c>
      <c r="J789" s="49">
        <v>20.51</v>
      </c>
      <c r="K789" s="49">
        <v>13.46</v>
      </c>
      <c r="L789" s="49">
        <v>25.29</v>
      </c>
      <c r="M789" s="49">
        <v>17.37</v>
      </c>
      <c r="N789" s="49">
        <v>17.940000000000001</v>
      </c>
      <c r="O789" s="49">
        <v>13.58</v>
      </c>
      <c r="P789" s="49">
        <v>15.98</v>
      </c>
      <c r="Q789" s="49">
        <v>22.89</v>
      </c>
      <c r="R789" s="49">
        <v>9.1199999999999992</v>
      </c>
      <c r="S789" s="49">
        <v>91.4</v>
      </c>
    </row>
    <row r="790" spans="1:19" ht="18">
      <c r="A790" s="49">
        <v>3543</v>
      </c>
      <c r="B790" s="49" t="s">
        <v>872</v>
      </c>
      <c r="C790" s="49">
        <v>0</v>
      </c>
      <c r="D790" s="49">
        <v>0</v>
      </c>
      <c r="E790" s="49">
        <v>0</v>
      </c>
      <c r="F790" s="49">
        <v>0</v>
      </c>
      <c r="G790" s="49">
        <v>0</v>
      </c>
      <c r="H790" s="49">
        <v>0</v>
      </c>
      <c r="I790" s="49">
        <v>0</v>
      </c>
      <c r="J790" s="49">
        <v>0</v>
      </c>
      <c r="K790" s="49">
        <v>0</v>
      </c>
      <c r="L790" s="49">
        <v>0</v>
      </c>
      <c r="M790" s="49">
        <v>0</v>
      </c>
      <c r="N790" s="49">
        <v>0</v>
      </c>
      <c r="O790" s="49">
        <v>0</v>
      </c>
      <c r="P790" s="49">
        <v>64.319999999999993</v>
      </c>
      <c r="Q790" s="49">
        <v>9.89</v>
      </c>
      <c r="R790" s="49">
        <v>0</v>
      </c>
      <c r="S790" s="49">
        <v>34.64</v>
      </c>
    </row>
    <row r="791" spans="1:19" ht="18">
      <c r="A791" s="49">
        <v>3545</v>
      </c>
      <c r="B791" s="49" t="s">
        <v>873</v>
      </c>
      <c r="C791" s="49">
        <v>68.39</v>
      </c>
      <c r="D791" s="49">
        <v>8.34</v>
      </c>
      <c r="E791" s="49">
        <v>40.98</v>
      </c>
      <c r="F791" s="49">
        <v>17.399999999999999</v>
      </c>
      <c r="G791" s="49">
        <v>22.01</v>
      </c>
      <c r="H791" s="49">
        <v>76.08</v>
      </c>
      <c r="I791" s="49">
        <v>13.05</v>
      </c>
      <c r="J791" s="49">
        <v>36.42</v>
      </c>
      <c r="K791" s="49">
        <v>64.430000000000007</v>
      </c>
      <c r="L791" s="49">
        <v>110</v>
      </c>
      <c r="M791" s="49">
        <v>28.8</v>
      </c>
      <c r="N791" s="49">
        <v>0</v>
      </c>
      <c r="O791" s="49">
        <v>0</v>
      </c>
      <c r="P791" s="49">
        <v>38.64</v>
      </c>
      <c r="Q791" s="49">
        <v>6.94</v>
      </c>
      <c r="R791" s="49">
        <v>0</v>
      </c>
      <c r="S791" s="49">
        <v>77.05</v>
      </c>
    </row>
    <row r="792" spans="1:19" ht="18">
      <c r="A792" s="49">
        <v>3546</v>
      </c>
      <c r="B792" s="49" t="s">
        <v>1426</v>
      </c>
      <c r="C792" s="49">
        <v>0</v>
      </c>
      <c r="D792" s="49">
        <v>12.26</v>
      </c>
      <c r="E792" s="49">
        <v>31.22</v>
      </c>
      <c r="F792" s="49">
        <v>19.14</v>
      </c>
      <c r="G792" s="49">
        <v>60.85</v>
      </c>
      <c r="H792" s="49">
        <v>21.6</v>
      </c>
      <c r="I792" s="49">
        <v>29.14</v>
      </c>
      <c r="J792" s="49">
        <v>0</v>
      </c>
      <c r="K792" s="49">
        <v>0</v>
      </c>
      <c r="L792" s="49">
        <v>27.37</v>
      </c>
      <c r="M792" s="49">
        <v>22.03</v>
      </c>
      <c r="N792" s="49">
        <v>11.32</v>
      </c>
      <c r="O792" s="49">
        <v>28.01</v>
      </c>
      <c r="P792" s="49">
        <v>16.72</v>
      </c>
      <c r="Q792" s="49">
        <v>14.26</v>
      </c>
      <c r="R792" s="49">
        <v>12.76</v>
      </c>
      <c r="S792" s="49">
        <v>15.66</v>
      </c>
    </row>
    <row r="793" spans="1:19" ht="18">
      <c r="A793" s="49">
        <v>3548</v>
      </c>
      <c r="B793" s="49" t="s">
        <v>1427</v>
      </c>
      <c r="C793" s="49">
        <v>0</v>
      </c>
      <c r="D793" s="49">
        <v>4.6100000000000003</v>
      </c>
      <c r="E793" s="49">
        <v>20.420000000000002</v>
      </c>
      <c r="F793" s="49">
        <v>9.06</v>
      </c>
      <c r="G793" s="49">
        <v>0</v>
      </c>
      <c r="H793" s="49">
        <v>13.57</v>
      </c>
      <c r="I793" s="49">
        <v>15.57</v>
      </c>
      <c r="J793" s="49">
        <v>9.39</v>
      </c>
      <c r="K793" s="49">
        <v>10.41</v>
      </c>
      <c r="L793" s="49">
        <v>8.23</v>
      </c>
      <c r="M793" s="49">
        <v>9.19</v>
      </c>
      <c r="N793" s="49">
        <v>8.5500000000000007</v>
      </c>
      <c r="O793" s="49">
        <v>11.96</v>
      </c>
      <c r="P793" s="49">
        <v>12.68</v>
      </c>
      <c r="Q793" s="49">
        <v>24.19</v>
      </c>
      <c r="R793" s="49">
        <v>6.39</v>
      </c>
      <c r="S793" s="49">
        <v>27.79</v>
      </c>
    </row>
    <row r="794" spans="1:19" ht="18">
      <c r="A794" s="49">
        <v>3550</v>
      </c>
      <c r="B794" s="49" t="s">
        <v>874</v>
      </c>
      <c r="C794" s="49">
        <v>0</v>
      </c>
      <c r="D794" s="49">
        <v>0</v>
      </c>
      <c r="E794" s="49">
        <v>0</v>
      </c>
      <c r="F794" s="49">
        <v>8.68</v>
      </c>
      <c r="G794" s="49">
        <v>93.75</v>
      </c>
      <c r="H794" s="49">
        <v>0</v>
      </c>
      <c r="I794" s="49">
        <v>23.97</v>
      </c>
      <c r="J794" s="49">
        <v>12.32</v>
      </c>
      <c r="K794" s="49">
        <v>12.74</v>
      </c>
      <c r="L794" s="49">
        <v>16.14</v>
      </c>
      <c r="M794" s="49">
        <v>15.4</v>
      </c>
      <c r="N794" s="49">
        <v>10.19</v>
      </c>
      <c r="O794" s="49">
        <v>29.1</v>
      </c>
      <c r="P794" s="49">
        <v>19.8</v>
      </c>
      <c r="Q794" s="49">
        <v>13.33</v>
      </c>
      <c r="R794" s="49">
        <v>0</v>
      </c>
      <c r="S794" s="49">
        <v>0</v>
      </c>
    </row>
    <row r="795" spans="1:19" ht="18">
      <c r="A795" s="49">
        <v>3551</v>
      </c>
      <c r="B795" s="49" t="s">
        <v>1428</v>
      </c>
      <c r="C795" s="49">
        <v>0</v>
      </c>
      <c r="D795" s="49">
        <v>4.58</v>
      </c>
      <c r="E795" s="49">
        <v>21.79</v>
      </c>
      <c r="F795" s="49">
        <v>10.29</v>
      </c>
      <c r="G795" s="49">
        <v>7.17</v>
      </c>
      <c r="H795" s="49">
        <v>11.52</v>
      </c>
      <c r="I795" s="49">
        <v>14.22</v>
      </c>
      <c r="J795" s="49">
        <v>12.12</v>
      </c>
      <c r="K795" s="49">
        <v>9.2899999999999991</v>
      </c>
      <c r="L795" s="49">
        <v>16.559999999999999</v>
      </c>
      <c r="M795" s="49">
        <v>17.37</v>
      </c>
      <c r="N795" s="49">
        <v>11.84</v>
      </c>
      <c r="O795" s="49">
        <v>16.21</v>
      </c>
      <c r="P795" s="49">
        <v>11.86</v>
      </c>
      <c r="Q795" s="49">
        <v>10.119999999999999</v>
      </c>
      <c r="R795" s="49">
        <v>9.16</v>
      </c>
      <c r="S795" s="49">
        <v>15.13</v>
      </c>
    </row>
    <row r="796" spans="1:19" ht="18">
      <c r="A796" s="49">
        <v>3552</v>
      </c>
      <c r="B796" s="49" t="s">
        <v>1429</v>
      </c>
      <c r="C796" s="49">
        <v>0</v>
      </c>
      <c r="D796" s="49">
        <v>0</v>
      </c>
      <c r="E796" s="49">
        <v>39.19</v>
      </c>
      <c r="F796" s="49">
        <v>19.34</v>
      </c>
      <c r="G796" s="49">
        <v>13.01</v>
      </c>
      <c r="H796" s="49">
        <v>12.59</v>
      </c>
      <c r="I796" s="49">
        <v>23.6</v>
      </c>
      <c r="J796" s="49">
        <v>20.260000000000002</v>
      </c>
      <c r="K796" s="49">
        <v>41.18</v>
      </c>
      <c r="L796" s="49">
        <v>20.32</v>
      </c>
      <c r="M796" s="49">
        <v>27.34</v>
      </c>
      <c r="N796" s="49">
        <v>198.67</v>
      </c>
      <c r="O796" s="49">
        <v>0</v>
      </c>
      <c r="P796" s="49">
        <v>92.56</v>
      </c>
      <c r="Q796" s="49">
        <v>27.43</v>
      </c>
      <c r="R796" s="49">
        <v>17.97</v>
      </c>
      <c r="S796" s="49">
        <v>28.75</v>
      </c>
    </row>
    <row r="797" spans="1:19" ht="18">
      <c r="A797" s="49">
        <v>3555</v>
      </c>
      <c r="B797" s="49" t="s">
        <v>1430</v>
      </c>
      <c r="C797" s="49">
        <v>0</v>
      </c>
      <c r="D797" s="49">
        <v>0</v>
      </c>
      <c r="E797" s="49">
        <v>0</v>
      </c>
      <c r="F797" s="49">
        <v>0</v>
      </c>
      <c r="G797" s="49">
        <v>6.01</v>
      </c>
      <c r="H797" s="49">
        <v>0</v>
      </c>
      <c r="I797" s="49">
        <v>0</v>
      </c>
      <c r="J797" s="49">
        <v>0</v>
      </c>
      <c r="K797" s="49">
        <v>0</v>
      </c>
      <c r="L797" s="49">
        <v>0</v>
      </c>
      <c r="M797" s="49">
        <v>58.61</v>
      </c>
      <c r="N797" s="49">
        <v>37.04</v>
      </c>
      <c r="O797" s="49">
        <v>0</v>
      </c>
      <c r="P797" s="49">
        <v>0</v>
      </c>
      <c r="Q797" s="49">
        <v>15.38</v>
      </c>
      <c r="R797" s="49">
        <v>0</v>
      </c>
      <c r="S797" s="49">
        <v>0</v>
      </c>
    </row>
    <row r="798" spans="1:19" ht="18">
      <c r="A798" s="49">
        <v>3556</v>
      </c>
      <c r="B798" s="49" t="s">
        <v>1431</v>
      </c>
      <c r="C798" s="49">
        <v>0</v>
      </c>
      <c r="D798" s="49">
        <v>9.43</v>
      </c>
      <c r="E798" s="49">
        <v>44.92</v>
      </c>
      <c r="F798" s="49">
        <v>35.85</v>
      </c>
      <c r="G798" s="49">
        <v>11.56</v>
      </c>
      <c r="H798" s="49">
        <v>32.69</v>
      </c>
      <c r="I798" s="49">
        <v>11.84</v>
      </c>
      <c r="J798" s="49">
        <v>12.93</v>
      </c>
      <c r="K798" s="49">
        <v>12.9</v>
      </c>
      <c r="L798" s="49">
        <v>13.75</v>
      </c>
      <c r="M798" s="49">
        <v>14.34</v>
      </c>
      <c r="N798" s="49">
        <v>12.39</v>
      </c>
      <c r="O798" s="49">
        <v>13.38</v>
      </c>
      <c r="P798" s="49">
        <v>16.52</v>
      </c>
      <c r="Q798" s="49">
        <v>13.5</v>
      </c>
      <c r="R798" s="49">
        <v>10.09</v>
      </c>
      <c r="S798" s="49">
        <v>21.2</v>
      </c>
    </row>
    <row r="799" spans="1:19" ht="18">
      <c r="A799" s="49">
        <v>3557</v>
      </c>
      <c r="B799" s="49" t="s">
        <v>875</v>
      </c>
      <c r="C799" s="49">
        <v>0</v>
      </c>
      <c r="D799" s="49">
        <v>5.08</v>
      </c>
      <c r="E799" s="49">
        <v>48.49</v>
      </c>
      <c r="F799" s="49">
        <v>0</v>
      </c>
      <c r="G799" s="49">
        <v>0</v>
      </c>
      <c r="H799" s="49">
        <v>0</v>
      </c>
      <c r="I799" s="49">
        <v>0</v>
      </c>
      <c r="J799" s="49">
        <v>0</v>
      </c>
      <c r="K799" s="49">
        <v>0</v>
      </c>
      <c r="L799" s="49">
        <v>0</v>
      </c>
      <c r="M799" s="49">
        <v>0</v>
      </c>
      <c r="N799" s="49">
        <v>0</v>
      </c>
      <c r="O799" s="49">
        <v>67.319999999999993</v>
      </c>
      <c r="P799" s="49">
        <v>10.56</v>
      </c>
      <c r="Q799" s="49">
        <v>9.66</v>
      </c>
      <c r="R799" s="49">
        <v>6.79</v>
      </c>
      <c r="S799" s="49">
        <v>10.83</v>
      </c>
    </row>
    <row r="800" spans="1:19" ht="18">
      <c r="A800" s="49">
        <v>3558</v>
      </c>
      <c r="B800" s="49" t="s">
        <v>1432</v>
      </c>
      <c r="C800" s="49">
        <v>0</v>
      </c>
      <c r="D800" s="49">
        <v>0</v>
      </c>
      <c r="E800" s="49">
        <v>0</v>
      </c>
      <c r="F800" s="49">
        <v>0</v>
      </c>
      <c r="G800" s="49">
        <v>0</v>
      </c>
      <c r="H800" s="49">
        <v>0</v>
      </c>
      <c r="I800" s="49">
        <v>17.23</v>
      </c>
      <c r="J800" s="49">
        <v>15</v>
      </c>
      <c r="K800" s="49">
        <v>13.07</v>
      </c>
      <c r="L800" s="49">
        <v>12.4</v>
      </c>
      <c r="M800" s="49">
        <v>14.59</v>
      </c>
      <c r="N800" s="49">
        <v>7.98</v>
      </c>
      <c r="O800" s="49">
        <v>14.41</v>
      </c>
      <c r="P800" s="49">
        <v>14.07</v>
      </c>
      <c r="Q800" s="49">
        <v>12.07</v>
      </c>
      <c r="R800" s="49">
        <v>10.9</v>
      </c>
      <c r="S800" s="49">
        <v>11.46</v>
      </c>
    </row>
    <row r="801" spans="1:19" ht="18">
      <c r="A801" s="49">
        <v>3563</v>
      </c>
      <c r="B801" s="49" t="s">
        <v>876</v>
      </c>
      <c r="C801" s="49">
        <v>0</v>
      </c>
      <c r="D801" s="49">
        <v>0</v>
      </c>
      <c r="E801" s="49">
        <v>0</v>
      </c>
      <c r="F801" s="49">
        <v>0</v>
      </c>
      <c r="G801" s="49">
        <v>9.09</v>
      </c>
      <c r="H801" s="49">
        <v>9.91</v>
      </c>
      <c r="I801" s="49">
        <v>11.24</v>
      </c>
      <c r="J801" s="49">
        <v>14.5</v>
      </c>
      <c r="K801" s="49">
        <v>10.91</v>
      </c>
      <c r="L801" s="49">
        <v>16.920000000000002</v>
      </c>
      <c r="M801" s="49">
        <v>26.38</v>
      </c>
      <c r="N801" s="49">
        <v>13.63</v>
      </c>
      <c r="O801" s="49">
        <v>13.84</v>
      </c>
      <c r="P801" s="49">
        <v>21.72</v>
      </c>
      <c r="Q801" s="49">
        <v>15.64</v>
      </c>
      <c r="R801" s="49">
        <v>8.9</v>
      </c>
      <c r="S801" s="49">
        <v>22.76</v>
      </c>
    </row>
    <row r="802" spans="1:19" ht="18">
      <c r="A802" s="49">
        <v>3564</v>
      </c>
      <c r="B802" s="49" t="s">
        <v>1433</v>
      </c>
      <c r="C802" s="49">
        <v>0</v>
      </c>
      <c r="D802" s="49">
        <v>0</v>
      </c>
      <c r="E802" s="49">
        <v>0</v>
      </c>
      <c r="F802" s="49">
        <v>0</v>
      </c>
      <c r="G802" s="49">
        <v>0</v>
      </c>
      <c r="H802" s="49">
        <v>0</v>
      </c>
      <c r="I802" s="49">
        <v>17.5</v>
      </c>
      <c r="J802" s="49">
        <v>44.42</v>
      </c>
      <c r="K802" s="49">
        <v>8.1999999999999993</v>
      </c>
      <c r="L802" s="49">
        <v>11.93</v>
      </c>
      <c r="M802" s="49">
        <v>0</v>
      </c>
      <c r="N802" s="49">
        <v>0</v>
      </c>
      <c r="O802" s="49">
        <v>79.13</v>
      </c>
      <c r="P802" s="49">
        <v>26.63</v>
      </c>
      <c r="Q802" s="49">
        <v>33.89</v>
      </c>
      <c r="R802" s="49">
        <v>13.14</v>
      </c>
      <c r="S802" s="49">
        <v>62.41</v>
      </c>
    </row>
    <row r="803" spans="1:19" ht="18">
      <c r="A803" s="49">
        <v>3567</v>
      </c>
      <c r="B803" s="49" t="s">
        <v>1434</v>
      </c>
      <c r="C803" s="49">
        <v>0</v>
      </c>
      <c r="D803" s="49">
        <v>0</v>
      </c>
      <c r="E803" s="49">
        <v>0</v>
      </c>
      <c r="F803" s="49">
        <v>7.42</v>
      </c>
      <c r="G803" s="49">
        <v>18.71</v>
      </c>
      <c r="H803" s="49">
        <v>0</v>
      </c>
      <c r="I803" s="49">
        <v>0</v>
      </c>
      <c r="J803" s="49">
        <v>13.22</v>
      </c>
      <c r="K803" s="49">
        <v>14.23</v>
      </c>
      <c r="L803" s="49">
        <v>12.17</v>
      </c>
      <c r="M803" s="49">
        <v>11.3</v>
      </c>
      <c r="N803" s="49">
        <v>9.92</v>
      </c>
      <c r="O803" s="49">
        <v>11.92</v>
      </c>
      <c r="P803" s="49">
        <v>13.36</v>
      </c>
      <c r="Q803" s="49">
        <v>13.22</v>
      </c>
      <c r="R803" s="49">
        <v>8.24</v>
      </c>
      <c r="S803" s="49">
        <v>15.77</v>
      </c>
    </row>
    <row r="804" spans="1:19" ht="18">
      <c r="A804" s="49">
        <v>3570</v>
      </c>
      <c r="B804" s="49" t="s">
        <v>1435</v>
      </c>
      <c r="C804" s="49">
        <v>0</v>
      </c>
      <c r="D804" s="49">
        <v>3.56</v>
      </c>
      <c r="E804" s="49">
        <v>32.15</v>
      </c>
      <c r="F804" s="49">
        <v>13.98</v>
      </c>
      <c r="G804" s="49">
        <v>9.39</v>
      </c>
      <c r="H804" s="49">
        <v>11.24</v>
      </c>
      <c r="I804" s="49">
        <v>34.700000000000003</v>
      </c>
      <c r="J804" s="49">
        <v>20.12</v>
      </c>
      <c r="K804" s="49">
        <v>11.27</v>
      </c>
      <c r="L804" s="49">
        <v>10.119999999999999</v>
      </c>
      <c r="M804" s="49">
        <v>21.78</v>
      </c>
      <c r="N804" s="49">
        <v>13.5</v>
      </c>
      <c r="O804" s="49">
        <v>11.85</v>
      </c>
      <c r="P804" s="49">
        <v>9.4499999999999993</v>
      </c>
      <c r="Q804" s="49">
        <v>9.92</v>
      </c>
      <c r="R804" s="49">
        <v>8.52</v>
      </c>
      <c r="S804" s="49">
        <v>12.67</v>
      </c>
    </row>
    <row r="805" spans="1:19" ht="18">
      <c r="A805" s="49">
        <v>3576</v>
      </c>
      <c r="B805" s="49" t="s">
        <v>877</v>
      </c>
      <c r="C805" s="49">
        <v>0</v>
      </c>
      <c r="D805" s="49">
        <v>0</v>
      </c>
      <c r="E805" s="49">
        <v>0</v>
      </c>
      <c r="F805" s="49">
        <v>13.33</v>
      </c>
      <c r="G805" s="49">
        <v>0</v>
      </c>
      <c r="H805" s="49">
        <v>0</v>
      </c>
      <c r="I805" s="49">
        <v>0</v>
      </c>
      <c r="J805" s="49">
        <v>26</v>
      </c>
      <c r="K805" s="49">
        <v>0</v>
      </c>
      <c r="L805" s="49">
        <v>0</v>
      </c>
      <c r="M805" s="49">
        <v>0</v>
      </c>
      <c r="N805" s="49">
        <v>0</v>
      </c>
      <c r="O805" s="49">
        <v>0</v>
      </c>
      <c r="P805" s="49">
        <v>0</v>
      </c>
      <c r="Q805" s="49">
        <v>0</v>
      </c>
      <c r="R805" s="49">
        <v>64.53</v>
      </c>
      <c r="S805" s="49">
        <v>0</v>
      </c>
    </row>
    <row r="806" spans="1:19" ht="18">
      <c r="A806" s="49">
        <v>3577</v>
      </c>
      <c r="B806" s="49" t="s">
        <v>1436</v>
      </c>
      <c r="C806" s="49">
        <v>0</v>
      </c>
      <c r="D806" s="49">
        <v>0</v>
      </c>
      <c r="E806" s="49">
        <v>92.5</v>
      </c>
      <c r="F806" s="49">
        <v>22.54</v>
      </c>
      <c r="G806" s="49">
        <v>12.89</v>
      </c>
      <c r="H806" s="49">
        <v>13.49</v>
      </c>
      <c r="I806" s="49">
        <v>17.760000000000002</v>
      </c>
      <c r="J806" s="49">
        <v>20.18</v>
      </c>
      <c r="K806" s="49">
        <v>18.510000000000002</v>
      </c>
      <c r="L806" s="49">
        <v>11.35</v>
      </c>
      <c r="M806" s="49">
        <v>15.85</v>
      </c>
      <c r="N806" s="49">
        <v>15.02</v>
      </c>
      <c r="O806" s="49">
        <v>38.31</v>
      </c>
      <c r="P806" s="49">
        <v>42.61</v>
      </c>
      <c r="Q806" s="49">
        <v>23.76</v>
      </c>
      <c r="R806" s="49">
        <v>19.98</v>
      </c>
      <c r="S806" s="49">
        <v>44.18</v>
      </c>
    </row>
    <row r="807" spans="1:19" ht="18">
      <c r="A807" s="49">
        <v>3580</v>
      </c>
      <c r="B807" s="49" t="s">
        <v>1437</v>
      </c>
      <c r="C807" s="49">
        <v>0</v>
      </c>
      <c r="D807" s="49">
        <v>0</v>
      </c>
      <c r="E807" s="49">
        <v>0</v>
      </c>
      <c r="F807" s="49">
        <v>59</v>
      </c>
      <c r="G807" s="49">
        <v>0</v>
      </c>
      <c r="H807" s="49">
        <v>0</v>
      </c>
      <c r="I807" s="49">
        <v>0</v>
      </c>
      <c r="J807" s="49">
        <v>0</v>
      </c>
      <c r="K807" s="49">
        <v>0</v>
      </c>
      <c r="L807" s="49">
        <v>0</v>
      </c>
      <c r="M807" s="49">
        <v>15.45</v>
      </c>
      <c r="N807" s="49">
        <v>7.03</v>
      </c>
      <c r="O807" s="49">
        <v>14.08</v>
      </c>
      <c r="P807" s="49">
        <v>30.77</v>
      </c>
      <c r="Q807" s="49">
        <v>28.02</v>
      </c>
      <c r="R807" s="49">
        <v>10.07</v>
      </c>
      <c r="S807" s="49">
        <v>14.13</v>
      </c>
    </row>
    <row r="808" spans="1:19" ht="18">
      <c r="A808" s="49">
        <v>3581</v>
      </c>
      <c r="B808" s="49" t="s">
        <v>1438</v>
      </c>
      <c r="C808" s="49">
        <v>0</v>
      </c>
      <c r="D808" s="49">
        <v>0</v>
      </c>
      <c r="E808" s="49">
        <v>0</v>
      </c>
      <c r="F808" s="49">
        <v>0</v>
      </c>
      <c r="G808" s="49">
        <v>0</v>
      </c>
      <c r="H808" s="49">
        <v>0</v>
      </c>
      <c r="I808" s="49">
        <v>0</v>
      </c>
      <c r="J808" s="49">
        <v>0</v>
      </c>
      <c r="K808" s="49">
        <v>12.86</v>
      </c>
      <c r="L808" s="49">
        <v>15.78</v>
      </c>
      <c r="M808" s="49">
        <v>13.57</v>
      </c>
      <c r="N808" s="49">
        <v>20</v>
      </c>
      <c r="O808" s="49">
        <v>16.2</v>
      </c>
      <c r="P808" s="49">
        <v>18.43</v>
      </c>
      <c r="Q808" s="49">
        <v>12.67</v>
      </c>
      <c r="R808" s="49">
        <v>16.47</v>
      </c>
      <c r="S808" s="49">
        <v>29.88</v>
      </c>
    </row>
    <row r="809" spans="1:19" ht="18">
      <c r="A809" s="49">
        <v>3583</v>
      </c>
      <c r="B809" s="49" t="s">
        <v>878</v>
      </c>
      <c r="C809" s="49">
        <v>0</v>
      </c>
      <c r="D809" s="49">
        <v>0</v>
      </c>
      <c r="E809" s="49">
        <v>0</v>
      </c>
      <c r="F809" s="49">
        <v>0</v>
      </c>
      <c r="G809" s="49">
        <v>0</v>
      </c>
      <c r="H809" s="49">
        <v>0</v>
      </c>
      <c r="I809" s="49">
        <v>19.46</v>
      </c>
      <c r="J809" s="49">
        <v>24.8</v>
      </c>
      <c r="K809" s="49">
        <v>41.23</v>
      </c>
      <c r="L809" s="49">
        <v>16.690000000000001</v>
      </c>
      <c r="M809" s="49">
        <v>27.41</v>
      </c>
      <c r="N809" s="49">
        <v>10.31</v>
      </c>
      <c r="O809" s="49">
        <v>11.44</v>
      </c>
      <c r="P809" s="49">
        <v>21.35</v>
      </c>
      <c r="Q809" s="49">
        <v>21.6</v>
      </c>
      <c r="R809" s="49">
        <v>10.56</v>
      </c>
      <c r="S809" s="49">
        <v>28.12</v>
      </c>
    </row>
    <row r="810" spans="1:19" ht="18">
      <c r="A810" s="49">
        <v>3587</v>
      </c>
      <c r="B810" s="49" t="s">
        <v>1439</v>
      </c>
      <c r="C810" s="49">
        <v>0</v>
      </c>
      <c r="D810" s="49">
        <v>0</v>
      </c>
      <c r="E810" s="49">
        <v>0</v>
      </c>
      <c r="F810" s="49">
        <v>15.42</v>
      </c>
      <c r="G810" s="49">
        <v>9.0299999999999994</v>
      </c>
      <c r="H810" s="49">
        <v>13.75</v>
      </c>
      <c r="I810" s="49">
        <v>14.63</v>
      </c>
      <c r="J810" s="49">
        <v>14.13</v>
      </c>
      <c r="K810" s="49">
        <v>15.68</v>
      </c>
      <c r="L810" s="49">
        <v>16.329999999999998</v>
      </c>
      <c r="M810" s="49">
        <v>22.53</v>
      </c>
      <c r="N810" s="49">
        <v>15.14</v>
      </c>
      <c r="O810" s="49">
        <v>19.45</v>
      </c>
      <c r="P810" s="49">
        <v>15.6</v>
      </c>
      <c r="Q810" s="49">
        <v>18.649999999999999</v>
      </c>
      <c r="R810" s="49">
        <v>15.8</v>
      </c>
      <c r="S810" s="49">
        <v>20.65</v>
      </c>
    </row>
    <row r="811" spans="1:19" ht="18">
      <c r="A811" s="49">
        <v>3588</v>
      </c>
      <c r="B811" s="49" t="s">
        <v>879</v>
      </c>
      <c r="C811" s="49">
        <v>0</v>
      </c>
      <c r="D811" s="49">
        <v>0</v>
      </c>
      <c r="E811" s="49">
        <v>51.76</v>
      </c>
      <c r="F811" s="49">
        <v>19.170000000000002</v>
      </c>
      <c r="G811" s="49">
        <v>12.29</v>
      </c>
      <c r="H811" s="49">
        <v>18.850000000000001</v>
      </c>
      <c r="I811" s="49">
        <v>16.57</v>
      </c>
      <c r="J811" s="49">
        <v>18.399999999999999</v>
      </c>
      <c r="K811" s="49">
        <v>14.17</v>
      </c>
      <c r="L811" s="49">
        <v>18.48</v>
      </c>
      <c r="M811" s="49">
        <v>25.88</v>
      </c>
      <c r="N811" s="49">
        <v>26.54</v>
      </c>
      <c r="O811" s="49">
        <v>85.29</v>
      </c>
      <c r="P811" s="49">
        <v>72.5</v>
      </c>
      <c r="Q811" s="49">
        <v>33.33</v>
      </c>
      <c r="R811" s="49">
        <v>10.84</v>
      </c>
      <c r="S811" s="49">
        <v>0</v>
      </c>
    </row>
    <row r="812" spans="1:19" ht="18">
      <c r="A812" s="49">
        <v>3591</v>
      </c>
      <c r="B812" s="49" t="s">
        <v>880</v>
      </c>
      <c r="C812" s="49">
        <v>0</v>
      </c>
      <c r="D812" s="49">
        <v>0</v>
      </c>
      <c r="E812" s="49">
        <v>0</v>
      </c>
      <c r="F812" s="49">
        <v>29.86</v>
      </c>
      <c r="G812" s="49">
        <v>24.31</v>
      </c>
      <c r="H812" s="49">
        <v>49.21</v>
      </c>
      <c r="I812" s="49">
        <v>0</v>
      </c>
      <c r="J812" s="49">
        <v>0</v>
      </c>
      <c r="K812" s="49">
        <v>0</v>
      </c>
      <c r="L812" s="49">
        <v>0</v>
      </c>
      <c r="M812" s="49">
        <v>0</v>
      </c>
      <c r="N812" s="49">
        <v>0</v>
      </c>
      <c r="O812" s="49">
        <v>0</v>
      </c>
      <c r="P812" s="49">
        <v>0</v>
      </c>
      <c r="Q812" s="49">
        <v>27.76</v>
      </c>
      <c r="R812" s="49">
        <v>26.53</v>
      </c>
      <c r="S812" s="49">
        <v>244</v>
      </c>
    </row>
    <row r="813" spans="1:19" ht="18">
      <c r="A813" s="49">
        <v>3592</v>
      </c>
      <c r="B813" s="49" t="s">
        <v>881</v>
      </c>
      <c r="C813" s="49">
        <v>0</v>
      </c>
      <c r="D813" s="49">
        <v>0</v>
      </c>
      <c r="E813" s="49">
        <v>0</v>
      </c>
      <c r="F813" s="49">
        <v>0</v>
      </c>
      <c r="G813" s="49">
        <v>0</v>
      </c>
      <c r="H813" s="49">
        <v>0</v>
      </c>
      <c r="I813" s="49">
        <v>0</v>
      </c>
      <c r="J813" s="49">
        <v>0</v>
      </c>
      <c r="K813" s="49">
        <v>0</v>
      </c>
      <c r="L813" s="49">
        <v>0</v>
      </c>
      <c r="M813" s="49">
        <v>0</v>
      </c>
      <c r="N813" s="49">
        <v>0</v>
      </c>
      <c r="O813" s="49">
        <v>0</v>
      </c>
      <c r="P813" s="49">
        <v>0</v>
      </c>
      <c r="Q813" s="49">
        <v>0</v>
      </c>
      <c r="R813" s="49">
        <v>4.95</v>
      </c>
      <c r="S813" s="49">
        <v>21.33</v>
      </c>
    </row>
    <row r="814" spans="1:19" ht="18">
      <c r="A814" s="49">
        <v>3593</v>
      </c>
      <c r="B814" s="49" t="s">
        <v>882</v>
      </c>
      <c r="C814" s="49">
        <v>0</v>
      </c>
      <c r="D814" s="49">
        <v>0</v>
      </c>
      <c r="E814" s="49">
        <v>17.03</v>
      </c>
      <c r="F814" s="49">
        <v>13.71</v>
      </c>
      <c r="G814" s="49">
        <v>30.29</v>
      </c>
      <c r="H814" s="49">
        <v>0</v>
      </c>
      <c r="I814" s="49">
        <v>0</v>
      </c>
      <c r="J814" s="49">
        <v>0</v>
      </c>
      <c r="K814" s="49">
        <v>0</v>
      </c>
      <c r="L814" s="49">
        <v>0</v>
      </c>
      <c r="M814" s="49">
        <v>0</v>
      </c>
      <c r="N814" s="49">
        <v>0</v>
      </c>
      <c r="O814" s="49">
        <v>0</v>
      </c>
      <c r="P814" s="49">
        <v>1255</v>
      </c>
      <c r="Q814" s="49">
        <v>23.13</v>
      </c>
      <c r="R814" s="49">
        <v>0</v>
      </c>
      <c r="S814" s="49">
        <v>0</v>
      </c>
    </row>
    <row r="815" spans="1:19" ht="18">
      <c r="A815" s="49">
        <v>3594</v>
      </c>
      <c r="B815" s="49" t="s">
        <v>1440</v>
      </c>
      <c r="C815" s="49">
        <v>0</v>
      </c>
      <c r="D815" s="49">
        <v>0</v>
      </c>
      <c r="E815" s="49">
        <v>0</v>
      </c>
      <c r="F815" s="49">
        <v>0</v>
      </c>
      <c r="G815" s="49">
        <v>0</v>
      </c>
      <c r="H815" s="49">
        <v>0</v>
      </c>
      <c r="I815" s="49">
        <v>20.28</v>
      </c>
      <c r="J815" s="49">
        <v>37.06</v>
      </c>
      <c r="K815" s="49">
        <v>30.05</v>
      </c>
      <c r="L815" s="49">
        <v>88.85</v>
      </c>
      <c r="M815" s="49">
        <v>7.14</v>
      </c>
      <c r="N815" s="49">
        <v>0</v>
      </c>
      <c r="O815" s="49">
        <v>23.91</v>
      </c>
      <c r="P815" s="49">
        <v>330</v>
      </c>
      <c r="Q815" s="49">
        <v>1110</v>
      </c>
      <c r="R815" s="49">
        <v>21.99</v>
      </c>
      <c r="S815" s="49">
        <v>28.22</v>
      </c>
    </row>
    <row r="816" spans="1:19" ht="18">
      <c r="A816" s="49">
        <v>3596</v>
      </c>
      <c r="B816" s="49" t="s">
        <v>883</v>
      </c>
      <c r="C816" s="49">
        <v>0</v>
      </c>
      <c r="D816" s="49">
        <v>0</v>
      </c>
      <c r="E816" s="49">
        <v>21.74</v>
      </c>
      <c r="F816" s="49">
        <v>11.73</v>
      </c>
      <c r="G816" s="49">
        <v>7.66</v>
      </c>
      <c r="H816" s="49">
        <v>13.8</v>
      </c>
      <c r="I816" s="49">
        <v>10.11</v>
      </c>
      <c r="J816" s="49">
        <v>11.59</v>
      </c>
      <c r="K816" s="49">
        <v>13.26</v>
      </c>
      <c r="L816" s="49">
        <v>8.0299999999999994</v>
      </c>
      <c r="M816" s="49">
        <v>13.77</v>
      </c>
      <c r="N816" s="49">
        <v>17.68</v>
      </c>
      <c r="O816" s="49">
        <v>14.59</v>
      </c>
      <c r="P816" s="49">
        <v>13.44</v>
      </c>
      <c r="Q816" s="49">
        <v>14.46</v>
      </c>
      <c r="R816" s="49">
        <v>11.38</v>
      </c>
      <c r="S816" s="49">
        <v>15.76</v>
      </c>
    </row>
    <row r="817" spans="1:19" ht="18">
      <c r="A817" s="49">
        <v>3597</v>
      </c>
      <c r="B817" s="49" t="s">
        <v>1441</v>
      </c>
      <c r="C817" s="49">
        <v>0</v>
      </c>
      <c r="D817" s="49">
        <v>0</v>
      </c>
      <c r="E817" s="49">
        <v>0</v>
      </c>
      <c r="F817" s="49">
        <v>0</v>
      </c>
      <c r="G817" s="49">
        <v>0</v>
      </c>
      <c r="H817" s="49">
        <v>0</v>
      </c>
      <c r="I817" s="49">
        <v>0</v>
      </c>
      <c r="J817" s="49">
        <v>0</v>
      </c>
      <c r="K817" s="49">
        <v>0</v>
      </c>
      <c r="L817" s="49">
        <v>0</v>
      </c>
      <c r="M817" s="49">
        <v>0</v>
      </c>
      <c r="N817" s="49">
        <v>0</v>
      </c>
      <c r="O817" s="49">
        <v>0</v>
      </c>
      <c r="P817" s="49">
        <v>17.190000000000001</v>
      </c>
      <c r="Q817" s="49">
        <v>18.899999999999999</v>
      </c>
      <c r="R817" s="49">
        <v>10.130000000000001</v>
      </c>
      <c r="S817" s="49">
        <v>29.05</v>
      </c>
    </row>
    <row r="818" spans="1:19" ht="18">
      <c r="A818" s="49">
        <v>3605</v>
      </c>
      <c r="B818" s="49" t="s">
        <v>884</v>
      </c>
      <c r="C818" s="49">
        <v>0</v>
      </c>
      <c r="D818" s="49">
        <v>0</v>
      </c>
      <c r="E818" s="49">
        <v>12.85</v>
      </c>
      <c r="F818" s="49">
        <v>11.54</v>
      </c>
      <c r="G818" s="49">
        <v>9.0299999999999994</v>
      </c>
      <c r="H818" s="49">
        <v>14.24</v>
      </c>
      <c r="I818" s="49">
        <v>23.8</v>
      </c>
      <c r="J818" s="49">
        <v>10.88</v>
      </c>
      <c r="K818" s="49">
        <v>22.74</v>
      </c>
      <c r="L818" s="49">
        <v>21.43</v>
      </c>
      <c r="M818" s="49">
        <v>17.14</v>
      </c>
      <c r="N818" s="49">
        <v>17.850000000000001</v>
      </c>
      <c r="O818" s="49">
        <v>12.06</v>
      </c>
      <c r="P818" s="49">
        <v>17.53</v>
      </c>
      <c r="Q818" s="49">
        <v>12.47</v>
      </c>
      <c r="R818" s="49">
        <v>9.76</v>
      </c>
      <c r="S818" s="49">
        <v>0</v>
      </c>
    </row>
    <row r="819" spans="1:19" ht="18">
      <c r="A819" s="49">
        <v>3607</v>
      </c>
      <c r="B819" s="49" t="s">
        <v>885</v>
      </c>
      <c r="C819" s="49">
        <v>0</v>
      </c>
      <c r="D819" s="49">
        <v>0</v>
      </c>
      <c r="E819" s="49">
        <v>13.63</v>
      </c>
      <c r="F819" s="49">
        <v>13.98</v>
      </c>
      <c r="G819" s="49">
        <v>10.82</v>
      </c>
      <c r="H819" s="49">
        <v>38.880000000000003</v>
      </c>
      <c r="I819" s="49">
        <v>11.24</v>
      </c>
      <c r="J819" s="49">
        <v>13.98</v>
      </c>
      <c r="K819" s="49">
        <v>6.33</v>
      </c>
      <c r="L819" s="49">
        <v>0</v>
      </c>
      <c r="M819" s="49">
        <v>0</v>
      </c>
      <c r="N819" s="49">
        <v>0</v>
      </c>
      <c r="O819" s="49">
        <v>0</v>
      </c>
      <c r="P819" s="49">
        <v>0</v>
      </c>
      <c r="Q819" s="49">
        <v>0</v>
      </c>
      <c r="R819" s="49">
        <v>0</v>
      </c>
      <c r="S819" s="49">
        <v>0</v>
      </c>
    </row>
    <row r="820" spans="1:19" ht="18">
      <c r="A820" s="49">
        <v>3609</v>
      </c>
      <c r="B820" s="49" t="s">
        <v>1442</v>
      </c>
      <c r="C820" s="49">
        <v>0</v>
      </c>
      <c r="D820" s="49">
        <v>0</v>
      </c>
      <c r="E820" s="49">
        <v>0</v>
      </c>
      <c r="F820" s="49">
        <v>0</v>
      </c>
      <c r="G820" s="49">
        <v>11.89</v>
      </c>
      <c r="H820" s="49">
        <v>0</v>
      </c>
      <c r="I820" s="49">
        <v>0</v>
      </c>
      <c r="J820" s="49">
        <v>561.66999999999996</v>
      </c>
      <c r="K820" s="49">
        <v>0</v>
      </c>
      <c r="L820" s="49">
        <v>0</v>
      </c>
      <c r="M820" s="49">
        <v>0</v>
      </c>
      <c r="N820" s="49">
        <v>20.75</v>
      </c>
      <c r="O820" s="49">
        <v>125.67</v>
      </c>
      <c r="P820" s="49">
        <v>0</v>
      </c>
      <c r="Q820" s="49">
        <v>0</v>
      </c>
      <c r="R820" s="49">
        <v>0</v>
      </c>
      <c r="S820" s="49">
        <v>0</v>
      </c>
    </row>
    <row r="821" spans="1:19" ht="18">
      <c r="A821" s="49">
        <v>3611</v>
      </c>
      <c r="B821" s="49" t="s">
        <v>1443</v>
      </c>
      <c r="C821" s="49">
        <v>0</v>
      </c>
      <c r="D821" s="49">
        <v>7.03</v>
      </c>
      <c r="E821" s="49">
        <v>13.29</v>
      </c>
      <c r="F821" s="49">
        <v>11.91</v>
      </c>
      <c r="G821" s="49">
        <v>10.42</v>
      </c>
      <c r="H821" s="49">
        <v>9.8800000000000008</v>
      </c>
      <c r="I821" s="49">
        <v>17.72</v>
      </c>
      <c r="J821" s="49">
        <v>19.47</v>
      </c>
      <c r="K821" s="49">
        <v>20.62</v>
      </c>
      <c r="L821" s="49">
        <v>18.350000000000001</v>
      </c>
      <c r="M821" s="49">
        <v>14.58</v>
      </c>
      <c r="N821" s="49">
        <v>11.43</v>
      </c>
      <c r="O821" s="49">
        <v>13.78</v>
      </c>
      <c r="P821" s="49">
        <v>12.38</v>
      </c>
      <c r="Q821" s="49">
        <v>9.9700000000000006</v>
      </c>
      <c r="R821" s="49">
        <v>9.25</v>
      </c>
      <c r="S821" s="49">
        <v>11.02</v>
      </c>
    </row>
    <row r="822" spans="1:19" ht="18">
      <c r="A822" s="49">
        <v>3615</v>
      </c>
      <c r="B822" s="49" t="s">
        <v>1444</v>
      </c>
      <c r="C822" s="49">
        <v>0</v>
      </c>
      <c r="D822" s="49">
        <v>0</v>
      </c>
      <c r="E822" s="49">
        <v>550.83000000000004</v>
      </c>
      <c r="F822" s="49">
        <v>39.520000000000003</v>
      </c>
      <c r="G822" s="49">
        <v>10.07</v>
      </c>
      <c r="H822" s="49">
        <v>34.21</v>
      </c>
      <c r="I822" s="49">
        <v>15.59</v>
      </c>
      <c r="J822" s="49">
        <v>0</v>
      </c>
      <c r="K822" s="49">
        <v>87.08</v>
      </c>
      <c r="L822" s="49">
        <v>124</v>
      </c>
      <c r="M822" s="49">
        <v>27.3</v>
      </c>
      <c r="N822" s="49">
        <v>19.55</v>
      </c>
      <c r="O822" s="49">
        <v>0</v>
      </c>
      <c r="P822" s="49">
        <v>0</v>
      </c>
      <c r="Q822" s="49">
        <v>26.24</v>
      </c>
      <c r="R822" s="49">
        <v>27.67</v>
      </c>
      <c r="S822" s="49">
        <v>29.17</v>
      </c>
    </row>
    <row r="823" spans="1:19" ht="18">
      <c r="A823" s="49">
        <v>3617</v>
      </c>
      <c r="B823" s="49" t="s">
        <v>886</v>
      </c>
      <c r="C823" s="49">
        <v>0</v>
      </c>
      <c r="D823" s="49">
        <v>0</v>
      </c>
      <c r="E823" s="49">
        <v>27.72</v>
      </c>
      <c r="F823" s="49">
        <v>14.62</v>
      </c>
      <c r="G823" s="49">
        <v>12.81</v>
      </c>
      <c r="H823" s="49">
        <v>10.66</v>
      </c>
      <c r="I823" s="49">
        <v>15.79</v>
      </c>
      <c r="J823" s="49">
        <v>12.34</v>
      </c>
      <c r="K823" s="49">
        <v>13.43</v>
      </c>
      <c r="L823" s="49">
        <v>12.36</v>
      </c>
      <c r="M823" s="49">
        <v>11.36</v>
      </c>
      <c r="N823" s="49">
        <v>10.25</v>
      </c>
      <c r="O823" s="49">
        <v>13.42</v>
      </c>
      <c r="P823" s="49">
        <v>26.35</v>
      </c>
      <c r="Q823" s="49">
        <v>21.39</v>
      </c>
      <c r="R823" s="49">
        <v>10.32</v>
      </c>
      <c r="S823" s="49">
        <v>13.08</v>
      </c>
    </row>
    <row r="824" spans="1:19" ht="18">
      <c r="A824" s="49">
        <v>3622</v>
      </c>
      <c r="B824" s="49" t="s">
        <v>887</v>
      </c>
      <c r="C824" s="49">
        <v>0</v>
      </c>
      <c r="D824" s="49">
        <v>0</v>
      </c>
      <c r="E824" s="49">
        <v>18.3</v>
      </c>
      <c r="F824" s="49">
        <v>12.56</v>
      </c>
      <c r="G824" s="49">
        <v>11.52</v>
      </c>
      <c r="H824" s="49">
        <v>0</v>
      </c>
      <c r="I824" s="49">
        <v>0</v>
      </c>
      <c r="J824" s="49">
        <v>0</v>
      </c>
      <c r="K824" s="49">
        <v>0</v>
      </c>
      <c r="L824" s="49">
        <v>0</v>
      </c>
      <c r="M824" s="49">
        <v>0</v>
      </c>
      <c r="N824" s="49">
        <v>16.489999999999998</v>
      </c>
      <c r="O824" s="49">
        <v>35.24</v>
      </c>
      <c r="P824" s="49">
        <v>28.5</v>
      </c>
      <c r="Q824" s="49">
        <v>19.46</v>
      </c>
      <c r="R824" s="49">
        <v>8.84</v>
      </c>
      <c r="S824" s="49">
        <v>14.32</v>
      </c>
    </row>
    <row r="825" spans="1:19" ht="18">
      <c r="A825" s="49">
        <v>3623</v>
      </c>
      <c r="B825" s="49" t="s">
        <v>1445</v>
      </c>
      <c r="C825" s="49">
        <v>0</v>
      </c>
      <c r="D825" s="49">
        <v>0</v>
      </c>
      <c r="E825" s="49">
        <v>0</v>
      </c>
      <c r="F825" s="49">
        <v>745</v>
      </c>
      <c r="G825" s="49">
        <v>0</v>
      </c>
      <c r="H825" s="49">
        <v>0</v>
      </c>
      <c r="I825" s="49">
        <v>26.42</v>
      </c>
      <c r="J825" s="49">
        <v>12.94</v>
      </c>
      <c r="K825" s="49">
        <v>0</v>
      </c>
      <c r="L825" s="49">
        <v>10.49</v>
      </c>
      <c r="M825" s="49">
        <v>9.7100000000000009</v>
      </c>
      <c r="N825" s="49">
        <v>8.59</v>
      </c>
      <c r="O825" s="49">
        <v>28.29</v>
      </c>
      <c r="P825" s="49">
        <v>0</v>
      </c>
      <c r="Q825" s="49">
        <v>0</v>
      </c>
      <c r="R825" s="49">
        <v>0</v>
      </c>
      <c r="S825" s="49">
        <v>0</v>
      </c>
    </row>
    <row r="826" spans="1:19" ht="18">
      <c r="A826" s="49">
        <v>3624</v>
      </c>
      <c r="B826" s="49" t="s">
        <v>1446</v>
      </c>
      <c r="C826" s="49">
        <v>0</v>
      </c>
      <c r="D826" s="49">
        <v>0</v>
      </c>
      <c r="E826" s="49">
        <v>0</v>
      </c>
      <c r="F826" s="49">
        <v>0</v>
      </c>
      <c r="G826" s="49">
        <v>16.829999999999998</v>
      </c>
      <c r="H826" s="49">
        <v>14.21</v>
      </c>
      <c r="I826" s="49">
        <v>12.5</v>
      </c>
      <c r="J826" s="49">
        <v>20.75</v>
      </c>
      <c r="K826" s="49">
        <v>14.97</v>
      </c>
      <c r="L826" s="49">
        <v>34.33</v>
      </c>
      <c r="M826" s="49">
        <v>36.69</v>
      </c>
      <c r="N826" s="49">
        <v>14.06</v>
      </c>
      <c r="O826" s="49">
        <v>15.61</v>
      </c>
      <c r="P826" s="49">
        <v>39.799999999999997</v>
      </c>
      <c r="Q826" s="49">
        <v>25.55</v>
      </c>
      <c r="R826" s="49">
        <v>6.94</v>
      </c>
      <c r="S826" s="49">
        <v>20.329999999999998</v>
      </c>
    </row>
    <row r="827" spans="1:19" ht="18">
      <c r="A827" s="49">
        <v>3625</v>
      </c>
      <c r="B827" s="49" t="s">
        <v>1447</v>
      </c>
      <c r="C827" s="49">
        <v>0</v>
      </c>
      <c r="D827" s="49">
        <v>0</v>
      </c>
      <c r="E827" s="49">
        <v>17.559999999999999</v>
      </c>
      <c r="F827" s="49">
        <v>0</v>
      </c>
      <c r="G827" s="49">
        <v>0</v>
      </c>
      <c r="H827" s="49">
        <v>20.83</v>
      </c>
      <c r="I827" s="49">
        <v>0</v>
      </c>
      <c r="J827" s="49">
        <v>0</v>
      </c>
      <c r="K827" s="49">
        <v>0</v>
      </c>
      <c r="L827" s="49">
        <v>21.55</v>
      </c>
      <c r="M827" s="49">
        <v>16.260000000000002</v>
      </c>
      <c r="N827" s="49">
        <v>21.87</v>
      </c>
      <c r="O827" s="49">
        <v>19.34</v>
      </c>
      <c r="P827" s="49">
        <v>0</v>
      </c>
      <c r="Q827" s="49">
        <v>0</v>
      </c>
      <c r="R827" s="49">
        <v>0</v>
      </c>
      <c r="S827" s="49">
        <v>0</v>
      </c>
    </row>
    <row r="828" spans="1:19" ht="18">
      <c r="A828" s="49">
        <v>3628</v>
      </c>
      <c r="B828" s="49" t="s">
        <v>1448</v>
      </c>
      <c r="C828" s="49">
        <v>0</v>
      </c>
      <c r="D828" s="49">
        <v>0</v>
      </c>
      <c r="E828" s="49">
        <v>0</v>
      </c>
      <c r="F828" s="49">
        <v>15.87</v>
      </c>
      <c r="G828" s="49">
        <v>10.029999999999999</v>
      </c>
      <c r="H828" s="49">
        <v>14.97</v>
      </c>
      <c r="I828" s="49">
        <v>17</v>
      </c>
      <c r="J828" s="49">
        <v>11.72</v>
      </c>
      <c r="K828" s="49">
        <v>12.48</v>
      </c>
      <c r="L828" s="49">
        <v>21.2</v>
      </c>
      <c r="M828" s="49">
        <v>17</v>
      </c>
      <c r="N828" s="49">
        <v>14.67</v>
      </c>
      <c r="O828" s="49">
        <v>32.840000000000003</v>
      </c>
      <c r="P828" s="49">
        <v>49.87</v>
      </c>
      <c r="Q828" s="49">
        <v>47.99</v>
      </c>
      <c r="R828" s="49">
        <v>22.54</v>
      </c>
      <c r="S828" s="49">
        <v>15.07</v>
      </c>
    </row>
    <row r="829" spans="1:19" ht="18">
      <c r="A829" s="49">
        <v>3629</v>
      </c>
      <c r="B829" s="49" t="s">
        <v>1449</v>
      </c>
      <c r="C829" s="49">
        <v>0</v>
      </c>
      <c r="D829" s="49">
        <v>0</v>
      </c>
      <c r="E829" s="49">
        <v>0</v>
      </c>
      <c r="F829" s="49">
        <v>34.119999999999997</v>
      </c>
      <c r="G829" s="49">
        <v>62.11</v>
      </c>
      <c r="H829" s="49">
        <v>0</v>
      </c>
      <c r="I829" s="49">
        <v>0</v>
      </c>
      <c r="J829" s="49">
        <v>0</v>
      </c>
      <c r="K829" s="49">
        <v>0</v>
      </c>
      <c r="L829" s="49">
        <v>0</v>
      </c>
      <c r="M829" s="49">
        <v>0</v>
      </c>
      <c r="N829" s="49">
        <v>0</v>
      </c>
      <c r="O829" s="49">
        <v>0</v>
      </c>
      <c r="P829" s="49">
        <v>27.76</v>
      </c>
      <c r="Q829" s="49">
        <v>0</v>
      </c>
      <c r="R829" s="49">
        <v>0</v>
      </c>
      <c r="S829" s="49">
        <v>0</v>
      </c>
    </row>
    <row r="830" spans="1:19" ht="18">
      <c r="A830" s="49">
        <v>3630</v>
      </c>
      <c r="B830" s="49" t="s">
        <v>1450</v>
      </c>
      <c r="C830" s="49">
        <v>0</v>
      </c>
      <c r="D830" s="49">
        <v>0</v>
      </c>
      <c r="E830" s="49">
        <v>0</v>
      </c>
      <c r="F830" s="49">
        <v>66.599999999999994</v>
      </c>
      <c r="G830" s="49">
        <v>8.51</v>
      </c>
      <c r="H830" s="49">
        <v>0</v>
      </c>
      <c r="I830" s="49">
        <v>0</v>
      </c>
      <c r="J830" s="49">
        <v>0</v>
      </c>
      <c r="K830" s="49">
        <v>0</v>
      </c>
      <c r="L830" s="49">
        <v>0</v>
      </c>
      <c r="M830" s="49">
        <v>0</v>
      </c>
      <c r="N830" s="49">
        <v>0</v>
      </c>
      <c r="O830" s="49">
        <v>41.07</v>
      </c>
      <c r="P830" s="49">
        <v>0</v>
      </c>
      <c r="Q830" s="49">
        <v>0</v>
      </c>
      <c r="R830" s="49">
        <v>0</v>
      </c>
      <c r="S830" s="49">
        <v>0</v>
      </c>
    </row>
    <row r="831" spans="1:19" ht="18">
      <c r="A831" s="49">
        <v>3631</v>
      </c>
      <c r="B831" s="49" t="s">
        <v>1451</v>
      </c>
      <c r="C831" s="49">
        <v>0</v>
      </c>
      <c r="D831" s="49">
        <v>0</v>
      </c>
      <c r="E831" s="49">
        <v>0</v>
      </c>
      <c r="F831" s="49">
        <v>16.75</v>
      </c>
      <c r="G831" s="49">
        <v>9.44</v>
      </c>
      <c r="H831" s="49">
        <v>17.87</v>
      </c>
      <c r="I831" s="49">
        <v>25.65</v>
      </c>
      <c r="J831" s="49">
        <v>36.840000000000003</v>
      </c>
      <c r="K831" s="49">
        <v>0</v>
      </c>
      <c r="L831" s="49">
        <v>0</v>
      </c>
      <c r="M831" s="49">
        <v>0</v>
      </c>
      <c r="N831" s="49">
        <v>0</v>
      </c>
      <c r="O831" s="49">
        <v>0</v>
      </c>
      <c r="P831" s="49">
        <v>0</v>
      </c>
      <c r="Q831" s="49">
        <v>0</v>
      </c>
      <c r="R831" s="49">
        <v>0</v>
      </c>
      <c r="S831" s="49">
        <v>0</v>
      </c>
    </row>
    <row r="832" spans="1:19" ht="18">
      <c r="A832" s="49">
        <v>3632</v>
      </c>
      <c r="B832" s="49" t="s">
        <v>1452</v>
      </c>
      <c r="C832" s="49">
        <v>0</v>
      </c>
      <c r="D832" s="49">
        <v>0</v>
      </c>
      <c r="E832" s="49">
        <v>0</v>
      </c>
      <c r="F832" s="49">
        <v>0</v>
      </c>
      <c r="G832" s="49">
        <v>30.3</v>
      </c>
      <c r="H832" s="49">
        <v>35.159999999999997</v>
      </c>
      <c r="I832" s="49">
        <v>32.340000000000003</v>
      </c>
      <c r="J832" s="49">
        <v>0</v>
      </c>
      <c r="K832" s="49">
        <v>20.72</v>
      </c>
      <c r="L832" s="49">
        <v>0</v>
      </c>
      <c r="M832" s="49">
        <v>0</v>
      </c>
      <c r="N832" s="49">
        <v>0</v>
      </c>
      <c r="O832" s="49">
        <v>0</v>
      </c>
      <c r="P832" s="49">
        <v>0</v>
      </c>
      <c r="Q832" s="49">
        <v>0</v>
      </c>
      <c r="R832" s="49">
        <v>5.92</v>
      </c>
      <c r="S832" s="49">
        <v>155</v>
      </c>
    </row>
    <row r="833" spans="1:19" ht="18">
      <c r="A833" s="49">
        <v>3645</v>
      </c>
      <c r="B833" s="49" t="s">
        <v>888</v>
      </c>
      <c r="C833" s="49">
        <v>0</v>
      </c>
      <c r="D833" s="49">
        <v>0</v>
      </c>
      <c r="E833" s="49">
        <v>0</v>
      </c>
      <c r="F833" s="49">
        <v>0</v>
      </c>
      <c r="G833" s="49">
        <v>14.65</v>
      </c>
      <c r="H833" s="49">
        <v>19.25</v>
      </c>
      <c r="I833" s="49">
        <v>35.21</v>
      </c>
      <c r="J833" s="49">
        <v>32.369999999999997</v>
      </c>
      <c r="K833" s="49">
        <v>11.72</v>
      </c>
      <c r="L833" s="49">
        <v>27.5</v>
      </c>
      <c r="M833" s="49">
        <v>35</v>
      </c>
      <c r="N833" s="49">
        <v>13.87</v>
      </c>
      <c r="O833" s="49">
        <v>38.130000000000003</v>
      </c>
      <c r="P833" s="49">
        <v>25.72</v>
      </c>
      <c r="Q833" s="49">
        <v>16.760000000000002</v>
      </c>
      <c r="R833" s="49">
        <v>17.489999999999998</v>
      </c>
      <c r="S833" s="49">
        <v>0</v>
      </c>
    </row>
    <row r="834" spans="1:19" ht="18">
      <c r="A834" s="49">
        <v>3646</v>
      </c>
      <c r="B834" s="49" t="s">
        <v>1453</v>
      </c>
      <c r="C834" s="49">
        <v>0</v>
      </c>
      <c r="D834" s="49">
        <v>0</v>
      </c>
      <c r="E834" s="49">
        <v>0</v>
      </c>
      <c r="F834" s="49">
        <v>0</v>
      </c>
      <c r="G834" s="49">
        <v>0</v>
      </c>
      <c r="H834" s="49">
        <v>0</v>
      </c>
      <c r="I834" s="49">
        <v>37.99</v>
      </c>
      <c r="J834" s="49">
        <v>0</v>
      </c>
      <c r="K834" s="49">
        <v>0</v>
      </c>
      <c r="L834" s="49">
        <v>33.65</v>
      </c>
      <c r="M834" s="49">
        <v>32.22</v>
      </c>
      <c r="N834" s="49">
        <v>11.2</v>
      </c>
      <c r="O834" s="49">
        <v>28.9</v>
      </c>
      <c r="P834" s="49">
        <v>12.07</v>
      </c>
      <c r="Q834" s="49">
        <v>15.8</v>
      </c>
      <c r="R834" s="49">
        <v>9.4</v>
      </c>
      <c r="S834" s="49">
        <v>21.72</v>
      </c>
    </row>
    <row r="835" spans="1:19" ht="18">
      <c r="A835" s="49">
        <v>3652</v>
      </c>
      <c r="B835" s="49" t="s">
        <v>889</v>
      </c>
      <c r="C835" s="49">
        <v>0</v>
      </c>
      <c r="D835" s="49">
        <v>0</v>
      </c>
      <c r="E835" s="49">
        <v>90.64</v>
      </c>
      <c r="F835" s="49">
        <v>18.559999999999999</v>
      </c>
      <c r="G835" s="49">
        <v>17.79</v>
      </c>
      <c r="H835" s="49">
        <v>0</v>
      </c>
      <c r="I835" s="49">
        <v>31.33</v>
      </c>
      <c r="J835" s="49">
        <v>27.94</v>
      </c>
      <c r="K835" s="49">
        <v>43.68</v>
      </c>
      <c r="L835" s="49">
        <v>33</v>
      </c>
      <c r="M835" s="49">
        <v>20.43</v>
      </c>
      <c r="N835" s="49">
        <v>124.62</v>
      </c>
      <c r="O835" s="49">
        <v>165</v>
      </c>
      <c r="P835" s="49">
        <v>51.79</v>
      </c>
      <c r="Q835" s="49">
        <v>13.97</v>
      </c>
      <c r="R835" s="49">
        <v>21.38</v>
      </c>
      <c r="S835" s="49">
        <v>44.85</v>
      </c>
    </row>
    <row r="836" spans="1:19" ht="18">
      <c r="A836" s="49">
        <v>3653</v>
      </c>
      <c r="B836" s="49" t="s">
        <v>890</v>
      </c>
      <c r="C836" s="49">
        <v>0</v>
      </c>
      <c r="D836" s="49">
        <v>0</v>
      </c>
      <c r="E836" s="49">
        <v>39.36</v>
      </c>
      <c r="F836" s="49">
        <v>20.47</v>
      </c>
      <c r="G836" s="49">
        <v>15.79</v>
      </c>
      <c r="H836" s="49">
        <v>24.31</v>
      </c>
      <c r="I836" s="49">
        <v>43.86</v>
      </c>
      <c r="J836" s="49">
        <v>18.600000000000001</v>
      </c>
      <c r="K836" s="49">
        <v>15.31</v>
      </c>
      <c r="L836" s="49">
        <v>34.17</v>
      </c>
      <c r="M836" s="49">
        <v>23.74</v>
      </c>
      <c r="N836" s="49">
        <v>21.9</v>
      </c>
      <c r="O836" s="49">
        <v>40.71</v>
      </c>
      <c r="P836" s="49">
        <v>32.479999999999997</v>
      </c>
      <c r="Q836" s="49">
        <v>48.69</v>
      </c>
      <c r="R836" s="49">
        <v>22.63</v>
      </c>
      <c r="S836" s="49">
        <v>43.06</v>
      </c>
    </row>
    <row r="837" spans="1:19" ht="18">
      <c r="A837" s="49">
        <v>3661</v>
      </c>
      <c r="B837" s="49" t="s">
        <v>891</v>
      </c>
      <c r="C837" s="49">
        <v>0</v>
      </c>
      <c r="D837" s="49">
        <v>0</v>
      </c>
      <c r="E837" s="49">
        <v>0</v>
      </c>
      <c r="F837" s="49">
        <v>0</v>
      </c>
      <c r="G837" s="49">
        <v>0</v>
      </c>
      <c r="H837" s="49">
        <v>0</v>
      </c>
      <c r="I837" s="49">
        <v>0</v>
      </c>
      <c r="J837" s="49">
        <v>18.399999999999999</v>
      </c>
      <c r="K837" s="49">
        <v>33.53</v>
      </c>
      <c r="L837" s="49">
        <v>0</v>
      </c>
      <c r="M837" s="49">
        <v>19.89</v>
      </c>
      <c r="N837" s="49">
        <v>10.3</v>
      </c>
      <c r="O837" s="49">
        <v>63.55</v>
      </c>
      <c r="P837" s="49">
        <v>51.88</v>
      </c>
      <c r="Q837" s="49">
        <v>52.28</v>
      </c>
      <c r="R837" s="49">
        <v>33.76</v>
      </c>
      <c r="S837" s="49">
        <v>89.21</v>
      </c>
    </row>
    <row r="838" spans="1:19" ht="18">
      <c r="A838" s="49">
        <v>3663</v>
      </c>
      <c r="B838" s="49" t="s">
        <v>1454</v>
      </c>
      <c r="C838" s="49">
        <v>0</v>
      </c>
      <c r="D838" s="49">
        <v>0</v>
      </c>
      <c r="E838" s="49">
        <v>0</v>
      </c>
      <c r="F838" s="49">
        <v>0</v>
      </c>
      <c r="G838" s="49">
        <v>0</v>
      </c>
      <c r="H838" s="49">
        <v>44.87</v>
      </c>
      <c r="I838" s="49">
        <v>69.52</v>
      </c>
      <c r="J838" s="49">
        <v>240</v>
      </c>
      <c r="K838" s="49">
        <v>0</v>
      </c>
      <c r="L838" s="49">
        <v>0</v>
      </c>
      <c r="M838" s="49">
        <v>37.67</v>
      </c>
      <c r="N838" s="49">
        <v>38.590000000000003</v>
      </c>
      <c r="O838" s="49">
        <v>12.76</v>
      </c>
      <c r="P838" s="49">
        <v>46.63</v>
      </c>
      <c r="Q838" s="49">
        <v>42.28</v>
      </c>
      <c r="R838" s="49">
        <v>21.39</v>
      </c>
      <c r="S838" s="49">
        <v>53.86</v>
      </c>
    </row>
    <row r="839" spans="1:19" ht="18">
      <c r="A839" s="49">
        <v>3664</v>
      </c>
      <c r="B839" s="49" t="s">
        <v>1455</v>
      </c>
      <c r="C839" s="49">
        <v>0</v>
      </c>
      <c r="D839" s="49">
        <v>0</v>
      </c>
      <c r="E839" s="49">
        <v>0</v>
      </c>
      <c r="F839" s="49">
        <v>21.52</v>
      </c>
      <c r="G839" s="49">
        <v>21.06</v>
      </c>
      <c r="H839" s="49">
        <v>0</v>
      </c>
      <c r="I839" s="49">
        <v>0</v>
      </c>
      <c r="J839" s="49">
        <v>44.29</v>
      </c>
      <c r="K839" s="49">
        <v>11.98</v>
      </c>
      <c r="L839" s="49">
        <v>0</v>
      </c>
      <c r="M839" s="49">
        <v>0</v>
      </c>
      <c r="N839" s="49">
        <v>0</v>
      </c>
      <c r="O839" s="49">
        <v>0</v>
      </c>
      <c r="P839" s="49">
        <v>0</v>
      </c>
      <c r="Q839" s="49">
        <v>0</v>
      </c>
      <c r="R839" s="49">
        <v>0</v>
      </c>
      <c r="S839" s="49">
        <v>0</v>
      </c>
    </row>
    <row r="840" spans="1:19" ht="18">
      <c r="A840" s="49">
        <v>3665</v>
      </c>
      <c r="B840" s="49" t="s">
        <v>892</v>
      </c>
      <c r="C840" s="49">
        <v>0</v>
      </c>
      <c r="D840" s="49">
        <v>0</v>
      </c>
      <c r="E840" s="49">
        <v>0</v>
      </c>
      <c r="F840" s="49">
        <v>0</v>
      </c>
      <c r="G840" s="49">
        <v>3.82</v>
      </c>
      <c r="H840" s="49">
        <v>8.35</v>
      </c>
      <c r="I840" s="49">
        <v>19.649999999999999</v>
      </c>
      <c r="J840" s="49">
        <v>15.98</v>
      </c>
      <c r="K840" s="49">
        <v>18.72</v>
      </c>
      <c r="L840" s="49">
        <v>20.18</v>
      </c>
      <c r="M840" s="49">
        <v>29.75</v>
      </c>
      <c r="N840" s="49">
        <v>20.309999999999999</v>
      </c>
      <c r="O840" s="49">
        <v>14.83</v>
      </c>
      <c r="P840" s="49">
        <v>18.36</v>
      </c>
      <c r="Q840" s="49">
        <v>16.97</v>
      </c>
      <c r="R840" s="49">
        <v>10.61</v>
      </c>
      <c r="S840" s="49">
        <v>15.96</v>
      </c>
    </row>
    <row r="841" spans="1:19" ht="18">
      <c r="A841" s="49">
        <v>3666</v>
      </c>
      <c r="B841" s="49" t="s">
        <v>1456</v>
      </c>
      <c r="C841" s="49">
        <v>0</v>
      </c>
      <c r="D841" s="49">
        <v>0</v>
      </c>
      <c r="E841" s="49">
        <v>0</v>
      </c>
      <c r="F841" s="49">
        <v>0</v>
      </c>
      <c r="G841" s="49">
        <v>0</v>
      </c>
      <c r="H841" s="49">
        <v>0</v>
      </c>
      <c r="I841" s="49">
        <v>0</v>
      </c>
      <c r="J841" s="49">
        <v>11.9</v>
      </c>
      <c r="K841" s="49">
        <v>49.57</v>
      </c>
      <c r="L841" s="49">
        <v>20.13</v>
      </c>
      <c r="M841" s="49">
        <v>17.88</v>
      </c>
      <c r="N841" s="49">
        <v>0</v>
      </c>
      <c r="O841" s="49">
        <v>0</v>
      </c>
      <c r="P841" s="49">
        <v>55.31</v>
      </c>
      <c r="Q841" s="49">
        <v>29.08</v>
      </c>
      <c r="R841" s="49">
        <v>0</v>
      </c>
      <c r="S841" s="49">
        <v>0</v>
      </c>
    </row>
    <row r="842" spans="1:19" ht="18">
      <c r="A842" s="49">
        <v>3669</v>
      </c>
      <c r="B842" s="49" t="s">
        <v>893</v>
      </c>
      <c r="C842" s="49">
        <v>0</v>
      </c>
      <c r="D842" s="49">
        <v>0</v>
      </c>
      <c r="E842" s="49">
        <v>0</v>
      </c>
      <c r="F842" s="49">
        <v>0</v>
      </c>
      <c r="G842" s="49">
        <v>7.27</v>
      </c>
      <c r="H842" s="49">
        <v>58.38</v>
      </c>
      <c r="I842" s="49">
        <v>0</v>
      </c>
      <c r="J842" s="49">
        <v>125.88</v>
      </c>
      <c r="K842" s="49">
        <v>0</v>
      </c>
      <c r="L842" s="49">
        <v>19.23</v>
      </c>
      <c r="M842" s="49">
        <v>21.89</v>
      </c>
      <c r="N842" s="49">
        <v>410</v>
      </c>
      <c r="O842" s="49">
        <v>33.47</v>
      </c>
      <c r="P842" s="49">
        <v>12.4</v>
      </c>
      <c r="Q842" s="49">
        <v>7.52</v>
      </c>
      <c r="R842" s="49">
        <v>11.02</v>
      </c>
      <c r="S842" s="49">
        <v>19.309999999999999</v>
      </c>
    </row>
    <row r="843" spans="1:19" ht="18">
      <c r="A843" s="49">
        <v>3672</v>
      </c>
      <c r="B843" s="49" t="s">
        <v>1457</v>
      </c>
      <c r="C843" s="49">
        <v>0</v>
      </c>
      <c r="D843" s="49">
        <v>0</v>
      </c>
      <c r="E843" s="49">
        <v>0</v>
      </c>
      <c r="F843" s="49">
        <v>0</v>
      </c>
      <c r="G843" s="49">
        <v>0</v>
      </c>
      <c r="H843" s="49">
        <v>0</v>
      </c>
      <c r="I843" s="49">
        <v>0</v>
      </c>
      <c r="J843" s="49">
        <v>0</v>
      </c>
      <c r="K843" s="49">
        <v>10.59</v>
      </c>
      <c r="L843" s="49">
        <v>13.2</v>
      </c>
      <c r="M843" s="49">
        <v>18.100000000000001</v>
      </c>
      <c r="N843" s="49">
        <v>62.4</v>
      </c>
      <c r="O843" s="49">
        <v>0</v>
      </c>
      <c r="P843" s="49">
        <v>0</v>
      </c>
      <c r="Q843" s="49">
        <v>72.87</v>
      </c>
      <c r="R843" s="49">
        <v>111.25</v>
      </c>
      <c r="S843" s="49">
        <v>0</v>
      </c>
    </row>
    <row r="844" spans="1:19" ht="18">
      <c r="A844" s="49">
        <v>3673</v>
      </c>
      <c r="B844" s="49" t="s">
        <v>894</v>
      </c>
      <c r="C844" s="49">
        <v>0</v>
      </c>
      <c r="D844" s="49">
        <v>0</v>
      </c>
      <c r="E844" s="49">
        <v>0</v>
      </c>
      <c r="F844" s="49">
        <v>64.989999999999995</v>
      </c>
      <c r="G844" s="49">
        <v>7.79</v>
      </c>
      <c r="H844" s="49">
        <v>16.55</v>
      </c>
      <c r="I844" s="49">
        <v>4.13</v>
      </c>
      <c r="J844" s="49">
        <v>0</v>
      </c>
      <c r="K844" s="49">
        <v>0</v>
      </c>
      <c r="L844" s="49">
        <v>0</v>
      </c>
      <c r="M844" s="49">
        <v>15.98</v>
      </c>
      <c r="N844" s="49">
        <v>31.57</v>
      </c>
      <c r="O844" s="49">
        <v>46.18</v>
      </c>
      <c r="P844" s="49">
        <v>27.24</v>
      </c>
      <c r="Q844" s="49">
        <v>14.83</v>
      </c>
      <c r="R844" s="49">
        <v>18.64</v>
      </c>
      <c r="S844" s="49">
        <v>64.64</v>
      </c>
    </row>
    <row r="845" spans="1:19" ht="18">
      <c r="A845" s="49">
        <v>3675</v>
      </c>
      <c r="B845" s="49" t="s">
        <v>1458</v>
      </c>
      <c r="C845" s="49">
        <v>0</v>
      </c>
      <c r="D845" s="49">
        <v>0</v>
      </c>
      <c r="E845" s="49">
        <v>0</v>
      </c>
      <c r="F845" s="49">
        <v>0</v>
      </c>
      <c r="G845" s="49">
        <v>0</v>
      </c>
      <c r="H845" s="49">
        <v>0</v>
      </c>
      <c r="I845" s="49">
        <v>0</v>
      </c>
      <c r="J845" s="49">
        <v>28.54</v>
      </c>
      <c r="K845" s="49">
        <v>11.03</v>
      </c>
      <c r="L845" s="49">
        <v>16.239999999999998</v>
      </c>
      <c r="M845" s="49">
        <v>18.61</v>
      </c>
      <c r="N845" s="49">
        <v>14.65</v>
      </c>
      <c r="O845" s="49">
        <v>19.87</v>
      </c>
      <c r="P845" s="49">
        <v>33.92</v>
      </c>
      <c r="Q845" s="49">
        <v>52.55</v>
      </c>
      <c r="R845" s="49">
        <v>15.71</v>
      </c>
      <c r="S845" s="49">
        <v>32.74</v>
      </c>
    </row>
    <row r="846" spans="1:19" ht="18">
      <c r="A846" s="49">
        <v>3679</v>
      </c>
      <c r="B846" s="49" t="s">
        <v>895</v>
      </c>
      <c r="C846" s="49">
        <v>0</v>
      </c>
      <c r="D846" s="49">
        <v>0</v>
      </c>
      <c r="E846" s="49">
        <v>0</v>
      </c>
      <c r="F846" s="49">
        <v>0</v>
      </c>
      <c r="G846" s="49">
        <v>8.75</v>
      </c>
      <c r="H846" s="49">
        <v>7.51</v>
      </c>
      <c r="I846" s="49">
        <v>14.07</v>
      </c>
      <c r="J846" s="49">
        <v>11.99</v>
      </c>
      <c r="K846" s="49">
        <v>11.72</v>
      </c>
      <c r="L846" s="49">
        <v>9.99</v>
      </c>
      <c r="M846" s="49">
        <v>11.17</v>
      </c>
      <c r="N846" s="49">
        <v>14.91</v>
      </c>
      <c r="O846" s="49">
        <v>12.9</v>
      </c>
      <c r="P846" s="49">
        <v>11.11</v>
      </c>
      <c r="Q846" s="49">
        <v>9.0399999999999991</v>
      </c>
      <c r="R846" s="49">
        <v>6.79</v>
      </c>
      <c r="S846" s="49">
        <v>13.07</v>
      </c>
    </row>
    <row r="847" spans="1:19" ht="18">
      <c r="A847" s="49">
        <v>3680</v>
      </c>
      <c r="B847" s="49" t="s">
        <v>1459</v>
      </c>
      <c r="C847" s="49">
        <v>0</v>
      </c>
      <c r="D847" s="49">
        <v>0</v>
      </c>
      <c r="E847" s="49">
        <v>0</v>
      </c>
      <c r="F847" s="49">
        <v>0</v>
      </c>
      <c r="G847" s="49">
        <v>13.42</v>
      </c>
      <c r="H847" s="49">
        <v>29.61</v>
      </c>
      <c r="I847" s="49">
        <v>0</v>
      </c>
      <c r="J847" s="49">
        <v>39.53</v>
      </c>
      <c r="K847" s="49">
        <v>0</v>
      </c>
      <c r="L847" s="49">
        <v>182.22</v>
      </c>
      <c r="M847" s="49">
        <v>53.49</v>
      </c>
      <c r="N847" s="49">
        <v>0</v>
      </c>
      <c r="O847" s="49">
        <v>36.89</v>
      </c>
      <c r="P847" s="49">
        <v>39.39</v>
      </c>
      <c r="Q847" s="49">
        <v>257.14</v>
      </c>
      <c r="R847" s="49">
        <v>24.54</v>
      </c>
      <c r="S847" s="49">
        <v>37.200000000000003</v>
      </c>
    </row>
    <row r="848" spans="1:19" ht="18">
      <c r="A848" s="49">
        <v>3682</v>
      </c>
      <c r="B848" s="49" t="s">
        <v>896</v>
      </c>
      <c r="C848" s="49">
        <v>0</v>
      </c>
      <c r="D848" s="49">
        <v>0</v>
      </c>
      <c r="E848" s="49">
        <v>0</v>
      </c>
      <c r="F848" s="49">
        <v>0</v>
      </c>
      <c r="G848" s="49">
        <v>0</v>
      </c>
      <c r="H848" s="49">
        <v>0</v>
      </c>
      <c r="I848" s="49">
        <v>20.88</v>
      </c>
      <c r="J848" s="49">
        <v>109.06</v>
      </c>
      <c r="K848" s="49">
        <v>0</v>
      </c>
      <c r="L848" s="49">
        <v>0</v>
      </c>
      <c r="M848" s="49">
        <v>0</v>
      </c>
      <c r="N848" s="49">
        <v>0</v>
      </c>
      <c r="O848" s="49">
        <v>0</v>
      </c>
      <c r="P848" s="49">
        <v>0</v>
      </c>
      <c r="Q848" s="49">
        <v>0</v>
      </c>
      <c r="R848" s="49">
        <v>0</v>
      </c>
      <c r="S848" s="49">
        <v>0</v>
      </c>
    </row>
    <row r="849" spans="1:19" ht="18">
      <c r="A849" s="49">
        <v>3684</v>
      </c>
      <c r="B849" s="49" t="s">
        <v>1460</v>
      </c>
      <c r="C849" s="49">
        <v>0</v>
      </c>
      <c r="D849" s="49">
        <v>0</v>
      </c>
      <c r="E849" s="49">
        <v>0</v>
      </c>
      <c r="F849" s="49">
        <v>0</v>
      </c>
      <c r="G849" s="49">
        <v>0</v>
      </c>
      <c r="H849" s="49">
        <v>0</v>
      </c>
      <c r="I849" s="49">
        <v>0</v>
      </c>
      <c r="J849" s="49">
        <v>17.39</v>
      </c>
      <c r="K849" s="49">
        <v>13.82</v>
      </c>
      <c r="L849" s="49">
        <v>10.26</v>
      </c>
      <c r="M849" s="49">
        <v>11.79</v>
      </c>
      <c r="N849" s="49">
        <v>12.7</v>
      </c>
      <c r="O849" s="49">
        <v>10.31</v>
      </c>
      <c r="P849" s="49">
        <v>16.850000000000001</v>
      </c>
      <c r="Q849" s="49">
        <v>21.36</v>
      </c>
      <c r="R849" s="49">
        <v>10.11</v>
      </c>
      <c r="S849" s="49">
        <v>26.41</v>
      </c>
    </row>
    <row r="850" spans="1:19" ht="18">
      <c r="A850" s="49">
        <v>3685</v>
      </c>
      <c r="B850" s="49" t="s">
        <v>1461</v>
      </c>
      <c r="C850" s="49">
        <v>0</v>
      </c>
      <c r="D850" s="49">
        <v>0</v>
      </c>
      <c r="E850" s="49">
        <v>0</v>
      </c>
      <c r="F850" s="49">
        <v>12.94</v>
      </c>
      <c r="G850" s="49">
        <v>7.65</v>
      </c>
      <c r="H850" s="49">
        <v>23.14</v>
      </c>
      <c r="I850" s="49">
        <v>20.99</v>
      </c>
      <c r="J850" s="49">
        <v>0</v>
      </c>
      <c r="K850" s="49">
        <v>0</v>
      </c>
      <c r="L850" s="49">
        <v>0</v>
      </c>
      <c r="M850" s="49">
        <v>0</v>
      </c>
      <c r="N850" s="49">
        <v>26.89</v>
      </c>
      <c r="O850" s="49">
        <v>97.31</v>
      </c>
      <c r="P850" s="49">
        <v>0</v>
      </c>
      <c r="Q850" s="49">
        <v>534.29</v>
      </c>
      <c r="R850" s="49">
        <v>0</v>
      </c>
      <c r="S850" s="49">
        <v>0</v>
      </c>
    </row>
    <row r="851" spans="1:19" ht="18">
      <c r="A851" s="49">
        <v>3686</v>
      </c>
      <c r="B851" s="49" t="s">
        <v>897</v>
      </c>
      <c r="C851" s="49">
        <v>0</v>
      </c>
      <c r="D851" s="49">
        <v>0</v>
      </c>
      <c r="E851" s="49">
        <v>0</v>
      </c>
      <c r="F851" s="49">
        <v>0</v>
      </c>
      <c r="G851" s="49">
        <v>21.86</v>
      </c>
      <c r="H851" s="49">
        <v>0</v>
      </c>
      <c r="I851" s="49">
        <v>0</v>
      </c>
      <c r="J851" s="49">
        <v>0</v>
      </c>
      <c r="K851" s="49">
        <v>0</v>
      </c>
      <c r="L851" s="49">
        <v>0</v>
      </c>
      <c r="M851" s="49">
        <v>0</v>
      </c>
      <c r="N851" s="49">
        <v>0</v>
      </c>
      <c r="O851" s="49">
        <v>0</v>
      </c>
      <c r="P851" s="49">
        <v>0</v>
      </c>
      <c r="Q851" s="49">
        <v>0</v>
      </c>
      <c r="R851" s="49">
        <v>24.05</v>
      </c>
      <c r="S851" s="49">
        <v>0</v>
      </c>
    </row>
    <row r="852" spans="1:19" ht="18">
      <c r="A852" s="49">
        <v>3687</v>
      </c>
      <c r="B852" s="49" t="s">
        <v>1462</v>
      </c>
      <c r="C852" s="49">
        <v>0</v>
      </c>
      <c r="D852" s="49">
        <v>0</v>
      </c>
      <c r="E852" s="49">
        <v>0</v>
      </c>
      <c r="F852" s="49">
        <v>0</v>
      </c>
      <c r="G852" s="49">
        <v>17.260000000000002</v>
      </c>
      <c r="H852" s="49">
        <v>18.82</v>
      </c>
      <c r="I852" s="49">
        <v>0</v>
      </c>
      <c r="J852" s="49">
        <v>0</v>
      </c>
      <c r="K852" s="49">
        <v>0</v>
      </c>
      <c r="L852" s="49">
        <v>0</v>
      </c>
      <c r="M852" s="49">
        <v>0</v>
      </c>
      <c r="N852" s="49">
        <v>0</v>
      </c>
      <c r="O852" s="49">
        <v>0</v>
      </c>
      <c r="P852" s="49">
        <v>36.69</v>
      </c>
      <c r="Q852" s="49">
        <v>88.57</v>
      </c>
      <c r="R852" s="49">
        <v>33.630000000000003</v>
      </c>
      <c r="S852" s="49">
        <v>60.7</v>
      </c>
    </row>
    <row r="853" spans="1:19" ht="18">
      <c r="A853" s="49">
        <v>3689</v>
      </c>
      <c r="B853" s="49" t="s">
        <v>1463</v>
      </c>
      <c r="C853" s="49">
        <v>0</v>
      </c>
      <c r="D853" s="49">
        <v>0</v>
      </c>
      <c r="E853" s="49">
        <v>0</v>
      </c>
      <c r="F853" s="49">
        <v>0</v>
      </c>
      <c r="G853" s="49">
        <v>0</v>
      </c>
      <c r="H853" s="49">
        <v>11.09</v>
      </c>
      <c r="I853" s="49">
        <v>12.1</v>
      </c>
      <c r="J853" s="49">
        <v>10.81</v>
      </c>
      <c r="K853" s="49">
        <v>8.8800000000000008</v>
      </c>
      <c r="L853" s="49">
        <v>18.95</v>
      </c>
      <c r="M853" s="49">
        <v>11.92</v>
      </c>
      <c r="N853" s="49">
        <v>12.99</v>
      </c>
      <c r="O853" s="49">
        <v>30.45</v>
      </c>
      <c r="P853" s="49">
        <v>15.48</v>
      </c>
      <c r="Q853" s="49">
        <v>18.91</v>
      </c>
      <c r="R853" s="49">
        <v>7.93</v>
      </c>
      <c r="S853" s="49">
        <v>11.07</v>
      </c>
    </row>
    <row r="854" spans="1:19" ht="18">
      <c r="A854" s="49">
        <v>3691</v>
      </c>
      <c r="B854" s="49" t="s">
        <v>1464</v>
      </c>
      <c r="C854" s="49">
        <v>0</v>
      </c>
      <c r="D854" s="49">
        <v>0</v>
      </c>
      <c r="E854" s="49">
        <v>0</v>
      </c>
      <c r="F854" s="49">
        <v>27.2</v>
      </c>
      <c r="G854" s="49">
        <v>8.7200000000000006</v>
      </c>
      <c r="H854" s="49">
        <v>19.93</v>
      </c>
      <c r="I854" s="49">
        <v>50.05</v>
      </c>
      <c r="J854" s="49">
        <v>25.28</v>
      </c>
      <c r="K854" s="49">
        <v>19.98</v>
      </c>
      <c r="L854" s="49">
        <v>10.06</v>
      </c>
      <c r="M854" s="49">
        <v>60.19</v>
      </c>
      <c r="N854" s="49">
        <v>0</v>
      </c>
      <c r="O854" s="49">
        <v>0</v>
      </c>
      <c r="P854" s="49">
        <v>219.35</v>
      </c>
      <c r="Q854" s="49">
        <v>0</v>
      </c>
      <c r="R854" s="49">
        <v>0</v>
      </c>
      <c r="S854" s="49">
        <v>0</v>
      </c>
    </row>
    <row r="855" spans="1:19" ht="18">
      <c r="A855" s="49">
        <v>3693</v>
      </c>
      <c r="B855" s="49" t="s">
        <v>1465</v>
      </c>
      <c r="C855" s="49">
        <v>0</v>
      </c>
      <c r="D855" s="49">
        <v>0</v>
      </c>
      <c r="E855" s="49">
        <v>0</v>
      </c>
      <c r="F855" s="49">
        <v>0</v>
      </c>
      <c r="G855" s="49">
        <v>0</v>
      </c>
      <c r="H855" s="49">
        <v>0</v>
      </c>
      <c r="I855" s="49">
        <v>22.25</v>
      </c>
      <c r="J855" s="49">
        <v>13.64</v>
      </c>
      <c r="K855" s="49">
        <v>10.85</v>
      </c>
      <c r="L855" s="49">
        <v>23.17</v>
      </c>
      <c r="M855" s="49">
        <v>0</v>
      </c>
      <c r="N855" s="49">
        <v>0</v>
      </c>
      <c r="O855" s="49">
        <v>0</v>
      </c>
      <c r="P855" s="49">
        <v>19.05</v>
      </c>
      <c r="Q855" s="49">
        <v>36.520000000000003</v>
      </c>
      <c r="R855" s="49">
        <v>13.95</v>
      </c>
      <c r="S855" s="49">
        <v>16.98</v>
      </c>
    </row>
    <row r="856" spans="1:19" ht="18">
      <c r="A856" s="49">
        <v>3694</v>
      </c>
      <c r="B856" s="49" t="s">
        <v>898</v>
      </c>
      <c r="C856" s="49">
        <v>0</v>
      </c>
      <c r="D856" s="49">
        <v>0</v>
      </c>
      <c r="E856" s="49">
        <v>0</v>
      </c>
      <c r="F856" s="49">
        <v>0</v>
      </c>
      <c r="G856" s="49">
        <v>74.03</v>
      </c>
      <c r="H856" s="49">
        <v>0</v>
      </c>
      <c r="I856" s="49">
        <v>0</v>
      </c>
      <c r="J856" s="49">
        <v>0</v>
      </c>
      <c r="K856" s="49">
        <v>0</v>
      </c>
      <c r="L856" s="49">
        <v>14.14</v>
      </c>
      <c r="M856" s="49">
        <v>47.86</v>
      </c>
      <c r="N856" s="49">
        <v>0</v>
      </c>
      <c r="O856" s="49">
        <v>0</v>
      </c>
      <c r="P856" s="49">
        <v>16.3</v>
      </c>
      <c r="Q856" s="49">
        <v>16.97</v>
      </c>
      <c r="R856" s="49">
        <v>8.7799999999999994</v>
      </c>
      <c r="S856" s="49">
        <v>20.56</v>
      </c>
    </row>
    <row r="857" spans="1:19" ht="18">
      <c r="A857" s="49">
        <v>3701</v>
      </c>
      <c r="B857" s="49" t="s">
        <v>899</v>
      </c>
      <c r="C857" s="49">
        <v>0</v>
      </c>
      <c r="D857" s="49">
        <v>0</v>
      </c>
      <c r="E857" s="49">
        <v>0</v>
      </c>
      <c r="F857" s="49">
        <v>0</v>
      </c>
      <c r="G857" s="49">
        <v>0</v>
      </c>
      <c r="H857" s="49">
        <v>0</v>
      </c>
      <c r="I857" s="49">
        <v>0</v>
      </c>
      <c r="J857" s="49">
        <v>0</v>
      </c>
      <c r="K857" s="49">
        <v>0</v>
      </c>
      <c r="L857" s="49">
        <v>0</v>
      </c>
      <c r="M857" s="49">
        <v>15.87</v>
      </c>
      <c r="N857" s="49">
        <v>21.27</v>
      </c>
      <c r="O857" s="49">
        <v>18.670000000000002</v>
      </c>
      <c r="P857" s="49">
        <v>0</v>
      </c>
      <c r="Q857" s="49">
        <v>71.42</v>
      </c>
      <c r="R857" s="49">
        <v>20.16</v>
      </c>
      <c r="S857" s="49">
        <v>28.41</v>
      </c>
    </row>
    <row r="858" spans="1:19" ht="18">
      <c r="A858" s="49">
        <v>3702</v>
      </c>
      <c r="B858" s="49" t="s">
        <v>900</v>
      </c>
      <c r="C858" s="49">
        <v>12.69</v>
      </c>
      <c r="D858" s="49">
        <v>4.8899999999999997</v>
      </c>
      <c r="E858" s="49">
        <v>18.63</v>
      </c>
      <c r="F858" s="49">
        <v>16.96</v>
      </c>
      <c r="G858" s="49">
        <v>10.77</v>
      </c>
      <c r="H858" s="49">
        <v>14.18</v>
      </c>
      <c r="I858" s="49">
        <v>12.08</v>
      </c>
      <c r="J858" s="49">
        <v>11.17</v>
      </c>
      <c r="K858" s="49">
        <v>9.44</v>
      </c>
      <c r="L858" s="49">
        <v>10.33</v>
      </c>
      <c r="M858" s="49">
        <v>11.98</v>
      </c>
      <c r="N858" s="49">
        <v>8.27</v>
      </c>
      <c r="O858" s="49">
        <v>11.64</v>
      </c>
      <c r="P858" s="49">
        <v>10.36</v>
      </c>
      <c r="Q858" s="49">
        <v>9.08</v>
      </c>
      <c r="R858" s="49">
        <v>7.66</v>
      </c>
      <c r="S858" s="49">
        <v>25.5</v>
      </c>
    </row>
    <row r="859" spans="1:19" ht="18">
      <c r="A859" s="49">
        <v>3703</v>
      </c>
      <c r="B859" s="49" t="s">
        <v>901</v>
      </c>
      <c r="C859" s="49">
        <v>0</v>
      </c>
      <c r="D859" s="49">
        <v>0</v>
      </c>
      <c r="E859" s="49">
        <v>0</v>
      </c>
      <c r="F859" s="49">
        <v>28.65</v>
      </c>
      <c r="G859" s="49">
        <v>10.33</v>
      </c>
      <c r="H859" s="49">
        <v>12.45</v>
      </c>
      <c r="I859" s="49">
        <v>12.95</v>
      </c>
      <c r="J859" s="49">
        <v>5.95</v>
      </c>
      <c r="K859" s="49">
        <v>0</v>
      </c>
      <c r="L859" s="49">
        <v>65.31</v>
      </c>
      <c r="M859" s="49">
        <v>6.66</v>
      </c>
      <c r="N859" s="49">
        <v>9.5299999999999994</v>
      </c>
      <c r="O859" s="49">
        <v>25.09</v>
      </c>
      <c r="P859" s="49">
        <v>17.39</v>
      </c>
      <c r="Q859" s="49">
        <v>14.79</v>
      </c>
      <c r="R859" s="49">
        <v>6.62</v>
      </c>
      <c r="S859" s="49">
        <v>15.41</v>
      </c>
    </row>
    <row r="860" spans="1:19" ht="18">
      <c r="A860" s="49">
        <v>3704</v>
      </c>
      <c r="B860" s="49" t="s">
        <v>902</v>
      </c>
      <c r="C860" s="49">
        <v>0</v>
      </c>
      <c r="D860" s="49">
        <v>0</v>
      </c>
      <c r="E860" s="49">
        <v>0</v>
      </c>
      <c r="F860" s="49">
        <v>0</v>
      </c>
      <c r="G860" s="49">
        <v>5.0199999999999996</v>
      </c>
      <c r="H860" s="49">
        <v>475</v>
      </c>
      <c r="I860" s="49">
        <v>42.5</v>
      </c>
      <c r="J860" s="49">
        <v>15.48</v>
      </c>
      <c r="K860" s="49">
        <v>0</v>
      </c>
      <c r="L860" s="49">
        <v>161.66999999999999</v>
      </c>
      <c r="M860" s="49">
        <v>0</v>
      </c>
      <c r="N860" s="49">
        <v>0</v>
      </c>
      <c r="O860" s="49">
        <v>36.07</v>
      </c>
      <c r="P860" s="49">
        <v>79.48</v>
      </c>
      <c r="Q860" s="49">
        <v>11.45</v>
      </c>
      <c r="R860" s="49">
        <v>10.17</v>
      </c>
      <c r="S860" s="49">
        <v>13.4</v>
      </c>
    </row>
    <row r="861" spans="1:19" ht="18">
      <c r="A861" s="49">
        <v>3705</v>
      </c>
      <c r="B861" s="49" t="s">
        <v>903</v>
      </c>
      <c r="C861" s="49">
        <v>0</v>
      </c>
      <c r="D861" s="49">
        <v>0</v>
      </c>
      <c r="E861" s="49">
        <v>0</v>
      </c>
      <c r="F861" s="49">
        <v>0</v>
      </c>
      <c r="G861" s="49">
        <v>17.47</v>
      </c>
      <c r="H861" s="49">
        <v>20.9</v>
      </c>
      <c r="I861" s="49">
        <v>26.43</v>
      </c>
      <c r="J861" s="49">
        <v>18.21</v>
      </c>
      <c r="K861" s="49">
        <v>17.23</v>
      </c>
      <c r="L861" s="49">
        <v>14.09</v>
      </c>
      <c r="M861" s="49">
        <v>21</v>
      </c>
      <c r="N861" s="49">
        <v>16.329999999999998</v>
      </c>
      <c r="O861" s="49">
        <v>16.8</v>
      </c>
      <c r="P861" s="49">
        <v>14.19</v>
      </c>
      <c r="Q861" s="49">
        <v>15.85</v>
      </c>
      <c r="R861" s="49">
        <v>12.71</v>
      </c>
      <c r="S861" s="49">
        <v>17.61</v>
      </c>
    </row>
    <row r="862" spans="1:19" ht="18">
      <c r="A862" s="49">
        <v>3706</v>
      </c>
      <c r="B862" s="49" t="s">
        <v>904</v>
      </c>
      <c r="C862" s="49">
        <v>0</v>
      </c>
      <c r="D862" s="49">
        <v>0</v>
      </c>
      <c r="E862" s="49">
        <v>0</v>
      </c>
      <c r="F862" s="49">
        <v>0</v>
      </c>
      <c r="G862" s="49">
        <v>0</v>
      </c>
      <c r="H862" s="49">
        <v>0</v>
      </c>
      <c r="I862" s="49">
        <v>35.56</v>
      </c>
      <c r="J862" s="49">
        <v>17.73</v>
      </c>
      <c r="K862" s="49">
        <v>11</v>
      </c>
      <c r="L862" s="49">
        <v>13.03</v>
      </c>
      <c r="M862" s="49">
        <v>9.35</v>
      </c>
      <c r="N862" s="49">
        <v>6.94</v>
      </c>
      <c r="O862" s="49">
        <v>12.08</v>
      </c>
      <c r="P862" s="49">
        <v>11.9</v>
      </c>
      <c r="Q862" s="49">
        <v>3.41</v>
      </c>
      <c r="R862" s="49">
        <v>3.47</v>
      </c>
      <c r="S862" s="49">
        <v>46.89</v>
      </c>
    </row>
    <row r="863" spans="1:19" ht="18">
      <c r="A863" s="49">
        <v>3707</v>
      </c>
      <c r="B863" s="49" t="s">
        <v>1466</v>
      </c>
      <c r="C863" s="49">
        <v>0</v>
      </c>
      <c r="D863" s="49">
        <v>0</v>
      </c>
      <c r="E863" s="49">
        <v>0</v>
      </c>
      <c r="F863" s="49">
        <v>0</v>
      </c>
      <c r="G863" s="49">
        <v>0</v>
      </c>
      <c r="H863" s="49">
        <v>0</v>
      </c>
      <c r="I863" s="49">
        <v>0</v>
      </c>
      <c r="J863" s="49">
        <v>0</v>
      </c>
      <c r="K863" s="49">
        <v>0</v>
      </c>
      <c r="L863" s="49">
        <v>0</v>
      </c>
      <c r="M863" s="49">
        <v>0</v>
      </c>
      <c r="N863" s="49">
        <v>50.38</v>
      </c>
      <c r="O863" s="49">
        <v>0</v>
      </c>
      <c r="P863" s="49">
        <v>0</v>
      </c>
      <c r="Q863" s="49">
        <v>7150</v>
      </c>
      <c r="R863" s="49">
        <v>31.69</v>
      </c>
      <c r="S863" s="49">
        <v>150.21</v>
      </c>
    </row>
    <row r="864" spans="1:19" ht="18">
      <c r="A864" s="49">
        <v>3708</v>
      </c>
      <c r="B864" s="49" t="s">
        <v>905</v>
      </c>
      <c r="C864" s="49">
        <v>0</v>
      </c>
      <c r="D864" s="49">
        <v>0</v>
      </c>
      <c r="E864" s="49">
        <v>0</v>
      </c>
      <c r="F864" s="49">
        <v>0</v>
      </c>
      <c r="G864" s="49">
        <v>0</v>
      </c>
      <c r="H864" s="49">
        <v>0</v>
      </c>
      <c r="I864" s="49">
        <v>0</v>
      </c>
      <c r="J864" s="49">
        <v>0</v>
      </c>
      <c r="K864" s="49">
        <v>0</v>
      </c>
      <c r="L864" s="49">
        <v>0</v>
      </c>
      <c r="M864" s="49">
        <v>36.17</v>
      </c>
      <c r="N864" s="49">
        <v>8.33</v>
      </c>
      <c r="O864" s="49">
        <v>9.99</v>
      </c>
      <c r="P864" s="49">
        <v>15.97</v>
      </c>
      <c r="Q864" s="49">
        <v>44.74</v>
      </c>
      <c r="R864" s="49">
        <v>10.43</v>
      </c>
      <c r="S864" s="49">
        <v>6.98</v>
      </c>
    </row>
    <row r="865" spans="1:19" ht="18">
      <c r="A865" s="49">
        <v>3709</v>
      </c>
      <c r="B865" s="49" t="s">
        <v>1467</v>
      </c>
      <c r="C865" s="49">
        <v>0</v>
      </c>
      <c r="D865" s="49">
        <v>0</v>
      </c>
      <c r="E865" s="49">
        <v>0</v>
      </c>
      <c r="F865" s="49">
        <v>0</v>
      </c>
      <c r="G865" s="49">
        <v>0</v>
      </c>
      <c r="H865" s="49">
        <v>0</v>
      </c>
      <c r="I865" s="49">
        <v>0</v>
      </c>
      <c r="J865" s="49">
        <v>0</v>
      </c>
      <c r="K865" s="49">
        <v>0</v>
      </c>
      <c r="L865" s="49">
        <v>0</v>
      </c>
      <c r="M865" s="49">
        <v>0</v>
      </c>
      <c r="N865" s="49">
        <v>18.8</v>
      </c>
      <c r="O865" s="49">
        <v>13.61</v>
      </c>
      <c r="P865" s="49">
        <v>8.8000000000000007</v>
      </c>
      <c r="Q865" s="49">
        <v>9.91</v>
      </c>
      <c r="R865" s="49">
        <v>10.07</v>
      </c>
      <c r="S865" s="49">
        <v>22.3</v>
      </c>
    </row>
    <row r="866" spans="1:19" ht="18">
      <c r="A866" s="49">
        <v>3710</v>
      </c>
      <c r="B866" s="49" t="s">
        <v>1468</v>
      </c>
      <c r="C866" s="49">
        <v>0</v>
      </c>
      <c r="D866" s="49">
        <v>0</v>
      </c>
      <c r="E866" s="49">
        <v>0</v>
      </c>
      <c r="F866" s="49">
        <v>0</v>
      </c>
      <c r="G866" s="49">
        <v>0</v>
      </c>
      <c r="H866" s="49">
        <v>0</v>
      </c>
      <c r="I866" s="49">
        <v>0</v>
      </c>
      <c r="J866" s="49">
        <v>0</v>
      </c>
      <c r="K866" s="49">
        <v>0</v>
      </c>
      <c r="L866" s="49">
        <v>0</v>
      </c>
      <c r="M866" s="49">
        <v>0</v>
      </c>
      <c r="N866" s="49">
        <v>0</v>
      </c>
      <c r="O866" s="49">
        <v>0</v>
      </c>
      <c r="P866" s="49">
        <v>0</v>
      </c>
      <c r="Q866" s="49">
        <v>0</v>
      </c>
      <c r="R866" s="49">
        <v>0</v>
      </c>
      <c r="S866" s="49">
        <v>0</v>
      </c>
    </row>
    <row r="867" spans="1:19" ht="18">
      <c r="A867" s="49">
        <v>3711</v>
      </c>
      <c r="B867" s="49" t="s">
        <v>906</v>
      </c>
      <c r="C867" s="49">
        <v>0</v>
      </c>
      <c r="D867" s="49">
        <v>0</v>
      </c>
      <c r="E867" s="49">
        <v>0</v>
      </c>
      <c r="F867" s="49">
        <v>0</v>
      </c>
      <c r="G867" s="49">
        <v>0</v>
      </c>
      <c r="H867" s="49">
        <v>0</v>
      </c>
      <c r="I867" s="49">
        <v>0</v>
      </c>
      <c r="J867" s="49">
        <v>0</v>
      </c>
      <c r="K867" s="49">
        <v>0</v>
      </c>
      <c r="L867" s="49">
        <v>0</v>
      </c>
      <c r="M867" s="49">
        <v>0</v>
      </c>
      <c r="N867" s="49">
        <v>0</v>
      </c>
      <c r="O867" s="49">
        <v>22.25</v>
      </c>
      <c r="P867" s="49">
        <v>14.49</v>
      </c>
      <c r="Q867" s="49">
        <v>10.68</v>
      </c>
      <c r="R867" s="49">
        <v>5.21</v>
      </c>
      <c r="S867" s="49">
        <v>15.27</v>
      </c>
    </row>
    <row r="868" spans="1:19" ht="18">
      <c r="A868" s="49">
        <v>3712</v>
      </c>
      <c r="B868" s="49" t="s">
        <v>907</v>
      </c>
      <c r="C868" s="49">
        <v>0</v>
      </c>
      <c r="D868" s="49">
        <v>0</v>
      </c>
      <c r="E868" s="49">
        <v>0</v>
      </c>
      <c r="F868" s="49">
        <v>0</v>
      </c>
      <c r="G868" s="49">
        <v>0</v>
      </c>
      <c r="H868" s="49">
        <v>0</v>
      </c>
      <c r="I868" s="49">
        <v>0</v>
      </c>
      <c r="J868" s="49">
        <v>0</v>
      </c>
      <c r="K868" s="49">
        <v>0</v>
      </c>
      <c r="L868" s="49">
        <v>0</v>
      </c>
      <c r="M868" s="49">
        <v>0</v>
      </c>
      <c r="N868" s="49">
        <v>0</v>
      </c>
      <c r="O868" s="49">
        <v>0</v>
      </c>
      <c r="P868" s="49">
        <v>0</v>
      </c>
      <c r="Q868" s="49">
        <v>16.760000000000002</v>
      </c>
      <c r="R868" s="49">
        <v>10.65</v>
      </c>
      <c r="S868" s="49">
        <v>25.03</v>
      </c>
    </row>
    <row r="869" spans="1:19" ht="18">
      <c r="A869" s="49">
        <v>3713</v>
      </c>
      <c r="B869" s="49" t="s">
        <v>1469</v>
      </c>
      <c r="C869" s="49">
        <v>0</v>
      </c>
      <c r="D869" s="49">
        <v>0</v>
      </c>
      <c r="E869" s="49">
        <v>0</v>
      </c>
      <c r="F869" s="49">
        <v>0</v>
      </c>
      <c r="G869" s="49">
        <v>0</v>
      </c>
      <c r="H869" s="49">
        <v>0</v>
      </c>
      <c r="I869" s="49">
        <v>0</v>
      </c>
      <c r="J869" s="49">
        <v>0</v>
      </c>
      <c r="K869" s="49">
        <v>0</v>
      </c>
      <c r="L869" s="49">
        <v>0</v>
      </c>
      <c r="M869" s="49">
        <v>0</v>
      </c>
      <c r="N869" s="49">
        <v>0</v>
      </c>
      <c r="O869" s="49">
        <v>0</v>
      </c>
      <c r="P869" s="49">
        <v>0</v>
      </c>
      <c r="Q869" s="49">
        <v>66.489999999999995</v>
      </c>
      <c r="R869" s="49">
        <v>82.71</v>
      </c>
      <c r="S869" s="49">
        <v>185.71</v>
      </c>
    </row>
    <row r="870" spans="1:19" ht="18">
      <c r="A870" s="49">
        <v>3714</v>
      </c>
      <c r="B870" s="49" t="s">
        <v>908</v>
      </c>
      <c r="C870" s="49">
        <v>0</v>
      </c>
      <c r="D870" s="49">
        <v>0</v>
      </c>
      <c r="E870" s="49">
        <v>0</v>
      </c>
      <c r="F870" s="49">
        <v>0</v>
      </c>
      <c r="G870" s="49">
        <v>0</v>
      </c>
      <c r="H870" s="49">
        <v>0</v>
      </c>
      <c r="I870" s="49">
        <v>0</v>
      </c>
      <c r="J870" s="49">
        <v>0</v>
      </c>
      <c r="K870" s="49">
        <v>0</v>
      </c>
      <c r="L870" s="49">
        <v>0</v>
      </c>
      <c r="M870" s="49">
        <v>0</v>
      </c>
      <c r="N870" s="49">
        <v>0</v>
      </c>
      <c r="O870" s="49">
        <v>0</v>
      </c>
      <c r="P870" s="49">
        <v>0</v>
      </c>
      <c r="Q870" s="49">
        <v>0</v>
      </c>
      <c r="R870" s="49">
        <v>27.29</v>
      </c>
      <c r="S870" s="49">
        <v>0</v>
      </c>
    </row>
    <row r="871" spans="1:19" ht="18">
      <c r="A871" s="49">
        <v>3715</v>
      </c>
      <c r="B871" s="49" t="s">
        <v>909</v>
      </c>
      <c r="C871" s="49">
        <v>0</v>
      </c>
      <c r="D871" s="49">
        <v>0</v>
      </c>
      <c r="E871" s="49">
        <v>0</v>
      </c>
      <c r="F871" s="49">
        <v>0</v>
      </c>
      <c r="G871" s="49">
        <v>0</v>
      </c>
      <c r="H871" s="49">
        <v>0</v>
      </c>
      <c r="I871" s="49">
        <v>0</v>
      </c>
      <c r="J871" s="49">
        <v>0</v>
      </c>
      <c r="K871" s="49">
        <v>0</v>
      </c>
      <c r="L871" s="49">
        <v>0</v>
      </c>
      <c r="M871" s="49">
        <v>0</v>
      </c>
      <c r="N871" s="49">
        <v>0</v>
      </c>
      <c r="O871" s="49">
        <v>0</v>
      </c>
      <c r="P871" s="49">
        <v>0</v>
      </c>
      <c r="Q871" s="49">
        <v>0</v>
      </c>
      <c r="R871" s="49">
        <v>0</v>
      </c>
      <c r="S871" s="49">
        <v>28.64</v>
      </c>
    </row>
    <row r="872" spans="1:19" ht="18">
      <c r="A872" s="49">
        <v>4102</v>
      </c>
      <c r="B872" s="49" t="s">
        <v>1470</v>
      </c>
      <c r="C872" s="49">
        <v>56.61</v>
      </c>
      <c r="D872" s="49">
        <v>0</v>
      </c>
      <c r="E872" s="49">
        <v>23.07</v>
      </c>
      <c r="F872" s="49">
        <v>25.17</v>
      </c>
      <c r="G872" s="49">
        <v>20.95</v>
      </c>
      <c r="H872" s="49">
        <v>74.22</v>
      </c>
      <c r="I872" s="49">
        <v>0</v>
      </c>
      <c r="J872" s="49">
        <v>0</v>
      </c>
      <c r="K872" s="49">
        <v>0</v>
      </c>
      <c r="L872" s="49">
        <v>0</v>
      </c>
      <c r="M872" s="49">
        <v>0</v>
      </c>
      <c r="N872" s="49">
        <v>0</v>
      </c>
      <c r="O872" s="49">
        <v>27.33</v>
      </c>
      <c r="P872" s="49">
        <v>37.14</v>
      </c>
      <c r="Q872" s="49">
        <v>72.22</v>
      </c>
      <c r="R872" s="49">
        <v>29.79</v>
      </c>
      <c r="S872" s="49">
        <v>24.97</v>
      </c>
    </row>
    <row r="873" spans="1:19" ht="18">
      <c r="A873" s="49">
        <v>4104</v>
      </c>
      <c r="B873" s="49" t="s">
        <v>910</v>
      </c>
      <c r="C873" s="49">
        <v>0</v>
      </c>
      <c r="D873" s="49">
        <v>11.34</v>
      </c>
      <c r="E873" s="49">
        <v>23.46</v>
      </c>
      <c r="F873" s="49">
        <v>27.37</v>
      </c>
      <c r="G873" s="49">
        <v>17.97</v>
      </c>
      <c r="H873" s="49">
        <v>22.23</v>
      </c>
      <c r="I873" s="49">
        <v>21.76</v>
      </c>
      <c r="J873" s="49">
        <v>21.29</v>
      </c>
      <c r="K873" s="49">
        <v>18.059999999999999</v>
      </c>
      <c r="L873" s="49">
        <v>13.95</v>
      </c>
      <c r="M873" s="49">
        <v>14.44</v>
      </c>
      <c r="N873" s="49">
        <v>13.98</v>
      </c>
      <c r="O873" s="49">
        <v>13.51</v>
      </c>
      <c r="P873" s="49">
        <v>14.53</v>
      </c>
      <c r="Q873" s="49">
        <v>14.08</v>
      </c>
      <c r="R873" s="49">
        <v>14.7</v>
      </c>
      <c r="S873" s="49">
        <v>19.22</v>
      </c>
    </row>
    <row r="874" spans="1:19" ht="18">
      <c r="A874" s="49">
        <v>4105</v>
      </c>
      <c r="B874" s="49" t="s">
        <v>1471</v>
      </c>
      <c r="C874" s="49">
        <v>24.36</v>
      </c>
      <c r="D874" s="49">
        <v>13.02</v>
      </c>
      <c r="E874" s="49">
        <v>41.83</v>
      </c>
      <c r="F874" s="49">
        <v>49.1</v>
      </c>
      <c r="G874" s="49">
        <v>29.65</v>
      </c>
      <c r="H874" s="49">
        <v>51.38</v>
      </c>
      <c r="I874" s="49">
        <v>30.4</v>
      </c>
      <c r="J874" s="49">
        <v>88.61</v>
      </c>
      <c r="K874" s="49">
        <v>25.77</v>
      </c>
      <c r="L874" s="49">
        <v>16.59</v>
      </c>
      <c r="M874" s="49">
        <v>23.4</v>
      </c>
      <c r="N874" s="49">
        <v>11.22</v>
      </c>
      <c r="O874" s="49">
        <v>16.579999999999998</v>
      </c>
      <c r="P874" s="49">
        <v>24.59</v>
      </c>
      <c r="Q874" s="49">
        <v>22.78</v>
      </c>
      <c r="R874" s="49">
        <v>17.38</v>
      </c>
      <c r="S874" s="49">
        <v>17.11</v>
      </c>
    </row>
    <row r="875" spans="1:19" ht="18">
      <c r="A875" s="49">
        <v>4106</v>
      </c>
      <c r="B875" s="49" t="s">
        <v>911</v>
      </c>
      <c r="C875" s="49">
        <v>15.96</v>
      </c>
      <c r="D875" s="49">
        <v>7.58</v>
      </c>
      <c r="E875" s="49">
        <v>13.33</v>
      </c>
      <c r="F875" s="49">
        <v>13.93</v>
      </c>
      <c r="G875" s="49">
        <v>13.09</v>
      </c>
      <c r="H875" s="49">
        <v>12.31</v>
      </c>
      <c r="I875" s="49">
        <v>22.57</v>
      </c>
      <c r="J875" s="49">
        <v>26.36</v>
      </c>
      <c r="K875" s="49">
        <v>21.39</v>
      </c>
      <c r="L875" s="49">
        <v>18.5</v>
      </c>
      <c r="M875" s="49">
        <v>21.86</v>
      </c>
      <c r="N875" s="49">
        <v>21.88</v>
      </c>
      <c r="O875" s="49">
        <v>23.59</v>
      </c>
      <c r="P875" s="49">
        <v>26.38</v>
      </c>
      <c r="Q875" s="49">
        <v>27.22</v>
      </c>
      <c r="R875" s="49">
        <v>19.86</v>
      </c>
      <c r="S875" s="49">
        <v>20.07</v>
      </c>
    </row>
    <row r="876" spans="1:19" ht="18">
      <c r="A876" s="49">
        <v>4107</v>
      </c>
      <c r="B876" s="49" t="s">
        <v>1472</v>
      </c>
      <c r="C876" s="49">
        <v>5.67</v>
      </c>
      <c r="D876" s="49">
        <v>30</v>
      </c>
      <c r="E876" s="49">
        <v>23.38</v>
      </c>
      <c r="F876" s="49">
        <v>20.21</v>
      </c>
      <c r="G876" s="49">
        <v>14.26</v>
      </c>
      <c r="H876" s="49">
        <v>16.62</v>
      </c>
      <c r="I876" s="49">
        <v>23.79</v>
      </c>
      <c r="J876" s="49">
        <v>22.15</v>
      </c>
      <c r="K876" s="49">
        <v>26.76</v>
      </c>
      <c r="L876" s="49">
        <v>24.34</v>
      </c>
      <c r="M876" s="49">
        <v>23.03</v>
      </c>
      <c r="N876" s="49">
        <v>17.13</v>
      </c>
      <c r="O876" s="49">
        <v>19</v>
      </c>
      <c r="P876" s="49">
        <v>20.91</v>
      </c>
      <c r="Q876" s="49">
        <v>17.59</v>
      </c>
      <c r="R876" s="49">
        <v>15.13</v>
      </c>
      <c r="S876" s="49">
        <v>16.54</v>
      </c>
    </row>
    <row r="877" spans="1:19" ht="18">
      <c r="A877" s="49">
        <v>4108</v>
      </c>
      <c r="B877" s="49" t="s">
        <v>912</v>
      </c>
      <c r="C877" s="49">
        <v>0</v>
      </c>
      <c r="D877" s="49">
        <v>0</v>
      </c>
      <c r="E877" s="49">
        <v>0</v>
      </c>
      <c r="F877" s="49">
        <v>0</v>
      </c>
      <c r="G877" s="49">
        <v>0</v>
      </c>
      <c r="H877" s="49">
        <v>0</v>
      </c>
      <c r="I877" s="49">
        <v>0</v>
      </c>
      <c r="J877" s="49">
        <v>0</v>
      </c>
      <c r="K877" s="49">
        <v>0</v>
      </c>
      <c r="L877" s="49">
        <v>0</v>
      </c>
      <c r="M877" s="49">
        <v>0</v>
      </c>
      <c r="N877" s="49">
        <v>0</v>
      </c>
      <c r="O877" s="49">
        <v>0</v>
      </c>
      <c r="P877" s="49">
        <v>0</v>
      </c>
      <c r="Q877" s="49">
        <v>0</v>
      </c>
      <c r="R877" s="49">
        <v>0</v>
      </c>
      <c r="S877" s="49">
        <v>0</v>
      </c>
    </row>
    <row r="878" spans="1:19" ht="18">
      <c r="A878" s="49">
        <v>4109</v>
      </c>
      <c r="B878" s="49" t="s">
        <v>1473</v>
      </c>
      <c r="C878" s="49">
        <v>17.34</v>
      </c>
      <c r="D878" s="49">
        <v>25.71</v>
      </c>
      <c r="E878" s="49">
        <v>31.89</v>
      </c>
      <c r="F878" s="49">
        <v>124</v>
      </c>
      <c r="G878" s="49">
        <v>45.26</v>
      </c>
      <c r="H878" s="49">
        <v>79</v>
      </c>
      <c r="I878" s="49">
        <v>77.650000000000006</v>
      </c>
      <c r="J878" s="49">
        <v>53.49</v>
      </c>
      <c r="K878" s="49">
        <v>63.08</v>
      </c>
      <c r="L878" s="49">
        <v>74.63</v>
      </c>
      <c r="M878" s="49">
        <v>0</v>
      </c>
      <c r="N878" s="49">
        <v>0</v>
      </c>
      <c r="O878" s="49">
        <v>45.91</v>
      </c>
      <c r="P878" s="49">
        <v>0</v>
      </c>
      <c r="Q878" s="49">
        <v>0</v>
      </c>
      <c r="R878" s="49">
        <v>183.75</v>
      </c>
      <c r="S878" s="49">
        <v>0</v>
      </c>
    </row>
    <row r="879" spans="1:19" ht="18">
      <c r="A879" s="49">
        <v>4111</v>
      </c>
      <c r="B879" s="49" t="s">
        <v>1474</v>
      </c>
      <c r="C879" s="49">
        <v>27.5</v>
      </c>
      <c r="D879" s="49">
        <v>22.35</v>
      </c>
      <c r="E879" s="49">
        <v>26.6</v>
      </c>
      <c r="F879" s="49">
        <v>42.57</v>
      </c>
      <c r="G879" s="49">
        <v>31.12</v>
      </c>
      <c r="H879" s="49">
        <v>20.399999999999999</v>
      </c>
      <c r="I879" s="49">
        <v>21.13</v>
      </c>
      <c r="J879" s="49">
        <v>17.45</v>
      </c>
      <c r="K879" s="49">
        <v>35.630000000000003</v>
      </c>
      <c r="L879" s="49">
        <v>26.12</v>
      </c>
      <c r="M879" s="49">
        <v>15.22</v>
      </c>
      <c r="N879" s="49">
        <v>26.09</v>
      </c>
      <c r="O879" s="49">
        <v>24.6</v>
      </c>
      <c r="P879" s="49">
        <v>19.010000000000002</v>
      </c>
      <c r="Q879" s="49">
        <v>23.81</v>
      </c>
      <c r="R879" s="49">
        <v>11.58</v>
      </c>
      <c r="S879" s="49">
        <v>13.13</v>
      </c>
    </row>
    <row r="880" spans="1:19" ht="18">
      <c r="A880" s="49">
        <v>4113</v>
      </c>
      <c r="B880" s="49" t="s">
        <v>1475</v>
      </c>
      <c r="C880" s="49">
        <v>0</v>
      </c>
      <c r="D880" s="49">
        <v>0</v>
      </c>
      <c r="E880" s="49">
        <v>12.03</v>
      </c>
      <c r="F880" s="49">
        <v>28.15</v>
      </c>
      <c r="G880" s="49">
        <v>9.69</v>
      </c>
      <c r="H880" s="49">
        <v>5.85</v>
      </c>
      <c r="I880" s="49">
        <v>9.3800000000000008</v>
      </c>
      <c r="J880" s="49">
        <v>2.76</v>
      </c>
      <c r="K880" s="49">
        <v>6.64</v>
      </c>
      <c r="L880" s="49">
        <v>14.57</v>
      </c>
      <c r="M880" s="49">
        <v>39.29</v>
      </c>
      <c r="N880" s="49">
        <v>15.74</v>
      </c>
      <c r="O880" s="49">
        <v>151.82</v>
      </c>
      <c r="P880" s="49">
        <v>0</v>
      </c>
      <c r="Q880" s="49">
        <v>60.21</v>
      </c>
      <c r="R880" s="49">
        <v>0</v>
      </c>
      <c r="S880" s="49">
        <v>0</v>
      </c>
    </row>
    <row r="881" spans="1:19" ht="18">
      <c r="A881" s="49">
        <v>4114</v>
      </c>
      <c r="B881" s="49" t="s">
        <v>1476</v>
      </c>
      <c r="C881" s="49">
        <v>48.33</v>
      </c>
      <c r="D881" s="49">
        <v>217</v>
      </c>
      <c r="E881" s="49">
        <v>0</v>
      </c>
      <c r="F881" s="49">
        <v>65.38</v>
      </c>
      <c r="G881" s="49">
        <v>0</v>
      </c>
      <c r="H881" s="49">
        <v>43.44</v>
      </c>
      <c r="I881" s="49">
        <v>90</v>
      </c>
      <c r="J881" s="49">
        <v>40.74</v>
      </c>
      <c r="K881" s="49">
        <v>82.61</v>
      </c>
      <c r="L881" s="49">
        <v>28.94</v>
      </c>
      <c r="M881" s="49">
        <v>0</v>
      </c>
      <c r="N881" s="49">
        <v>12.69</v>
      </c>
      <c r="O881" s="49">
        <v>135</v>
      </c>
      <c r="P881" s="49">
        <v>12.38</v>
      </c>
      <c r="Q881" s="49">
        <v>25.65</v>
      </c>
      <c r="R881" s="49">
        <v>22.76</v>
      </c>
      <c r="S881" s="49">
        <v>26.47</v>
      </c>
    </row>
    <row r="882" spans="1:19" ht="18">
      <c r="A882" s="49">
        <v>4116</v>
      </c>
      <c r="B882" s="49" t="s">
        <v>1477</v>
      </c>
      <c r="C882" s="49">
        <v>0</v>
      </c>
      <c r="D882" s="49">
        <v>0</v>
      </c>
      <c r="E882" s="49">
        <v>0</v>
      </c>
      <c r="F882" s="49">
        <v>0</v>
      </c>
      <c r="G882" s="49">
        <v>0</v>
      </c>
      <c r="H882" s="49">
        <v>0</v>
      </c>
      <c r="I882" s="49">
        <v>0</v>
      </c>
      <c r="J882" s="49">
        <v>0</v>
      </c>
      <c r="K882" s="49">
        <v>20.38</v>
      </c>
      <c r="L882" s="49">
        <v>74.41</v>
      </c>
      <c r="M882" s="49">
        <v>36.82</v>
      </c>
      <c r="N882" s="49">
        <v>22.46</v>
      </c>
      <c r="O882" s="49">
        <v>20.67</v>
      </c>
      <c r="P882" s="49">
        <v>30.12</v>
      </c>
      <c r="Q882" s="49">
        <v>30.74</v>
      </c>
      <c r="R882" s="49">
        <v>16.84</v>
      </c>
      <c r="S882" s="49">
        <v>28.32</v>
      </c>
    </row>
    <row r="883" spans="1:19" ht="18">
      <c r="A883" s="49">
        <v>4119</v>
      </c>
      <c r="B883" s="49" t="s">
        <v>913</v>
      </c>
      <c r="C883" s="49">
        <v>20.059999999999999</v>
      </c>
      <c r="D883" s="49">
        <v>11.53</v>
      </c>
      <c r="E883" s="49">
        <v>18.77</v>
      </c>
      <c r="F883" s="49">
        <v>18.2</v>
      </c>
      <c r="G883" s="49">
        <v>14.81</v>
      </c>
      <c r="H883" s="49">
        <v>33.03</v>
      </c>
      <c r="I883" s="49">
        <v>22.35</v>
      </c>
      <c r="J883" s="49">
        <v>17.010000000000002</v>
      </c>
      <c r="K883" s="49">
        <v>19.18</v>
      </c>
      <c r="L883" s="49">
        <v>13.67</v>
      </c>
      <c r="M883" s="49">
        <v>27.51</v>
      </c>
      <c r="N883" s="49">
        <v>14.2</v>
      </c>
      <c r="O883" s="49">
        <v>14.63</v>
      </c>
      <c r="P883" s="49">
        <v>9.17</v>
      </c>
      <c r="Q883" s="49">
        <v>0</v>
      </c>
      <c r="R883" s="49">
        <v>44.12</v>
      </c>
      <c r="S883" s="49">
        <v>27.58</v>
      </c>
    </row>
    <row r="884" spans="1:19" ht="18">
      <c r="A884" s="49">
        <v>4120</v>
      </c>
      <c r="B884" s="49" t="s">
        <v>1478</v>
      </c>
      <c r="C884" s="49">
        <v>11.56</v>
      </c>
      <c r="D884" s="49">
        <v>12.75</v>
      </c>
      <c r="E884" s="49">
        <v>16.059999999999999</v>
      </c>
      <c r="F884" s="49">
        <v>14.54</v>
      </c>
      <c r="G884" s="49">
        <v>10.67</v>
      </c>
      <c r="H884" s="49">
        <v>22.81</v>
      </c>
      <c r="I884" s="49">
        <v>12.82</v>
      </c>
      <c r="J884" s="49">
        <v>49.3</v>
      </c>
      <c r="K884" s="49">
        <v>24.02</v>
      </c>
      <c r="L884" s="49">
        <v>14.87</v>
      </c>
      <c r="M884" s="49">
        <v>11.72</v>
      </c>
      <c r="N884" s="49">
        <v>18.739999999999998</v>
      </c>
      <c r="O884" s="49">
        <v>20.67</v>
      </c>
      <c r="P884" s="49">
        <v>15.67</v>
      </c>
      <c r="Q884" s="49">
        <v>0</v>
      </c>
      <c r="R884" s="49">
        <v>0</v>
      </c>
      <c r="S884" s="49">
        <v>0</v>
      </c>
    </row>
    <row r="885" spans="1:19" ht="18">
      <c r="A885" s="49">
        <v>4121</v>
      </c>
      <c r="B885" s="49" t="s">
        <v>1479</v>
      </c>
      <c r="C885" s="49">
        <v>9.75</v>
      </c>
      <c r="D885" s="49">
        <v>25.16</v>
      </c>
      <c r="E885" s="49">
        <v>0</v>
      </c>
      <c r="F885" s="49">
        <v>13.45</v>
      </c>
      <c r="G885" s="49">
        <v>14.81</v>
      </c>
      <c r="H885" s="49">
        <v>37.049999999999997</v>
      </c>
      <c r="I885" s="49">
        <v>64.14</v>
      </c>
      <c r="J885" s="49">
        <v>0</v>
      </c>
      <c r="K885" s="49">
        <v>0</v>
      </c>
      <c r="L885" s="49">
        <v>0</v>
      </c>
      <c r="M885" s="49">
        <v>13.82</v>
      </c>
      <c r="N885" s="49">
        <v>28.11</v>
      </c>
      <c r="O885" s="49">
        <v>74.38</v>
      </c>
      <c r="P885" s="49">
        <v>13.58</v>
      </c>
      <c r="Q885" s="49">
        <v>12.63</v>
      </c>
      <c r="R885" s="49">
        <v>13.74</v>
      </c>
      <c r="S885" s="49">
        <v>60.98</v>
      </c>
    </row>
    <row r="886" spans="1:19" ht="18">
      <c r="A886" s="49">
        <v>4123</v>
      </c>
      <c r="B886" s="49" t="s">
        <v>1480</v>
      </c>
      <c r="C886" s="49">
        <v>9.14</v>
      </c>
      <c r="D886" s="49">
        <v>119.32</v>
      </c>
      <c r="E886" s="49">
        <v>18.579999999999998</v>
      </c>
      <c r="F886" s="49">
        <v>161.91999999999999</v>
      </c>
      <c r="G886" s="49">
        <v>88.53</v>
      </c>
      <c r="H886" s="49">
        <v>0</v>
      </c>
      <c r="I886" s="49">
        <v>66.67</v>
      </c>
      <c r="J886" s="49">
        <v>518.17999999999995</v>
      </c>
      <c r="K886" s="49">
        <v>128.1</v>
      </c>
      <c r="L886" s="49">
        <v>25.56</v>
      </c>
      <c r="M886" s="49">
        <v>0</v>
      </c>
      <c r="N886" s="49">
        <v>9.9</v>
      </c>
      <c r="O886" s="49">
        <v>6.54</v>
      </c>
      <c r="P886" s="49">
        <v>14</v>
      </c>
      <c r="Q886" s="49">
        <v>7.84</v>
      </c>
      <c r="R886" s="49">
        <v>0</v>
      </c>
      <c r="S886" s="49">
        <v>0</v>
      </c>
    </row>
    <row r="887" spans="1:19" ht="18">
      <c r="A887" s="49">
        <v>4126</v>
      </c>
      <c r="B887" s="49" t="s">
        <v>1481</v>
      </c>
      <c r="C887" s="49">
        <v>13.27</v>
      </c>
      <c r="D887" s="49">
        <v>10.92</v>
      </c>
      <c r="E887" s="49">
        <v>0</v>
      </c>
      <c r="F887" s="49">
        <v>18.07</v>
      </c>
      <c r="G887" s="49">
        <v>13.62</v>
      </c>
      <c r="H887" s="49">
        <v>18.399999999999999</v>
      </c>
      <c r="I887" s="49">
        <v>19.760000000000002</v>
      </c>
      <c r="J887" s="49">
        <v>15.95</v>
      </c>
      <c r="K887" s="49">
        <v>14.59</v>
      </c>
      <c r="L887" s="49">
        <v>14.37</v>
      </c>
      <c r="M887" s="49">
        <v>21.37</v>
      </c>
      <c r="N887" s="49">
        <v>24.3</v>
      </c>
      <c r="O887" s="49">
        <v>16.079999999999998</v>
      </c>
      <c r="P887" s="49">
        <v>10.75</v>
      </c>
      <c r="Q887" s="49">
        <v>12.79</v>
      </c>
      <c r="R887" s="49">
        <v>20.46</v>
      </c>
      <c r="S887" s="49">
        <v>13.89</v>
      </c>
    </row>
    <row r="888" spans="1:19" ht="18">
      <c r="A888" s="49">
        <v>4127</v>
      </c>
      <c r="B888" s="49" t="s">
        <v>1482</v>
      </c>
      <c r="C888" s="49">
        <v>55.67</v>
      </c>
      <c r="D888" s="49">
        <v>23.78</v>
      </c>
      <c r="E888" s="49">
        <v>42.61</v>
      </c>
      <c r="F888" s="49">
        <v>57.3</v>
      </c>
      <c r="G888" s="49">
        <v>0</v>
      </c>
      <c r="H888" s="49">
        <v>18.45</v>
      </c>
      <c r="I888" s="49">
        <v>21.32</v>
      </c>
      <c r="J888" s="49">
        <v>20.440000000000001</v>
      </c>
      <c r="K888" s="49">
        <v>15.86</v>
      </c>
      <c r="L888" s="49">
        <v>0</v>
      </c>
      <c r="M888" s="49">
        <v>0</v>
      </c>
      <c r="N888" s="49">
        <v>0</v>
      </c>
      <c r="O888" s="49">
        <v>0</v>
      </c>
      <c r="P888" s="49">
        <v>0</v>
      </c>
      <c r="Q888" s="49">
        <v>92.5</v>
      </c>
      <c r="R888" s="49">
        <v>10.1</v>
      </c>
      <c r="S888" s="49">
        <v>25.44</v>
      </c>
    </row>
    <row r="889" spans="1:19" ht="18">
      <c r="A889" s="49">
        <v>4128</v>
      </c>
      <c r="B889" s="49" t="s">
        <v>1483</v>
      </c>
      <c r="C889" s="49">
        <v>0</v>
      </c>
      <c r="D889" s="49">
        <v>0</v>
      </c>
      <c r="E889" s="49">
        <v>0</v>
      </c>
      <c r="F889" s="49">
        <v>100.43</v>
      </c>
      <c r="G889" s="49">
        <v>15.46</v>
      </c>
      <c r="H889" s="49">
        <v>0</v>
      </c>
      <c r="I889" s="49">
        <v>0</v>
      </c>
      <c r="J889" s="49">
        <v>0</v>
      </c>
      <c r="K889" s="49">
        <v>0</v>
      </c>
      <c r="L889" s="49">
        <v>0</v>
      </c>
      <c r="M889" s="49">
        <v>12.13</v>
      </c>
      <c r="N889" s="49">
        <v>0</v>
      </c>
      <c r="O889" s="49">
        <v>0</v>
      </c>
      <c r="P889" s="49">
        <v>12.34</v>
      </c>
      <c r="Q889" s="49">
        <v>0</v>
      </c>
      <c r="R889" s="49">
        <v>30.34</v>
      </c>
      <c r="S889" s="49">
        <v>0</v>
      </c>
    </row>
    <row r="890" spans="1:19" ht="18">
      <c r="A890" s="49">
        <v>4129</v>
      </c>
      <c r="B890" s="49" t="s">
        <v>1484</v>
      </c>
      <c r="C890" s="49">
        <v>340</v>
      </c>
      <c r="D890" s="49">
        <v>0</v>
      </c>
      <c r="E890" s="49">
        <v>83.83</v>
      </c>
      <c r="F890" s="49">
        <v>67.84</v>
      </c>
      <c r="G890" s="49">
        <v>26.95</v>
      </c>
      <c r="H890" s="49">
        <v>51.08</v>
      </c>
      <c r="I890" s="49">
        <v>75</v>
      </c>
      <c r="J890" s="49">
        <v>47.47</v>
      </c>
      <c r="K890" s="49">
        <v>28.7</v>
      </c>
      <c r="L890" s="49">
        <v>31.41</v>
      </c>
      <c r="M890" s="49">
        <v>33.090000000000003</v>
      </c>
      <c r="N890" s="49">
        <v>35.92</v>
      </c>
      <c r="O890" s="49">
        <v>27.41</v>
      </c>
      <c r="P890" s="49">
        <v>50</v>
      </c>
      <c r="Q890" s="49">
        <v>33.51</v>
      </c>
      <c r="R890" s="49">
        <v>21.63</v>
      </c>
      <c r="S890" s="49">
        <v>21.49</v>
      </c>
    </row>
    <row r="891" spans="1:19" ht="18">
      <c r="A891" s="49">
        <v>4130</v>
      </c>
      <c r="B891" s="49" t="s">
        <v>1485</v>
      </c>
      <c r="C891" s="49">
        <v>0</v>
      </c>
      <c r="D891" s="49">
        <v>0</v>
      </c>
      <c r="E891" s="49">
        <v>0</v>
      </c>
      <c r="F891" s="49">
        <v>0</v>
      </c>
      <c r="G891" s="49">
        <v>0</v>
      </c>
      <c r="H891" s="49">
        <v>60.63</v>
      </c>
      <c r="I891" s="49">
        <v>86</v>
      </c>
      <c r="J891" s="49">
        <v>90.13</v>
      </c>
      <c r="K891" s="49">
        <v>153.41</v>
      </c>
      <c r="L891" s="49">
        <v>100.5</v>
      </c>
      <c r="M891" s="49">
        <v>30.68</v>
      </c>
      <c r="N891" s="49">
        <v>29.53</v>
      </c>
      <c r="O891" s="49">
        <v>67.7</v>
      </c>
      <c r="P891" s="49">
        <v>76.41</v>
      </c>
      <c r="Q891" s="49">
        <v>0</v>
      </c>
      <c r="R891" s="49">
        <v>1083.33</v>
      </c>
      <c r="S891" s="49">
        <v>95</v>
      </c>
    </row>
    <row r="892" spans="1:19" ht="18">
      <c r="A892" s="49">
        <v>4131</v>
      </c>
      <c r="B892" s="49" t="s">
        <v>1486</v>
      </c>
      <c r="C892" s="49">
        <v>0</v>
      </c>
      <c r="D892" s="49">
        <v>291.25</v>
      </c>
      <c r="E892" s="49">
        <v>0</v>
      </c>
      <c r="F892" s="49">
        <v>0</v>
      </c>
      <c r="G892" s="49">
        <v>0</v>
      </c>
      <c r="H892" s="49">
        <v>0</v>
      </c>
      <c r="I892" s="49">
        <v>0</v>
      </c>
      <c r="J892" s="49">
        <v>0</v>
      </c>
      <c r="K892" s="49">
        <v>0</v>
      </c>
      <c r="L892" s="49">
        <v>0</v>
      </c>
      <c r="M892" s="49">
        <v>0</v>
      </c>
      <c r="N892" s="49">
        <v>0</v>
      </c>
      <c r="O892" s="49">
        <v>0</v>
      </c>
      <c r="P892" s="49">
        <v>0</v>
      </c>
      <c r="Q892" s="49">
        <v>0</v>
      </c>
      <c r="R892" s="49">
        <v>0</v>
      </c>
      <c r="S892" s="49">
        <v>0</v>
      </c>
    </row>
    <row r="893" spans="1:19" ht="18">
      <c r="A893" s="49">
        <v>4133</v>
      </c>
      <c r="B893" s="49" t="s">
        <v>914</v>
      </c>
      <c r="C893" s="49">
        <v>0</v>
      </c>
      <c r="D893" s="49">
        <v>0</v>
      </c>
      <c r="E893" s="49">
        <v>85.34</v>
      </c>
      <c r="F893" s="49">
        <v>35.79</v>
      </c>
      <c r="G893" s="49">
        <v>23.92</v>
      </c>
      <c r="H893" s="49">
        <v>35.33</v>
      </c>
      <c r="I893" s="49">
        <v>34.19</v>
      </c>
      <c r="J893" s="49">
        <v>36.96</v>
      </c>
      <c r="K893" s="49">
        <v>33.15</v>
      </c>
      <c r="L893" s="49">
        <v>46.52</v>
      </c>
      <c r="M893" s="49">
        <v>37.79</v>
      </c>
      <c r="N893" s="49">
        <v>41.1</v>
      </c>
      <c r="O893" s="49">
        <v>94.07</v>
      </c>
      <c r="P893" s="49">
        <v>121.25</v>
      </c>
      <c r="Q893" s="49">
        <v>67</v>
      </c>
      <c r="R893" s="49">
        <v>40.39</v>
      </c>
      <c r="S893" s="49">
        <v>47.43</v>
      </c>
    </row>
    <row r="894" spans="1:19" ht="18">
      <c r="A894" s="49">
        <v>4137</v>
      </c>
      <c r="B894" s="49" t="s">
        <v>915</v>
      </c>
      <c r="C894" s="49">
        <v>0</v>
      </c>
      <c r="D894" s="49">
        <v>0</v>
      </c>
      <c r="E894" s="49">
        <v>0</v>
      </c>
      <c r="F894" s="49">
        <v>0</v>
      </c>
      <c r="G894" s="49">
        <v>0</v>
      </c>
      <c r="H894" s="49">
        <v>0</v>
      </c>
      <c r="I894" s="49">
        <v>34.39</v>
      </c>
      <c r="J894" s="49">
        <v>17.07</v>
      </c>
      <c r="K894" s="49">
        <v>28.44</v>
      </c>
      <c r="L894" s="49">
        <v>11.54</v>
      </c>
      <c r="M894" s="49">
        <v>22.53</v>
      </c>
      <c r="N894" s="49">
        <v>18.920000000000002</v>
      </c>
      <c r="O894" s="49">
        <v>13.77</v>
      </c>
      <c r="P894" s="49">
        <v>15.47</v>
      </c>
      <c r="Q894" s="49">
        <v>13.48</v>
      </c>
      <c r="R894" s="49">
        <v>19.12</v>
      </c>
      <c r="S894" s="49">
        <v>16.579999999999998</v>
      </c>
    </row>
    <row r="895" spans="1:19" ht="18">
      <c r="A895" s="49">
        <v>4138</v>
      </c>
      <c r="B895" s="49" t="s">
        <v>1487</v>
      </c>
      <c r="C895" s="49">
        <v>0</v>
      </c>
      <c r="D895" s="49">
        <v>0</v>
      </c>
      <c r="E895" s="49">
        <v>0</v>
      </c>
      <c r="F895" s="49">
        <v>23.56</v>
      </c>
      <c r="G895" s="49">
        <v>15.86</v>
      </c>
      <c r="H895" s="49">
        <v>15.32</v>
      </c>
      <c r="I895" s="49">
        <v>138.72999999999999</v>
      </c>
      <c r="J895" s="49">
        <v>20.14</v>
      </c>
      <c r="K895" s="49">
        <v>15.15</v>
      </c>
      <c r="L895" s="49">
        <v>13.54</v>
      </c>
      <c r="M895" s="49">
        <v>13.67</v>
      </c>
      <c r="N895" s="49">
        <v>11.95</v>
      </c>
      <c r="O895" s="49">
        <v>15.34</v>
      </c>
      <c r="P895" s="49">
        <v>12.28</v>
      </c>
      <c r="Q895" s="49">
        <v>14.14</v>
      </c>
      <c r="R895" s="49">
        <v>13.69</v>
      </c>
      <c r="S895" s="49">
        <v>18.68</v>
      </c>
    </row>
    <row r="896" spans="1:19" ht="18">
      <c r="A896" s="49">
        <v>4139</v>
      </c>
      <c r="B896" s="49" t="s">
        <v>1488</v>
      </c>
      <c r="C896" s="49">
        <v>0</v>
      </c>
      <c r="D896" s="49">
        <v>0</v>
      </c>
      <c r="E896" s="49">
        <v>0</v>
      </c>
      <c r="F896" s="49">
        <v>0</v>
      </c>
      <c r="G896" s="49">
        <v>39.590000000000003</v>
      </c>
      <c r="H896" s="49">
        <v>94.55</v>
      </c>
      <c r="I896" s="49">
        <v>310.42</v>
      </c>
      <c r="J896" s="49">
        <v>129.31</v>
      </c>
      <c r="K896" s="49">
        <v>0</v>
      </c>
      <c r="L896" s="49">
        <v>0</v>
      </c>
      <c r="M896" s="49">
        <v>5740</v>
      </c>
      <c r="N896" s="49">
        <v>61.17</v>
      </c>
      <c r="O896" s="49">
        <v>0</v>
      </c>
      <c r="P896" s="49">
        <v>19.309999999999999</v>
      </c>
      <c r="Q896" s="49">
        <v>34.17</v>
      </c>
      <c r="R896" s="49">
        <v>94</v>
      </c>
      <c r="S896" s="49">
        <v>0</v>
      </c>
    </row>
    <row r="897" spans="1:19" ht="18">
      <c r="A897" s="49">
        <v>4142</v>
      </c>
      <c r="B897" s="49" t="s">
        <v>916</v>
      </c>
      <c r="C897" s="49">
        <v>0</v>
      </c>
      <c r="D897" s="49">
        <v>0</v>
      </c>
      <c r="E897" s="49">
        <v>0</v>
      </c>
      <c r="F897" s="49">
        <v>0</v>
      </c>
      <c r="G897" s="49">
        <v>0</v>
      </c>
      <c r="H897" s="49">
        <v>0</v>
      </c>
      <c r="I897" s="49">
        <v>0</v>
      </c>
      <c r="J897" s="49">
        <v>0</v>
      </c>
      <c r="K897" s="49">
        <v>0</v>
      </c>
      <c r="L897" s="49">
        <v>0</v>
      </c>
      <c r="M897" s="49">
        <v>0</v>
      </c>
      <c r="N897" s="49">
        <v>0</v>
      </c>
      <c r="O897" s="49">
        <v>0</v>
      </c>
      <c r="P897" s="49">
        <v>0</v>
      </c>
      <c r="Q897" s="49">
        <v>19.41</v>
      </c>
      <c r="R897" s="49">
        <v>28.94</v>
      </c>
      <c r="S897" s="49">
        <v>0</v>
      </c>
    </row>
    <row r="898" spans="1:19" ht="18">
      <c r="A898" s="49">
        <v>4147</v>
      </c>
      <c r="B898" s="49" t="s">
        <v>1489</v>
      </c>
      <c r="C898" s="49">
        <v>0</v>
      </c>
      <c r="D898" s="49">
        <v>0</v>
      </c>
      <c r="E898" s="49">
        <v>0</v>
      </c>
      <c r="F898" s="49">
        <v>0</v>
      </c>
      <c r="G898" s="49">
        <v>0</v>
      </c>
      <c r="H898" s="49">
        <v>0</v>
      </c>
      <c r="I898" s="49">
        <v>0</v>
      </c>
      <c r="J898" s="49">
        <v>0</v>
      </c>
      <c r="K898" s="49">
        <v>0</v>
      </c>
      <c r="L898" s="49">
        <v>0</v>
      </c>
      <c r="M898" s="49">
        <v>0</v>
      </c>
      <c r="N898" s="49">
        <v>0</v>
      </c>
      <c r="O898" s="49">
        <v>0</v>
      </c>
      <c r="P898" s="49">
        <v>0</v>
      </c>
      <c r="Q898" s="49">
        <v>0</v>
      </c>
      <c r="R898" s="49">
        <v>0</v>
      </c>
      <c r="S898" s="49">
        <v>0</v>
      </c>
    </row>
    <row r="899" spans="1:19" ht="18">
      <c r="A899" s="49">
        <v>4148</v>
      </c>
      <c r="B899" s="49" t="s">
        <v>917</v>
      </c>
      <c r="C899" s="49">
        <v>0</v>
      </c>
      <c r="D899" s="49">
        <v>0</v>
      </c>
      <c r="E899" s="49">
        <v>0</v>
      </c>
      <c r="F899" s="49">
        <v>0</v>
      </c>
      <c r="G899" s="49">
        <v>0</v>
      </c>
      <c r="H899" s="49">
        <v>0</v>
      </c>
      <c r="I899" s="49">
        <v>0</v>
      </c>
      <c r="J899" s="49">
        <v>0</v>
      </c>
      <c r="K899" s="49">
        <v>0</v>
      </c>
      <c r="L899" s="49">
        <v>0</v>
      </c>
      <c r="M899" s="49">
        <v>26.6</v>
      </c>
      <c r="N899" s="49">
        <v>10.130000000000001</v>
      </c>
      <c r="O899" s="49">
        <v>42.24</v>
      </c>
      <c r="P899" s="49">
        <v>51.87</v>
      </c>
      <c r="Q899" s="49">
        <v>16.71</v>
      </c>
      <c r="R899" s="49">
        <v>8.56</v>
      </c>
      <c r="S899" s="49">
        <v>16.23</v>
      </c>
    </row>
    <row r="900" spans="1:19" ht="18">
      <c r="A900" s="49">
        <v>4153</v>
      </c>
      <c r="B900" s="49" t="s">
        <v>1490</v>
      </c>
      <c r="C900" s="49">
        <v>0</v>
      </c>
      <c r="D900" s="49">
        <v>0</v>
      </c>
      <c r="E900" s="49">
        <v>0</v>
      </c>
      <c r="F900" s="49">
        <v>0</v>
      </c>
      <c r="G900" s="49">
        <v>0</v>
      </c>
      <c r="H900" s="49">
        <v>0</v>
      </c>
      <c r="I900" s="49">
        <v>19.46</v>
      </c>
      <c r="J900" s="49">
        <v>23.42</v>
      </c>
      <c r="K900" s="49">
        <v>17.09</v>
      </c>
      <c r="L900" s="49">
        <v>51.45</v>
      </c>
      <c r="M900" s="49">
        <v>0</v>
      </c>
      <c r="N900" s="49">
        <v>0</v>
      </c>
      <c r="O900" s="49">
        <v>35.6</v>
      </c>
      <c r="P900" s="49">
        <v>72.94</v>
      </c>
      <c r="Q900" s="49">
        <v>99.26</v>
      </c>
      <c r="R900" s="49">
        <v>90.11</v>
      </c>
      <c r="S900" s="49">
        <v>30.67</v>
      </c>
    </row>
    <row r="901" spans="1:19" ht="18">
      <c r="A901" s="49">
        <v>4154</v>
      </c>
      <c r="B901" s="49" t="s">
        <v>1491</v>
      </c>
      <c r="C901" s="49">
        <v>0</v>
      </c>
      <c r="D901" s="49">
        <v>0</v>
      </c>
      <c r="E901" s="49">
        <v>0</v>
      </c>
      <c r="F901" s="49">
        <v>0</v>
      </c>
      <c r="G901" s="49">
        <v>13.24</v>
      </c>
      <c r="H901" s="49">
        <v>13.09</v>
      </c>
      <c r="I901" s="49">
        <v>12.45</v>
      </c>
      <c r="J901" s="49">
        <v>0</v>
      </c>
      <c r="K901" s="49">
        <v>36.67</v>
      </c>
      <c r="L901" s="49">
        <v>26.25</v>
      </c>
      <c r="M901" s="49">
        <v>0</v>
      </c>
      <c r="N901" s="49">
        <v>0</v>
      </c>
      <c r="O901" s="49">
        <v>0</v>
      </c>
      <c r="P901" s="49">
        <v>0</v>
      </c>
      <c r="Q901" s="49">
        <v>0</v>
      </c>
      <c r="R901" s="49">
        <v>0</v>
      </c>
      <c r="S901" s="49">
        <v>0</v>
      </c>
    </row>
    <row r="902" spans="1:19" ht="18">
      <c r="A902" s="49">
        <v>4155</v>
      </c>
      <c r="B902" s="49" t="s">
        <v>918</v>
      </c>
      <c r="C902" s="49">
        <v>0</v>
      </c>
      <c r="D902" s="49">
        <v>0</v>
      </c>
      <c r="E902" s="49">
        <v>0</v>
      </c>
      <c r="F902" s="49">
        <v>0</v>
      </c>
      <c r="G902" s="49">
        <v>0</v>
      </c>
      <c r="H902" s="49">
        <v>0</v>
      </c>
      <c r="I902" s="49">
        <v>0</v>
      </c>
      <c r="J902" s="49">
        <v>0</v>
      </c>
      <c r="K902" s="49">
        <v>0</v>
      </c>
      <c r="L902" s="49">
        <v>0</v>
      </c>
      <c r="M902" s="49">
        <v>25.24</v>
      </c>
      <c r="N902" s="49">
        <v>12.61</v>
      </c>
      <c r="O902" s="49">
        <v>18.579999999999998</v>
      </c>
      <c r="P902" s="49">
        <v>19.82</v>
      </c>
      <c r="Q902" s="49">
        <v>27.47</v>
      </c>
      <c r="R902" s="49">
        <v>17.89</v>
      </c>
      <c r="S902" s="49">
        <v>125.5</v>
      </c>
    </row>
    <row r="903" spans="1:19" ht="18">
      <c r="A903" s="49">
        <v>4157</v>
      </c>
      <c r="B903" s="49" t="s">
        <v>1492</v>
      </c>
      <c r="C903" s="49">
        <v>0</v>
      </c>
      <c r="D903" s="49">
        <v>0</v>
      </c>
      <c r="E903" s="49">
        <v>0</v>
      </c>
      <c r="F903" s="49">
        <v>0</v>
      </c>
      <c r="G903" s="49">
        <v>0</v>
      </c>
      <c r="H903" s="49">
        <v>0</v>
      </c>
      <c r="I903" s="49">
        <v>0</v>
      </c>
      <c r="J903" s="49">
        <v>0</v>
      </c>
      <c r="K903" s="49">
        <v>0</v>
      </c>
      <c r="L903" s="49">
        <v>0</v>
      </c>
      <c r="M903" s="49">
        <v>18.87</v>
      </c>
      <c r="N903" s="49">
        <v>0</v>
      </c>
      <c r="O903" s="49">
        <v>0</v>
      </c>
      <c r="P903" s="49">
        <v>0</v>
      </c>
      <c r="Q903" s="49">
        <v>14.13</v>
      </c>
      <c r="R903" s="49">
        <v>0</v>
      </c>
      <c r="S903" s="49">
        <v>0</v>
      </c>
    </row>
    <row r="904" spans="1:19" ht="18">
      <c r="A904" s="49">
        <v>4160</v>
      </c>
      <c r="B904" s="49" t="s">
        <v>1493</v>
      </c>
      <c r="C904" s="49">
        <v>0</v>
      </c>
      <c r="D904" s="49">
        <v>0</v>
      </c>
      <c r="E904" s="49">
        <v>0</v>
      </c>
      <c r="F904" s="49">
        <v>0</v>
      </c>
      <c r="G904" s="49">
        <v>0</v>
      </c>
      <c r="H904" s="49">
        <v>84.55</v>
      </c>
      <c r="I904" s="49">
        <v>0</v>
      </c>
      <c r="J904" s="49">
        <v>0</v>
      </c>
      <c r="K904" s="49">
        <v>0</v>
      </c>
      <c r="L904" s="49">
        <v>0</v>
      </c>
      <c r="M904" s="49">
        <v>168.82</v>
      </c>
      <c r="N904" s="49">
        <v>47.59</v>
      </c>
      <c r="O904" s="49">
        <v>34.450000000000003</v>
      </c>
      <c r="P904" s="49">
        <v>0</v>
      </c>
      <c r="Q904" s="49">
        <v>2480</v>
      </c>
      <c r="R904" s="49">
        <v>37.03</v>
      </c>
      <c r="S904" s="49">
        <v>35.36</v>
      </c>
    </row>
    <row r="905" spans="1:19" ht="18">
      <c r="A905" s="49">
        <v>4161</v>
      </c>
      <c r="B905" s="49" t="s">
        <v>1494</v>
      </c>
      <c r="C905" s="49">
        <v>0</v>
      </c>
      <c r="D905" s="49">
        <v>0</v>
      </c>
      <c r="E905" s="49">
        <v>0</v>
      </c>
      <c r="F905" s="49">
        <v>0</v>
      </c>
      <c r="G905" s="49">
        <v>0</v>
      </c>
      <c r="H905" s="49">
        <v>0</v>
      </c>
      <c r="I905" s="49">
        <v>42.48</v>
      </c>
      <c r="J905" s="49">
        <v>84.4</v>
      </c>
      <c r="K905" s="49">
        <v>118.75</v>
      </c>
      <c r="L905" s="49">
        <v>268.18</v>
      </c>
      <c r="M905" s="49">
        <v>0</v>
      </c>
      <c r="N905" s="49">
        <v>75.12</v>
      </c>
      <c r="O905" s="49">
        <v>213.75</v>
      </c>
      <c r="P905" s="49">
        <v>0</v>
      </c>
      <c r="Q905" s="49">
        <v>1395</v>
      </c>
      <c r="R905" s="49">
        <v>39.17</v>
      </c>
      <c r="S905" s="49">
        <v>25.52</v>
      </c>
    </row>
    <row r="906" spans="1:19" ht="18">
      <c r="A906" s="49">
        <v>4162</v>
      </c>
      <c r="B906" s="49" t="s">
        <v>1495</v>
      </c>
      <c r="C906" s="49">
        <v>0</v>
      </c>
      <c r="D906" s="49">
        <v>0</v>
      </c>
      <c r="E906" s="49">
        <v>0</v>
      </c>
      <c r="F906" s="49">
        <v>0</v>
      </c>
      <c r="G906" s="49">
        <v>0</v>
      </c>
      <c r="H906" s="49">
        <v>176</v>
      </c>
      <c r="I906" s="49">
        <v>0</v>
      </c>
      <c r="J906" s="49">
        <v>216.04</v>
      </c>
      <c r="K906" s="49">
        <v>62.31</v>
      </c>
      <c r="L906" s="49">
        <v>533.82000000000005</v>
      </c>
      <c r="M906" s="49">
        <v>49.67</v>
      </c>
      <c r="N906" s="49">
        <v>25.68</v>
      </c>
      <c r="O906" s="49">
        <v>88.96</v>
      </c>
      <c r="P906" s="49">
        <v>193</v>
      </c>
      <c r="Q906" s="49">
        <v>12.71</v>
      </c>
      <c r="R906" s="49">
        <v>48.26</v>
      </c>
      <c r="S906" s="49">
        <v>52.75</v>
      </c>
    </row>
    <row r="907" spans="1:19" ht="18">
      <c r="A907" s="49">
        <v>4163</v>
      </c>
      <c r="B907" s="49" t="s">
        <v>1496</v>
      </c>
      <c r="C907" s="49">
        <v>0</v>
      </c>
      <c r="D907" s="49">
        <v>0</v>
      </c>
      <c r="E907" s="49">
        <v>0</v>
      </c>
      <c r="F907" s="49">
        <v>0</v>
      </c>
      <c r="G907" s="49">
        <v>0</v>
      </c>
      <c r="H907" s="49">
        <v>20.8</v>
      </c>
      <c r="I907" s="49">
        <v>25.24</v>
      </c>
      <c r="J907" s="49">
        <v>22.94</v>
      </c>
      <c r="K907" s="49">
        <v>18.07</v>
      </c>
      <c r="L907" s="49">
        <v>17.329999999999998</v>
      </c>
      <c r="M907" s="49">
        <v>21.89</v>
      </c>
      <c r="N907" s="49">
        <v>13.89</v>
      </c>
      <c r="O907" s="49">
        <v>13.58</v>
      </c>
      <c r="P907" s="49">
        <v>18.59</v>
      </c>
      <c r="Q907" s="49">
        <v>21.85</v>
      </c>
      <c r="R907" s="49">
        <v>11.64</v>
      </c>
      <c r="S907" s="49">
        <v>16.52</v>
      </c>
    </row>
    <row r="908" spans="1:19" ht="18">
      <c r="A908" s="49">
        <v>4164</v>
      </c>
      <c r="B908" s="49" t="s">
        <v>919</v>
      </c>
      <c r="C908" s="49">
        <v>0</v>
      </c>
      <c r="D908" s="49">
        <v>0</v>
      </c>
      <c r="E908" s="49">
        <v>0</v>
      </c>
      <c r="F908" s="49">
        <v>0</v>
      </c>
      <c r="G908" s="49">
        <v>0</v>
      </c>
      <c r="H908" s="49">
        <v>24.59</v>
      </c>
      <c r="I908" s="49">
        <v>26.81</v>
      </c>
      <c r="J908" s="49">
        <v>35.75</v>
      </c>
      <c r="K908" s="49">
        <v>32.869999999999997</v>
      </c>
      <c r="L908" s="49">
        <v>46.11</v>
      </c>
      <c r="M908" s="49">
        <v>20.79</v>
      </c>
      <c r="N908" s="49">
        <v>114.26</v>
      </c>
      <c r="O908" s="49">
        <v>14.07</v>
      </c>
      <c r="P908" s="49">
        <v>15.04</v>
      </c>
      <c r="Q908" s="49">
        <v>20.239999999999998</v>
      </c>
      <c r="R908" s="49">
        <v>17.21</v>
      </c>
      <c r="S908" s="49">
        <v>33.57</v>
      </c>
    </row>
    <row r="909" spans="1:19" ht="18">
      <c r="A909" s="49">
        <v>4167</v>
      </c>
      <c r="B909" s="49" t="s">
        <v>1497</v>
      </c>
      <c r="C909" s="49">
        <v>0</v>
      </c>
      <c r="D909" s="49">
        <v>0</v>
      </c>
      <c r="E909" s="49">
        <v>0</v>
      </c>
      <c r="F909" s="49">
        <v>0</v>
      </c>
      <c r="G909" s="49">
        <v>0</v>
      </c>
      <c r="H909" s="49">
        <v>0</v>
      </c>
      <c r="I909" s="49">
        <v>0</v>
      </c>
      <c r="J909" s="49">
        <v>0</v>
      </c>
      <c r="K909" s="49">
        <v>0</v>
      </c>
      <c r="L909" s="49">
        <v>0</v>
      </c>
      <c r="M909" s="49">
        <v>71.790000000000006</v>
      </c>
      <c r="N909" s="49">
        <v>0</v>
      </c>
      <c r="O909" s="49">
        <v>0</v>
      </c>
      <c r="P909" s="49">
        <v>51.72</v>
      </c>
      <c r="Q909" s="49">
        <v>46.59</v>
      </c>
      <c r="R909" s="49">
        <v>165.33</v>
      </c>
      <c r="S909" s="49">
        <v>0</v>
      </c>
    </row>
    <row r="910" spans="1:19" ht="18">
      <c r="A910" s="49">
        <v>4168</v>
      </c>
      <c r="B910" s="49" t="s">
        <v>1498</v>
      </c>
      <c r="C910" s="49">
        <v>0</v>
      </c>
      <c r="D910" s="49">
        <v>0</v>
      </c>
      <c r="E910" s="49">
        <v>0</v>
      </c>
      <c r="F910" s="49">
        <v>0</v>
      </c>
      <c r="G910" s="49">
        <v>0</v>
      </c>
      <c r="H910" s="49">
        <v>1075</v>
      </c>
      <c r="I910" s="49">
        <v>1700</v>
      </c>
      <c r="J910" s="49">
        <v>0</v>
      </c>
      <c r="K910" s="49">
        <v>0</v>
      </c>
      <c r="L910" s="49">
        <v>0</v>
      </c>
      <c r="M910" s="49">
        <v>0</v>
      </c>
      <c r="N910" s="49">
        <v>0</v>
      </c>
      <c r="O910" s="49">
        <v>0</v>
      </c>
      <c r="P910" s="49">
        <v>0</v>
      </c>
      <c r="Q910" s="49">
        <v>0</v>
      </c>
      <c r="R910" s="49">
        <v>0</v>
      </c>
      <c r="S910" s="49">
        <v>0</v>
      </c>
    </row>
    <row r="911" spans="1:19" ht="18">
      <c r="A911" s="49">
        <v>4171</v>
      </c>
      <c r="B911" s="49" t="s">
        <v>1499</v>
      </c>
      <c r="C911" s="49">
        <v>0</v>
      </c>
      <c r="D911" s="49">
        <v>0</v>
      </c>
      <c r="E911" s="49">
        <v>0</v>
      </c>
      <c r="F911" s="49">
        <v>0</v>
      </c>
      <c r="G911" s="49">
        <v>0</v>
      </c>
      <c r="H911" s="49">
        <v>0</v>
      </c>
      <c r="I911" s="49">
        <v>0</v>
      </c>
      <c r="J911" s="49">
        <v>0</v>
      </c>
      <c r="K911" s="49">
        <v>0</v>
      </c>
      <c r="L911" s="49">
        <v>0</v>
      </c>
      <c r="M911" s="49">
        <v>0</v>
      </c>
      <c r="N911" s="49">
        <v>0</v>
      </c>
      <c r="O911" s="49">
        <v>42.72</v>
      </c>
      <c r="P911" s="49">
        <v>28.97</v>
      </c>
      <c r="Q911" s="49">
        <v>9.1300000000000008</v>
      </c>
      <c r="R911" s="49">
        <v>8.99</v>
      </c>
      <c r="S911" s="49">
        <v>0</v>
      </c>
    </row>
    <row r="912" spans="1:19" ht="18">
      <c r="A912" s="49">
        <v>4173</v>
      </c>
      <c r="B912" s="49" t="s">
        <v>1500</v>
      </c>
      <c r="C912" s="49">
        <v>0</v>
      </c>
      <c r="D912" s="49">
        <v>0</v>
      </c>
      <c r="E912" s="49">
        <v>0</v>
      </c>
      <c r="F912" s="49">
        <v>0</v>
      </c>
      <c r="G912" s="49">
        <v>0</v>
      </c>
      <c r="H912" s="49">
        <v>0</v>
      </c>
      <c r="I912" s="49">
        <v>33.619999999999997</v>
      </c>
      <c r="J912" s="49">
        <v>31.57</v>
      </c>
      <c r="K912" s="49">
        <v>50.65</v>
      </c>
      <c r="L912" s="49">
        <v>32.72</v>
      </c>
      <c r="M912" s="49">
        <v>119.12</v>
      </c>
      <c r="N912" s="49">
        <v>14.22</v>
      </c>
      <c r="O912" s="49">
        <v>16.3</v>
      </c>
      <c r="P912" s="49">
        <v>34.380000000000003</v>
      </c>
      <c r="Q912" s="49">
        <v>36.729999999999997</v>
      </c>
      <c r="R912" s="49">
        <v>19.55</v>
      </c>
      <c r="S912" s="49">
        <v>23.86</v>
      </c>
    </row>
    <row r="913" spans="1:19" ht="18">
      <c r="A913" s="49">
        <v>4174</v>
      </c>
      <c r="B913" s="49" t="s">
        <v>1501</v>
      </c>
      <c r="C913" s="49">
        <v>0</v>
      </c>
      <c r="D913" s="49">
        <v>0</v>
      </c>
      <c r="E913" s="49">
        <v>0</v>
      </c>
      <c r="F913" s="49">
        <v>0</v>
      </c>
      <c r="G913" s="49">
        <v>0</v>
      </c>
      <c r="H913" s="49">
        <v>0</v>
      </c>
      <c r="I913" s="49">
        <v>0</v>
      </c>
      <c r="J913" s="49">
        <v>0</v>
      </c>
      <c r="K913" s="49">
        <v>0</v>
      </c>
      <c r="L913" s="49">
        <v>0</v>
      </c>
      <c r="M913" s="49">
        <v>0</v>
      </c>
      <c r="N913" s="49">
        <v>0</v>
      </c>
      <c r="O913" s="49">
        <v>0</v>
      </c>
      <c r="P913" s="49">
        <v>0</v>
      </c>
      <c r="Q913" s="49">
        <v>0</v>
      </c>
      <c r="R913" s="49">
        <v>0</v>
      </c>
      <c r="S913" s="49">
        <v>0</v>
      </c>
    </row>
    <row r="914" spans="1:19" ht="18">
      <c r="A914" s="49">
        <v>4175</v>
      </c>
      <c r="B914" s="49" t="s">
        <v>1502</v>
      </c>
      <c r="C914" s="49">
        <v>0</v>
      </c>
      <c r="D914" s="49">
        <v>0</v>
      </c>
      <c r="E914" s="49">
        <v>0</v>
      </c>
      <c r="F914" s="49">
        <v>0</v>
      </c>
      <c r="G914" s="49">
        <v>0</v>
      </c>
      <c r="H914" s="49">
        <v>0</v>
      </c>
      <c r="I914" s="49">
        <v>0</v>
      </c>
      <c r="J914" s="49">
        <v>21.51</v>
      </c>
      <c r="K914" s="49">
        <v>15.38</v>
      </c>
      <c r="L914" s="49">
        <v>18.53</v>
      </c>
      <c r="M914" s="49">
        <v>20.67</v>
      </c>
      <c r="N914" s="49">
        <v>14.81</v>
      </c>
      <c r="O914" s="49">
        <v>15.13</v>
      </c>
      <c r="P914" s="49">
        <v>19.18</v>
      </c>
      <c r="Q914" s="49">
        <v>27.83</v>
      </c>
      <c r="R914" s="49">
        <v>15.69</v>
      </c>
      <c r="S914" s="49">
        <v>69.040000000000006</v>
      </c>
    </row>
    <row r="915" spans="1:19" ht="18">
      <c r="A915" s="49">
        <v>4183</v>
      </c>
      <c r="B915" s="49" t="s">
        <v>1503</v>
      </c>
      <c r="C915" s="49">
        <v>0</v>
      </c>
      <c r="D915" s="49">
        <v>0</v>
      </c>
      <c r="E915" s="49">
        <v>0</v>
      </c>
      <c r="F915" s="49">
        <v>0</v>
      </c>
      <c r="G915" s="49">
        <v>0</v>
      </c>
      <c r="H915" s="49">
        <v>0</v>
      </c>
      <c r="I915" s="49">
        <v>0</v>
      </c>
      <c r="J915" s="49">
        <v>0</v>
      </c>
      <c r="K915" s="49">
        <v>0</v>
      </c>
      <c r="L915" s="49">
        <v>0</v>
      </c>
      <c r="M915" s="49">
        <v>181.5</v>
      </c>
      <c r="N915" s="49">
        <v>26.27</v>
      </c>
      <c r="O915" s="49">
        <v>14.31</v>
      </c>
      <c r="P915" s="49">
        <v>15.18</v>
      </c>
      <c r="Q915" s="49">
        <v>65.709999999999994</v>
      </c>
      <c r="R915" s="49">
        <v>12.09</v>
      </c>
      <c r="S915" s="49">
        <v>32.26</v>
      </c>
    </row>
    <row r="916" spans="1:19" ht="18">
      <c r="A916" s="49">
        <v>4188</v>
      </c>
      <c r="B916" s="49" t="s">
        <v>1504</v>
      </c>
      <c r="C916" s="49">
        <v>0</v>
      </c>
      <c r="D916" s="49">
        <v>0</v>
      </c>
      <c r="E916" s="49">
        <v>0</v>
      </c>
      <c r="F916" s="49">
        <v>0</v>
      </c>
      <c r="G916" s="49">
        <v>0</v>
      </c>
      <c r="H916" s="49">
        <v>0</v>
      </c>
      <c r="I916" s="49">
        <v>0</v>
      </c>
      <c r="J916" s="49">
        <v>0</v>
      </c>
      <c r="K916" s="49">
        <v>0</v>
      </c>
      <c r="L916" s="49">
        <v>0</v>
      </c>
      <c r="M916" s="49">
        <v>0</v>
      </c>
      <c r="N916" s="49">
        <v>0</v>
      </c>
      <c r="O916" s="49">
        <v>0</v>
      </c>
      <c r="P916" s="49">
        <v>0</v>
      </c>
      <c r="Q916" s="49">
        <v>0</v>
      </c>
      <c r="R916" s="49">
        <v>0</v>
      </c>
      <c r="S916" s="49">
        <v>0</v>
      </c>
    </row>
    <row r="917" spans="1:19" ht="18">
      <c r="A917" s="49">
        <v>4190</v>
      </c>
      <c r="B917" s="49" t="s">
        <v>920</v>
      </c>
      <c r="C917" s="49">
        <v>0</v>
      </c>
      <c r="D917" s="49">
        <v>0</v>
      </c>
      <c r="E917" s="49">
        <v>0</v>
      </c>
      <c r="F917" s="49">
        <v>0</v>
      </c>
      <c r="G917" s="49">
        <v>0</v>
      </c>
      <c r="H917" s="49">
        <v>0</v>
      </c>
      <c r="I917" s="49">
        <v>0</v>
      </c>
      <c r="J917" s="49">
        <v>0</v>
      </c>
      <c r="K917" s="49">
        <v>27.28</v>
      </c>
      <c r="L917" s="49">
        <v>18.79</v>
      </c>
      <c r="M917" s="49">
        <v>15.05</v>
      </c>
      <c r="N917" s="49">
        <v>15.92</v>
      </c>
      <c r="O917" s="49">
        <v>16.55</v>
      </c>
      <c r="P917" s="49">
        <v>20.28</v>
      </c>
      <c r="Q917" s="49">
        <v>13.26</v>
      </c>
      <c r="R917" s="49">
        <v>37.18</v>
      </c>
      <c r="S917" s="49">
        <v>0</v>
      </c>
    </row>
    <row r="918" spans="1:19" ht="18">
      <c r="A918" s="49">
        <v>4192</v>
      </c>
      <c r="B918" s="49" t="s">
        <v>1505</v>
      </c>
      <c r="C918" s="49">
        <v>0</v>
      </c>
      <c r="D918" s="49">
        <v>0</v>
      </c>
      <c r="E918" s="49">
        <v>0</v>
      </c>
      <c r="F918" s="49">
        <v>0</v>
      </c>
      <c r="G918" s="49">
        <v>0</v>
      </c>
      <c r="H918" s="49">
        <v>0</v>
      </c>
      <c r="I918" s="49">
        <v>0</v>
      </c>
      <c r="J918" s="49">
        <v>0</v>
      </c>
      <c r="K918" s="49">
        <v>0</v>
      </c>
      <c r="L918" s="49">
        <v>0</v>
      </c>
      <c r="M918" s="49">
        <v>0</v>
      </c>
      <c r="N918" s="49">
        <v>0</v>
      </c>
      <c r="O918" s="49">
        <v>0</v>
      </c>
      <c r="P918" s="49">
        <v>0</v>
      </c>
      <c r="Q918" s="49">
        <v>0</v>
      </c>
      <c r="R918" s="49">
        <v>0</v>
      </c>
      <c r="S918" s="49">
        <v>0</v>
      </c>
    </row>
    <row r="919" spans="1:19" ht="18">
      <c r="A919" s="49">
        <v>4198</v>
      </c>
      <c r="B919" s="49" t="s">
        <v>1506</v>
      </c>
      <c r="C919" s="49">
        <v>0</v>
      </c>
      <c r="D919" s="49">
        <v>0</v>
      </c>
      <c r="E919" s="49">
        <v>0</v>
      </c>
      <c r="F919" s="49">
        <v>0</v>
      </c>
      <c r="G919" s="49">
        <v>0</v>
      </c>
      <c r="H919" s="49">
        <v>0</v>
      </c>
      <c r="I919" s="49">
        <v>0</v>
      </c>
      <c r="J919" s="49">
        <v>0</v>
      </c>
      <c r="K919" s="49">
        <v>0</v>
      </c>
      <c r="L919" s="49">
        <v>0</v>
      </c>
      <c r="M919" s="49">
        <v>0</v>
      </c>
      <c r="N919" s="49">
        <v>0</v>
      </c>
      <c r="O919" s="49">
        <v>0</v>
      </c>
      <c r="P919" s="49">
        <v>0</v>
      </c>
      <c r="Q919" s="49">
        <v>0</v>
      </c>
      <c r="R919" s="49">
        <v>0</v>
      </c>
      <c r="S919" s="49">
        <v>0</v>
      </c>
    </row>
    <row r="920" spans="1:19" ht="18">
      <c r="A920" s="49">
        <v>4205</v>
      </c>
      <c r="B920" s="49" t="s">
        <v>1507</v>
      </c>
      <c r="C920" s="49">
        <v>11.17</v>
      </c>
      <c r="D920" s="49">
        <v>10.28</v>
      </c>
      <c r="E920" s="49">
        <v>11.36</v>
      </c>
      <c r="F920" s="49">
        <v>12.61</v>
      </c>
      <c r="G920" s="49">
        <v>14.49</v>
      </c>
      <c r="H920" s="49">
        <v>16.59</v>
      </c>
      <c r="I920" s="49">
        <v>21.59</v>
      </c>
      <c r="J920" s="49">
        <v>20.11</v>
      </c>
      <c r="K920" s="49">
        <v>16.670000000000002</v>
      </c>
      <c r="L920" s="49">
        <v>17.010000000000002</v>
      </c>
      <c r="M920" s="49">
        <v>21.24</v>
      </c>
      <c r="N920" s="49">
        <v>20.12</v>
      </c>
      <c r="O920" s="49">
        <v>27.12</v>
      </c>
      <c r="P920" s="49">
        <v>23.84</v>
      </c>
      <c r="Q920" s="49">
        <v>37.07</v>
      </c>
      <c r="R920" s="49">
        <v>25.38</v>
      </c>
      <c r="S920" s="49">
        <v>24.94</v>
      </c>
    </row>
    <row r="921" spans="1:19" ht="18">
      <c r="A921" s="49">
        <v>4207</v>
      </c>
      <c r="B921" s="49" t="s">
        <v>1508</v>
      </c>
      <c r="C921" s="49">
        <v>17.55</v>
      </c>
      <c r="D921" s="49">
        <v>21</v>
      </c>
      <c r="E921" s="49">
        <v>161.43</v>
      </c>
      <c r="F921" s="49">
        <v>21.19</v>
      </c>
      <c r="G921" s="49">
        <v>59.06</v>
      </c>
      <c r="H921" s="49">
        <v>9.32</v>
      </c>
      <c r="I921" s="49">
        <v>11.04</v>
      </c>
      <c r="J921" s="49">
        <v>23.25</v>
      </c>
      <c r="K921" s="49">
        <v>0</v>
      </c>
      <c r="L921" s="49">
        <v>17.82</v>
      </c>
      <c r="M921" s="49">
        <v>9.07</v>
      </c>
      <c r="N921" s="49">
        <v>12.71</v>
      </c>
      <c r="O921" s="49">
        <v>45.41</v>
      </c>
      <c r="P921" s="49">
        <v>11.72</v>
      </c>
      <c r="Q921" s="49">
        <v>15</v>
      </c>
      <c r="R921" s="49">
        <v>6.37</v>
      </c>
      <c r="S921" s="49">
        <v>17.399999999999999</v>
      </c>
    </row>
    <row r="922" spans="1:19" ht="18">
      <c r="A922" s="49">
        <v>4303</v>
      </c>
      <c r="B922" s="49" t="s">
        <v>1509</v>
      </c>
      <c r="C922" s="49">
        <v>0</v>
      </c>
      <c r="D922" s="49">
        <v>0</v>
      </c>
      <c r="E922" s="49">
        <v>20.260000000000002</v>
      </c>
      <c r="F922" s="49">
        <v>0</v>
      </c>
      <c r="G922" s="49">
        <v>0</v>
      </c>
      <c r="H922" s="49">
        <v>0</v>
      </c>
      <c r="I922" s="49">
        <v>45.7</v>
      </c>
      <c r="J922" s="49">
        <v>15.3</v>
      </c>
      <c r="K922" s="49">
        <v>15.3</v>
      </c>
      <c r="L922" s="49">
        <v>65.5</v>
      </c>
      <c r="M922" s="49">
        <v>2.11</v>
      </c>
      <c r="N922" s="49">
        <v>14.78</v>
      </c>
      <c r="O922" s="49">
        <v>20.61</v>
      </c>
      <c r="P922" s="49">
        <v>0</v>
      </c>
      <c r="Q922" s="49">
        <v>19.96</v>
      </c>
      <c r="R922" s="49">
        <v>42.5</v>
      </c>
      <c r="S922" s="49">
        <v>34.76</v>
      </c>
    </row>
    <row r="923" spans="1:19" ht="18">
      <c r="A923" s="49">
        <v>4304</v>
      </c>
      <c r="B923" s="49" t="s">
        <v>1510</v>
      </c>
      <c r="C923" s="49">
        <v>0</v>
      </c>
      <c r="D923" s="49">
        <v>0</v>
      </c>
      <c r="E923" s="49">
        <v>0</v>
      </c>
      <c r="F923" s="49">
        <v>67.11</v>
      </c>
      <c r="G923" s="49">
        <v>0</v>
      </c>
      <c r="H923" s="49">
        <v>0</v>
      </c>
      <c r="I923" s="49">
        <v>0</v>
      </c>
      <c r="J923" s="49">
        <v>0</v>
      </c>
      <c r="K923" s="49">
        <v>0</v>
      </c>
      <c r="L923" s="49">
        <v>0</v>
      </c>
      <c r="M923" s="49">
        <v>0</v>
      </c>
      <c r="N923" s="49">
        <v>0</v>
      </c>
      <c r="O923" s="49">
        <v>0</v>
      </c>
      <c r="P923" s="49">
        <v>0</v>
      </c>
      <c r="Q923" s="49">
        <v>0</v>
      </c>
      <c r="R923" s="49">
        <v>2.5099999999999998</v>
      </c>
      <c r="S923" s="49">
        <v>0</v>
      </c>
    </row>
    <row r="924" spans="1:19" ht="18">
      <c r="A924" s="49">
        <v>4305</v>
      </c>
      <c r="B924" s="49" t="s">
        <v>1511</v>
      </c>
      <c r="C924" s="49">
        <v>14.12</v>
      </c>
      <c r="D924" s="49">
        <v>9.2200000000000006</v>
      </c>
      <c r="E924" s="49">
        <v>22.26</v>
      </c>
      <c r="F924" s="49">
        <v>18.57</v>
      </c>
      <c r="G924" s="49">
        <v>16.13</v>
      </c>
      <c r="H924" s="49">
        <v>11.46</v>
      </c>
      <c r="I924" s="49">
        <v>10.71</v>
      </c>
      <c r="J924" s="49">
        <v>12.23</v>
      </c>
      <c r="K924" s="49">
        <v>9.68</v>
      </c>
      <c r="L924" s="49">
        <v>10.46</v>
      </c>
      <c r="M924" s="49">
        <v>10.77</v>
      </c>
      <c r="N924" s="49">
        <v>10.78</v>
      </c>
      <c r="O924" s="49">
        <v>13.26</v>
      </c>
      <c r="P924" s="49">
        <v>18.03</v>
      </c>
      <c r="Q924" s="49">
        <v>16.21</v>
      </c>
      <c r="R924" s="49">
        <v>9.98</v>
      </c>
      <c r="S924" s="49">
        <v>14.68</v>
      </c>
    </row>
    <row r="925" spans="1:19" ht="18">
      <c r="A925" s="49">
        <v>4306</v>
      </c>
      <c r="B925" s="49" t="s">
        <v>921</v>
      </c>
      <c r="C925" s="49">
        <v>19.82</v>
      </c>
      <c r="D925" s="49">
        <v>4.84</v>
      </c>
      <c r="E925" s="49">
        <v>9.5500000000000007</v>
      </c>
      <c r="F925" s="49">
        <v>12.25</v>
      </c>
      <c r="G925" s="49">
        <v>10.7</v>
      </c>
      <c r="H925" s="49">
        <v>6.91</v>
      </c>
      <c r="I925" s="49">
        <v>12.64</v>
      </c>
      <c r="J925" s="49">
        <v>39.76</v>
      </c>
      <c r="K925" s="49">
        <v>25.87</v>
      </c>
      <c r="L925" s="49">
        <v>61</v>
      </c>
      <c r="M925" s="49">
        <v>50.34</v>
      </c>
      <c r="N925" s="49">
        <v>9.6199999999999992</v>
      </c>
      <c r="O925" s="49">
        <v>29.3</v>
      </c>
      <c r="P925" s="49">
        <v>13.1</v>
      </c>
      <c r="Q925" s="49">
        <v>27.59</v>
      </c>
      <c r="R925" s="49">
        <v>9.41</v>
      </c>
      <c r="S925" s="49">
        <v>13.31</v>
      </c>
    </row>
    <row r="926" spans="1:19" ht="18">
      <c r="A926" s="49">
        <v>4401</v>
      </c>
      <c r="B926" s="49" t="s">
        <v>1512</v>
      </c>
      <c r="C926" s="49">
        <v>9.61</v>
      </c>
      <c r="D926" s="49">
        <v>4.2699999999999996</v>
      </c>
      <c r="E926" s="49">
        <v>13.05</v>
      </c>
      <c r="F926" s="49">
        <v>9.1199999999999992</v>
      </c>
      <c r="G926" s="49">
        <v>5.57</v>
      </c>
      <c r="H926" s="49">
        <v>11.86</v>
      </c>
      <c r="I926" s="49">
        <v>24.33</v>
      </c>
      <c r="J926" s="49">
        <v>17.920000000000002</v>
      </c>
      <c r="K926" s="49">
        <v>22.61</v>
      </c>
      <c r="L926" s="49">
        <v>18.809999999999999</v>
      </c>
      <c r="M926" s="49">
        <v>16.03</v>
      </c>
      <c r="N926" s="49">
        <v>14.66</v>
      </c>
      <c r="O926" s="49">
        <v>18.5</v>
      </c>
      <c r="P926" s="49">
        <v>67.209999999999994</v>
      </c>
      <c r="Q926" s="49">
        <v>14.55</v>
      </c>
      <c r="R926" s="49">
        <v>11.29</v>
      </c>
      <c r="S926" s="49">
        <v>0</v>
      </c>
    </row>
    <row r="927" spans="1:19" ht="18">
      <c r="A927" s="49">
        <v>4402</v>
      </c>
      <c r="B927" s="49" t="s">
        <v>1513</v>
      </c>
      <c r="C927" s="49">
        <v>0</v>
      </c>
      <c r="D927" s="49">
        <v>0</v>
      </c>
      <c r="E927" s="49">
        <v>0</v>
      </c>
      <c r="F927" s="49">
        <v>4.5199999999999996</v>
      </c>
      <c r="G927" s="49">
        <v>0</v>
      </c>
      <c r="H927" s="49">
        <v>0</v>
      </c>
      <c r="I927" s="49">
        <v>0</v>
      </c>
      <c r="J927" s="49">
        <v>0</v>
      </c>
      <c r="K927" s="49">
        <v>0</v>
      </c>
      <c r="L927" s="49">
        <v>0</v>
      </c>
      <c r="M927" s="49">
        <v>0</v>
      </c>
      <c r="N927" s="49">
        <v>0</v>
      </c>
      <c r="O927" s="49">
        <v>0.85</v>
      </c>
      <c r="P927" s="49">
        <v>0</v>
      </c>
      <c r="Q927" s="49">
        <v>0</v>
      </c>
      <c r="R927" s="49">
        <v>0</v>
      </c>
      <c r="S927" s="49">
        <v>0</v>
      </c>
    </row>
    <row r="928" spans="1:19" ht="18">
      <c r="A928" s="49">
        <v>4406</v>
      </c>
      <c r="B928" s="49" t="s">
        <v>1514</v>
      </c>
      <c r="C928" s="49">
        <v>9.77</v>
      </c>
      <c r="D928" s="49">
        <v>13.1</v>
      </c>
      <c r="E928" s="49">
        <v>0</v>
      </c>
      <c r="F928" s="49">
        <v>28.13</v>
      </c>
      <c r="G928" s="49">
        <v>8.5500000000000007</v>
      </c>
      <c r="H928" s="49">
        <v>0</v>
      </c>
      <c r="I928" s="49">
        <v>0</v>
      </c>
      <c r="J928" s="49">
        <v>0</v>
      </c>
      <c r="K928" s="49">
        <v>0</v>
      </c>
      <c r="L928" s="49">
        <v>65</v>
      </c>
      <c r="M928" s="49">
        <v>293.67</v>
      </c>
      <c r="N928" s="49">
        <v>0</v>
      </c>
      <c r="O928" s="49">
        <v>0</v>
      </c>
      <c r="P928" s="49">
        <v>0</v>
      </c>
      <c r="Q928" s="49">
        <v>40.69</v>
      </c>
      <c r="R928" s="49">
        <v>16.920000000000002</v>
      </c>
      <c r="S928" s="49">
        <v>0</v>
      </c>
    </row>
    <row r="929" spans="1:19" ht="18">
      <c r="A929" s="49">
        <v>4413</v>
      </c>
      <c r="B929" s="49" t="s">
        <v>1515</v>
      </c>
      <c r="C929" s="49">
        <v>0</v>
      </c>
      <c r="D929" s="49">
        <v>0</v>
      </c>
      <c r="E929" s="49">
        <v>0</v>
      </c>
      <c r="F929" s="49">
        <v>0</v>
      </c>
      <c r="G929" s="49">
        <v>26.33</v>
      </c>
      <c r="H929" s="49">
        <v>0</v>
      </c>
      <c r="I929" s="49">
        <v>0</v>
      </c>
      <c r="J929" s="49">
        <v>0</v>
      </c>
      <c r="K929" s="49">
        <v>78.569999999999993</v>
      </c>
      <c r="L929" s="49">
        <v>0</v>
      </c>
      <c r="M929" s="49">
        <v>40.79</v>
      </c>
      <c r="N929" s="49">
        <v>7.84</v>
      </c>
      <c r="O929" s="49">
        <v>14.54</v>
      </c>
      <c r="P929" s="49">
        <v>88.82</v>
      </c>
      <c r="Q929" s="49">
        <v>0</v>
      </c>
      <c r="R929" s="49">
        <v>8.2200000000000006</v>
      </c>
      <c r="S929" s="49">
        <v>39.130000000000003</v>
      </c>
    </row>
    <row r="930" spans="1:19" ht="18">
      <c r="A930" s="49">
        <v>4416</v>
      </c>
      <c r="B930" s="49" t="s">
        <v>1516</v>
      </c>
      <c r="C930" s="49">
        <v>26.96</v>
      </c>
      <c r="D930" s="49">
        <v>19.52</v>
      </c>
      <c r="E930" s="49">
        <v>20.170000000000002</v>
      </c>
      <c r="F930" s="49">
        <v>24.65</v>
      </c>
      <c r="G930" s="49">
        <v>10.55</v>
      </c>
      <c r="H930" s="49">
        <v>5.37</v>
      </c>
      <c r="I930" s="49">
        <v>50.39</v>
      </c>
      <c r="J930" s="49">
        <v>11.75</v>
      </c>
      <c r="K930" s="49">
        <v>6.23</v>
      </c>
      <c r="L930" s="49">
        <v>0</v>
      </c>
      <c r="M930" s="49">
        <v>0</v>
      </c>
      <c r="N930" s="49">
        <v>0</v>
      </c>
      <c r="O930" s="49">
        <v>0</v>
      </c>
      <c r="P930" s="49">
        <v>0</v>
      </c>
      <c r="Q930" s="49">
        <v>6.64</v>
      </c>
      <c r="R930" s="49">
        <v>0</v>
      </c>
      <c r="S930" s="49">
        <v>0</v>
      </c>
    </row>
    <row r="931" spans="1:19" ht="18">
      <c r="A931" s="49">
        <v>4417</v>
      </c>
      <c r="B931" s="49" t="s">
        <v>1517</v>
      </c>
      <c r="C931" s="49">
        <v>19.62</v>
      </c>
      <c r="D931" s="49">
        <v>10.050000000000001</v>
      </c>
      <c r="E931" s="49">
        <v>46.69</v>
      </c>
      <c r="F931" s="49">
        <v>12.09</v>
      </c>
      <c r="G931" s="49">
        <v>10.45</v>
      </c>
      <c r="H931" s="49">
        <v>4.2</v>
      </c>
      <c r="I931" s="49">
        <v>12.11</v>
      </c>
      <c r="J931" s="49">
        <v>15.17</v>
      </c>
      <c r="K931" s="49">
        <v>9.1199999999999992</v>
      </c>
      <c r="L931" s="49">
        <v>9.64</v>
      </c>
      <c r="M931" s="49">
        <v>12.63</v>
      </c>
      <c r="N931" s="49">
        <v>8.3699999999999992</v>
      </c>
      <c r="O931" s="49">
        <v>9.8699999999999992</v>
      </c>
      <c r="P931" s="49">
        <v>7.69</v>
      </c>
      <c r="Q931" s="49">
        <v>10.52</v>
      </c>
      <c r="R931" s="49">
        <v>11.16</v>
      </c>
      <c r="S931" s="49">
        <v>8.81</v>
      </c>
    </row>
    <row r="932" spans="1:19" ht="18">
      <c r="A932" s="49">
        <v>4419</v>
      </c>
      <c r="B932" s="49" t="s">
        <v>1518</v>
      </c>
      <c r="C932" s="49">
        <v>0</v>
      </c>
      <c r="D932" s="49">
        <v>0</v>
      </c>
      <c r="E932" s="49">
        <v>0</v>
      </c>
      <c r="F932" s="49">
        <v>0</v>
      </c>
      <c r="G932" s="49">
        <v>6.97</v>
      </c>
      <c r="H932" s="49">
        <v>0</v>
      </c>
      <c r="I932" s="49">
        <v>0</v>
      </c>
      <c r="J932" s="49">
        <v>0</v>
      </c>
      <c r="K932" s="49">
        <v>0</v>
      </c>
      <c r="L932" s="49">
        <v>0</v>
      </c>
      <c r="M932" s="49">
        <v>5.16</v>
      </c>
      <c r="N932" s="49">
        <v>0</v>
      </c>
      <c r="O932" s="49">
        <v>0</v>
      </c>
      <c r="P932" s="49">
        <v>0</v>
      </c>
      <c r="Q932" s="49">
        <v>18.329999999999998</v>
      </c>
      <c r="R932" s="49">
        <v>0</v>
      </c>
      <c r="S932" s="49">
        <v>0</v>
      </c>
    </row>
    <row r="933" spans="1:19" ht="18">
      <c r="A933" s="49">
        <v>4420</v>
      </c>
      <c r="B933" s="49" t="s">
        <v>1519</v>
      </c>
      <c r="C933" s="49">
        <v>9.82</v>
      </c>
      <c r="D933" s="49">
        <v>8.86</v>
      </c>
      <c r="E933" s="49">
        <v>24.03</v>
      </c>
      <c r="F933" s="49">
        <v>11.15</v>
      </c>
      <c r="G933" s="49">
        <v>10.37</v>
      </c>
      <c r="H933" s="49">
        <v>19.95</v>
      </c>
      <c r="I933" s="49">
        <v>160</v>
      </c>
      <c r="J933" s="49">
        <v>41.21</v>
      </c>
      <c r="K933" s="49">
        <v>11.58</v>
      </c>
      <c r="L933" s="49">
        <v>40.520000000000003</v>
      </c>
      <c r="M933" s="49">
        <v>19.11</v>
      </c>
      <c r="N933" s="49">
        <v>24.09</v>
      </c>
      <c r="O933" s="49">
        <v>2.2400000000000002</v>
      </c>
      <c r="P933" s="49">
        <v>0</v>
      </c>
      <c r="Q933" s="49">
        <v>15.41</v>
      </c>
      <c r="R933" s="49">
        <v>158.68</v>
      </c>
      <c r="S933" s="49">
        <v>0</v>
      </c>
    </row>
    <row r="934" spans="1:19" ht="18">
      <c r="A934" s="49">
        <v>4426</v>
      </c>
      <c r="B934" s="49" t="s">
        <v>922</v>
      </c>
      <c r="C934" s="49">
        <v>35</v>
      </c>
      <c r="D934" s="49">
        <v>8.67</v>
      </c>
      <c r="E934" s="49">
        <v>10.24</v>
      </c>
      <c r="F934" s="49">
        <v>9.89</v>
      </c>
      <c r="G934" s="49">
        <v>10.31</v>
      </c>
      <c r="H934" s="49">
        <v>12.09</v>
      </c>
      <c r="I934" s="49">
        <v>12.8</v>
      </c>
      <c r="J934" s="49">
        <v>11.64</v>
      </c>
      <c r="K934" s="49">
        <v>24.52</v>
      </c>
      <c r="L934" s="49">
        <v>17.12</v>
      </c>
      <c r="M934" s="49">
        <v>21.07</v>
      </c>
      <c r="N934" s="49">
        <v>21.06</v>
      </c>
      <c r="O934" s="49">
        <v>19.47</v>
      </c>
      <c r="P934" s="49">
        <v>0</v>
      </c>
      <c r="Q934" s="49">
        <v>0</v>
      </c>
      <c r="R934" s="49">
        <v>0</v>
      </c>
      <c r="S934" s="49">
        <v>94.57</v>
      </c>
    </row>
    <row r="935" spans="1:19" ht="18">
      <c r="A935" s="49">
        <v>4430</v>
      </c>
      <c r="B935" s="49" t="s">
        <v>1520</v>
      </c>
      <c r="C935" s="49">
        <v>0</v>
      </c>
      <c r="D935" s="49">
        <v>0</v>
      </c>
      <c r="E935" s="49">
        <v>0</v>
      </c>
      <c r="F935" s="49">
        <v>0</v>
      </c>
      <c r="G935" s="49">
        <v>67.09</v>
      </c>
      <c r="H935" s="49">
        <v>14.29</v>
      </c>
      <c r="I935" s="49">
        <v>16.079999999999998</v>
      </c>
      <c r="J935" s="49">
        <v>17.100000000000001</v>
      </c>
      <c r="K935" s="49">
        <v>11.63</v>
      </c>
      <c r="L935" s="49">
        <v>23.76</v>
      </c>
      <c r="M935" s="49">
        <v>27.01</v>
      </c>
      <c r="N935" s="49">
        <v>12.97</v>
      </c>
      <c r="O935" s="49">
        <v>4.04</v>
      </c>
      <c r="P935" s="49">
        <v>0</v>
      </c>
      <c r="Q935" s="49">
        <v>14.14</v>
      </c>
      <c r="R935" s="49">
        <v>25.35</v>
      </c>
      <c r="S935" s="49">
        <v>0</v>
      </c>
    </row>
    <row r="936" spans="1:19" ht="18">
      <c r="A936" s="49">
        <v>4432</v>
      </c>
      <c r="B936" s="49" t="s">
        <v>1521</v>
      </c>
      <c r="C936" s="49">
        <v>0</v>
      </c>
      <c r="D936" s="49">
        <v>0</v>
      </c>
      <c r="E936" s="49">
        <v>0</v>
      </c>
      <c r="F936" s="49">
        <v>0</v>
      </c>
      <c r="G936" s="49">
        <v>0</v>
      </c>
      <c r="H936" s="49">
        <v>7.88</v>
      </c>
      <c r="I936" s="49">
        <v>16.190000000000001</v>
      </c>
      <c r="J936" s="49">
        <v>14.31</v>
      </c>
      <c r="K936" s="49">
        <v>13.53</v>
      </c>
      <c r="L936" s="49">
        <v>13.13</v>
      </c>
      <c r="M936" s="49">
        <v>22.07</v>
      </c>
      <c r="N936" s="49">
        <v>13.14</v>
      </c>
      <c r="O936" s="49">
        <v>0</v>
      </c>
      <c r="P936" s="49">
        <v>0</v>
      </c>
      <c r="Q936" s="49">
        <v>0</v>
      </c>
      <c r="R936" s="49">
        <v>11.22</v>
      </c>
      <c r="S936" s="49">
        <v>11.16</v>
      </c>
    </row>
    <row r="937" spans="1:19" ht="18">
      <c r="A937" s="49">
        <v>4433</v>
      </c>
      <c r="B937" s="49" t="s">
        <v>1522</v>
      </c>
      <c r="C937" s="49">
        <v>0</v>
      </c>
      <c r="D937" s="49">
        <v>0</v>
      </c>
      <c r="E937" s="49">
        <v>0</v>
      </c>
      <c r="F937" s="49">
        <v>0</v>
      </c>
      <c r="G937" s="49">
        <v>0</v>
      </c>
      <c r="H937" s="49">
        <v>0</v>
      </c>
      <c r="I937" s="49">
        <v>0</v>
      </c>
      <c r="J937" s="49">
        <v>31.72</v>
      </c>
      <c r="K937" s="49">
        <v>19.190000000000001</v>
      </c>
      <c r="L937" s="49">
        <v>17.16</v>
      </c>
      <c r="M937" s="49">
        <v>170.42</v>
      </c>
      <c r="N937" s="49">
        <v>17.64</v>
      </c>
      <c r="O937" s="49">
        <v>25.35</v>
      </c>
      <c r="P937" s="49">
        <v>5.33</v>
      </c>
      <c r="Q937" s="49">
        <v>73.69</v>
      </c>
      <c r="R937" s="49">
        <v>12.91</v>
      </c>
      <c r="S937" s="49">
        <v>0</v>
      </c>
    </row>
    <row r="938" spans="1:19" ht="18">
      <c r="A938" s="49">
        <v>4438</v>
      </c>
      <c r="B938" s="49" t="s">
        <v>923</v>
      </c>
      <c r="C938" s="49">
        <v>0</v>
      </c>
      <c r="D938" s="49">
        <v>0</v>
      </c>
      <c r="E938" s="49">
        <v>0</v>
      </c>
      <c r="F938" s="49">
        <v>0</v>
      </c>
      <c r="G938" s="49">
        <v>0</v>
      </c>
      <c r="H938" s="49">
        <v>0</v>
      </c>
      <c r="I938" s="49">
        <v>0</v>
      </c>
      <c r="J938" s="49">
        <v>0</v>
      </c>
      <c r="K938" s="49">
        <v>0</v>
      </c>
      <c r="L938" s="49">
        <v>15.02</v>
      </c>
      <c r="M938" s="49">
        <v>23.86</v>
      </c>
      <c r="N938" s="49">
        <v>15.11</v>
      </c>
      <c r="O938" s="49">
        <v>15.53</v>
      </c>
      <c r="P938" s="49">
        <v>23.13</v>
      </c>
      <c r="Q938" s="49">
        <v>23.81</v>
      </c>
      <c r="R938" s="49">
        <v>8.85</v>
      </c>
      <c r="S938" s="49">
        <v>15.16</v>
      </c>
    </row>
    <row r="939" spans="1:19" ht="18">
      <c r="A939" s="49">
        <v>4439</v>
      </c>
      <c r="B939" s="49" t="s">
        <v>924</v>
      </c>
      <c r="C939" s="49">
        <v>0</v>
      </c>
      <c r="D939" s="49">
        <v>0</v>
      </c>
      <c r="E939" s="49">
        <v>0</v>
      </c>
      <c r="F939" s="49">
        <v>0</v>
      </c>
      <c r="G939" s="49">
        <v>0</v>
      </c>
      <c r="H939" s="49">
        <v>0</v>
      </c>
      <c r="I939" s="49">
        <v>0</v>
      </c>
      <c r="J939" s="49">
        <v>0</v>
      </c>
      <c r="K939" s="49">
        <v>0</v>
      </c>
      <c r="L939" s="49">
        <v>0</v>
      </c>
      <c r="M939" s="49">
        <v>0</v>
      </c>
      <c r="N939" s="49">
        <v>0</v>
      </c>
      <c r="O939" s="49">
        <v>19.52</v>
      </c>
      <c r="P939" s="49">
        <v>12.92</v>
      </c>
      <c r="Q939" s="49">
        <v>11.25</v>
      </c>
      <c r="R939" s="49">
        <v>8.9600000000000009</v>
      </c>
      <c r="S939" s="49">
        <v>10.77</v>
      </c>
    </row>
    <row r="940" spans="1:19" ht="18">
      <c r="A940" s="49">
        <v>4440</v>
      </c>
      <c r="B940" s="49" t="s">
        <v>925</v>
      </c>
      <c r="C940" s="49">
        <v>0</v>
      </c>
      <c r="D940" s="49">
        <v>0</v>
      </c>
      <c r="E940" s="49">
        <v>0</v>
      </c>
      <c r="F940" s="49">
        <v>0</v>
      </c>
      <c r="G940" s="49">
        <v>0</v>
      </c>
      <c r="H940" s="49">
        <v>0</v>
      </c>
      <c r="I940" s="49">
        <v>0</v>
      </c>
      <c r="J940" s="49">
        <v>0</v>
      </c>
      <c r="K940" s="49">
        <v>0</v>
      </c>
      <c r="L940" s="49">
        <v>0</v>
      </c>
      <c r="M940" s="49">
        <v>0</v>
      </c>
      <c r="N940" s="49">
        <v>0</v>
      </c>
      <c r="O940" s="49">
        <v>0</v>
      </c>
      <c r="P940" s="49">
        <v>0</v>
      </c>
      <c r="Q940" s="49">
        <v>11.65</v>
      </c>
      <c r="R940" s="49">
        <v>9.5</v>
      </c>
      <c r="S940" s="49">
        <v>27.87</v>
      </c>
    </row>
    <row r="941" spans="1:19" ht="18">
      <c r="A941" s="49">
        <v>4502</v>
      </c>
      <c r="B941" s="49" t="s">
        <v>1523</v>
      </c>
      <c r="C941" s="49">
        <v>0</v>
      </c>
      <c r="D941" s="49">
        <v>0</v>
      </c>
      <c r="E941" s="49">
        <v>0</v>
      </c>
      <c r="F941" s="49">
        <v>0</v>
      </c>
      <c r="G941" s="49">
        <v>1.1100000000000001</v>
      </c>
      <c r="H941" s="49">
        <v>0</v>
      </c>
      <c r="I941" s="49">
        <v>0</v>
      </c>
      <c r="J941" s="49">
        <v>0</v>
      </c>
      <c r="K941" s="49">
        <v>0</v>
      </c>
      <c r="L941" s="49">
        <v>29.74</v>
      </c>
      <c r="M941" s="49">
        <v>20.88</v>
      </c>
      <c r="N941" s="49">
        <v>22.24</v>
      </c>
      <c r="O941" s="49">
        <v>86.43</v>
      </c>
      <c r="P941" s="49">
        <v>0</v>
      </c>
      <c r="Q941" s="49">
        <v>0</v>
      </c>
      <c r="R941" s="49">
        <v>0</v>
      </c>
      <c r="S941" s="49">
        <v>0</v>
      </c>
    </row>
    <row r="942" spans="1:19" ht="18">
      <c r="A942" s="49">
        <v>4503</v>
      </c>
      <c r="B942" s="49" t="s">
        <v>1524</v>
      </c>
      <c r="C942" s="49">
        <v>0</v>
      </c>
      <c r="D942" s="49">
        <v>0</v>
      </c>
      <c r="E942" s="49">
        <v>0</v>
      </c>
      <c r="F942" s="49">
        <v>0</v>
      </c>
      <c r="G942" s="49">
        <v>12.14</v>
      </c>
      <c r="H942" s="49">
        <v>0</v>
      </c>
      <c r="I942" s="49">
        <v>42.96</v>
      </c>
      <c r="J942" s="49">
        <v>0</v>
      </c>
      <c r="K942" s="49">
        <v>0</v>
      </c>
      <c r="L942" s="49">
        <v>84.62</v>
      </c>
      <c r="M942" s="49">
        <v>51.15</v>
      </c>
      <c r="N942" s="49">
        <v>25.95</v>
      </c>
      <c r="O942" s="49">
        <v>31.43</v>
      </c>
      <c r="P942" s="49">
        <v>355</v>
      </c>
      <c r="Q942" s="49">
        <v>0</v>
      </c>
      <c r="R942" s="49">
        <v>0</v>
      </c>
      <c r="S942" s="49">
        <v>0</v>
      </c>
    </row>
    <row r="943" spans="1:19" ht="18">
      <c r="A943" s="49">
        <v>4506</v>
      </c>
      <c r="B943" s="49" t="s">
        <v>1525</v>
      </c>
      <c r="C943" s="49">
        <v>12.5</v>
      </c>
      <c r="D943" s="49">
        <v>24.32</v>
      </c>
      <c r="E943" s="49">
        <v>38.44</v>
      </c>
      <c r="F943" s="49">
        <v>15.1</v>
      </c>
      <c r="G943" s="49">
        <v>12.35</v>
      </c>
      <c r="H943" s="49">
        <v>10.83</v>
      </c>
      <c r="I943" s="49">
        <v>14.1</v>
      </c>
      <c r="J943" s="49">
        <v>13.63</v>
      </c>
      <c r="K943" s="49">
        <v>8.99</v>
      </c>
      <c r="L943" s="49">
        <v>11.71</v>
      </c>
      <c r="M943" s="49">
        <v>12.5</v>
      </c>
      <c r="N943" s="49">
        <v>16.46</v>
      </c>
      <c r="O943" s="49">
        <v>15.95</v>
      </c>
      <c r="P943" s="49">
        <v>13.92</v>
      </c>
      <c r="Q943" s="49">
        <v>15.77</v>
      </c>
      <c r="R943" s="49">
        <v>14.08</v>
      </c>
      <c r="S943" s="49">
        <v>16.149999999999999</v>
      </c>
    </row>
    <row r="944" spans="1:19" ht="18">
      <c r="A944" s="49">
        <v>4510</v>
      </c>
      <c r="B944" s="49" t="s">
        <v>1526</v>
      </c>
      <c r="C944" s="49">
        <v>29.56</v>
      </c>
      <c r="D944" s="49">
        <v>385</v>
      </c>
      <c r="E944" s="49">
        <v>0</v>
      </c>
      <c r="F944" s="49">
        <v>16.350000000000001</v>
      </c>
      <c r="G944" s="49">
        <v>15.06</v>
      </c>
      <c r="H944" s="49">
        <v>27.12</v>
      </c>
      <c r="I944" s="49">
        <v>17.940000000000001</v>
      </c>
      <c r="J944" s="49">
        <v>11.97</v>
      </c>
      <c r="K944" s="49">
        <v>8.4600000000000009</v>
      </c>
      <c r="L944" s="49">
        <v>34.020000000000003</v>
      </c>
      <c r="M944" s="49">
        <v>23.91</v>
      </c>
      <c r="N944" s="49">
        <v>13.79</v>
      </c>
      <c r="O944" s="49">
        <v>1210</v>
      </c>
      <c r="P944" s="49">
        <v>0</v>
      </c>
      <c r="Q944" s="49">
        <v>0</v>
      </c>
      <c r="R944" s="49">
        <v>21.91</v>
      </c>
      <c r="S944" s="49">
        <v>19.22</v>
      </c>
    </row>
    <row r="945" spans="1:19" ht="18">
      <c r="A945" s="49">
        <v>4513</v>
      </c>
      <c r="B945" s="49" t="s">
        <v>1527</v>
      </c>
      <c r="C945" s="49">
        <v>10.55</v>
      </c>
      <c r="D945" s="49">
        <v>6.96</v>
      </c>
      <c r="E945" s="49">
        <v>0</v>
      </c>
      <c r="F945" s="49">
        <v>0</v>
      </c>
      <c r="G945" s="49">
        <v>48.8</v>
      </c>
      <c r="H945" s="49">
        <v>10</v>
      </c>
      <c r="I945" s="49">
        <v>0</v>
      </c>
      <c r="J945" s="49">
        <v>82.31</v>
      </c>
      <c r="K945" s="49">
        <v>4.2699999999999996</v>
      </c>
      <c r="L945" s="49">
        <v>0</v>
      </c>
      <c r="M945" s="49">
        <v>0</v>
      </c>
      <c r="N945" s="49">
        <v>7.09</v>
      </c>
      <c r="O945" s="49">
        <v>0</v>
      </c>
      <c r="P945" s="49">
        <v>0</v>
      </c>
      <c r="Q945" s="49">
        <v>71.67</v>
      </c>
      <c r="R945" s="49">
        <v>38</v>
      </c>
      <c r="S945" s="49">
        <v>13.91</v>
      </c>
    </row>
    <row r="946" spans="1:19" ht="18">
      <c r="A946" s="49">
        <v>4523</v>
      </c>
      <c r="B946" s="49" t="s">
        <v>1528</v>
      </c>
      <c r="C946" s="49">
        <v>68</v>
      </c>
      <c r="D946" s="49">
        <v>0</v>
      </c>
      <c r="E946" s="49">
        <v>135.56</v>
      </c>
      <c r="F946" s="49">
        <v>33.07</v>
      </c>
      <c r="G946" s="49">
        <v>10.34</v>
      </c>
      <c r="H946" s="49">
        <v>48.17</v>
      </c>
      <c r="I946" s="49">
        <v>0</v>
      </c>
      <c r="J946" s="49">
        <v>52.33</v>
      </c>
      <c r="K946" s="49">
        <v>0</v>
      </c>
      <c r="L946" s="49">
        <v>29.21</v>
      </c>
      <c r="M946" s="49">
        <v>0</v>
      </c>
      <c r="N946" s="49">
        <v>0</v>
      </c>
      <c r="O946" s="49">
        <v>0</v>
      </c>
      <c r="P946" s="49">
        <v>0</v>
      </c>
      <c r="Q946" s="49">
        <v>0</v>
      </c>
      <c r="R946" s="49">
        <v>0</v>
      </c>
      <c r="S946" s="49">
        <v>75.36</v>
      </c>
    </row>
    <row r="947" spans="1:19" ht="18">
      <c r="A947" s="49">
        <v>4526</v>
      </c>
      <c r="B947" s="49" t="s">
        <v>926</v>
      </c>
      <c r="C947" s="49">
        <v>12.81</v>
      </c>
      <c r="D947" s="49">
        <v>4.3099999999999996</v>
      </c>
      <c r="E947" s="49">
        <v>850</v>
      </c>
      <c r="F947" s="49">
        <v>13.68</v>
      </c>
      <c r="G947" s="49">
        <v>9.44</v>
      </c>
      <c r="H947" s="49">
        <v>21.36</v>
      </c>
      <c r="I947" s="49">
        <v>21.87</v>
      </c>
      <c r="J947" s="49">
        <v>12.12</v>
      </c>
      <c r="K947" s="49">
        <v>16.239999999999998</v>
      </c>
      <c r="L947" s="49">
        <v>355.83</v>
      </c>
      <c r="M947" s="49">
        <v>0</v>
      </c>
      <c r="N947" s="49">
        <v>48.06</v>
      </c>
      <c r="O947" s="49">
        <v>19.649999999999999</v>
      </c>
      <c r="P947" s="49">
        <v>0</v>
      </c>
      <c r="Q947" s="49">
        <v>0</v>
      </c>
      <c r="R947" s="49">
        <v>26.32</v>
      </c>
      <c r="S947" s="49">
        <v>0</v>
      </c>
    </row>
    <row r="948" spans="1:19" ht="18">
      <c r="A948" s="49">
        <v>4527</v>
      </c>
      <c r="B948" s="49" t="s">
        <v>1529</v>
      </c>
      <c r="C948" s="49">
        <v>16.84</v>
      </c>
      <c r="D948" s="49">
        <v>8.02</v>
      </c>
      <c r="E948" s="49">
        <v>42.06</v>
      </c>
      <c r="F948" s="49">
        <v>36.46</v>
      </c>
      <c r="G948" s="49">
        <v>14.42</v>
      </c>
      <c r="H948" s="49">
        <v>9.08</v>
      </c>
      <c r="I948" s="49">
        <v>17.36</v>
      </c>
      <c r="J948" s="49">
        <v>9.93</v>
      </c>
      <c r="K948" s="49">
        <v>12.66</v>
      </c>
      <c r="L948" s="49">
        <v>9.4499999999999993</v>
      </c>
      <c r="M948" s="49">
        <v>11.33</v>
      </c>
      <c r="N948" s="49">
        <v>10.52</v>
      </c>
      <c r="O948" s="49">
        <v>13.06</v>
      </c>
      <c r="P948" s="49">
        <v>9.9499999999999993</v>
      </c>
      <c r="Q948" s="49">
        <v>12.29</v>
      </c>
      <c r="R948" s="49">
        <v>13.79</v>
      </c>
      <c r="S948" s="49">
        <v>11.74</v>
      </c>
    </row>
    <row r="949" spans="1:19" ht="18">
      <c r="A949" s="49">
        <v>4528</v>
      </c>
      <c r="B949" s="49" t="s">
        <v>1530</v>
      </c>
      <c r="C949" s="49">
        <v>12.69</v>
      </c>
      <c r="D949" s="49">
        <v>6.42</v>
      </c>
      <c r="E949" s="49">
        <v>30.38</v>
      </c>
      <c r="F949" s="49">
        <v>13.81</v>
      </c>
      <c r="G949" s="49">
        <v>8.07</v>
      </c>
      <c r="H949" s="49">
        <v>7.8</v>
      </c>
      <c r="I949" s="49">
        <v>19.79</v>
      </c>
      <c r="J949" s="49">
        <v>15.04</v>
      </c>
      <c r="K949" s="49">
        <v>14.73</v>
      </c>
      <c r="L949" s="49">
        <v>15.61</v>
      </c>
      <c r="M949" s="49">
        <v>17.07</v>
      </c>
      <c r="N949" s="49">
        <v>12.17</v>
      </c>
      <c r="O949" s="49">
        <v>16.12</v>
      </c>
      <c r="P949" s="49">
        <v>18.86</v>
      </c>
      <c r="Q949" s="49">
        <v>13.55</v>
      </c>
      <c r="R949" s="49">
        <v>34.299999999999997</v>
      </c>
      <c r="S949" s="49">
        <v>14.62</v>
      </c>
    </row>
    <row r="950" spans="1:19" ht="18">
      <c r="A950" s="49">
        <v>4529</v>
      </c>
      <c r="B950" s="49" t="s">
        <v>1531</v>
      </c>
      <c r="C950" s="49">
        <v>21</v>
      </c>
      <c r="D950" s="49">
        <v>0</v>
      </c>
      <c r="E950" s="49">
        <v>0</v>
      </c>
      <c r="F950" s="49">
        <v>0</v>
      </c>
      <c r="G950" s="49">
        <v>0</v>
      </c>
      <c r="H950" s="49">
        <v>0</v>
      </c>
      <c r="I950" s="49">
        <v>10.33</v>
      </c>
      <c r="J950" s="49">
        <v>0</v>
      </c>
      <c r="K950" s="49">
        <v>0</v>
      </c>
      <c r="L950" s="49">
        <v>0</v>
      </c>
      <c r="M950" s="49">
        <v>0</v>
      </c>
      <c r="N950" s="49">
        <v>0</v>
      </c>
      <c r="O950" s="49">
        <v>0</v>
      </c>
      <c r="P950" s="49">
        <v>0</v>
      </c>
      <c r="Q950" s="49">
        <v>0</v>
      </c>
      <c r="R950" s="49">
        <v>0</v>
      </c>
      <c r="S950" s="49">
        <v>0</v>
      </c>
    </row>
    <row r="951" spans="1:19" ht="18">
      <c r="A951" s="49">
        <v>4530</v>
      </c>
      <c r="B951" s="49" t="s">
        <v>1532</v>
      </c>
      <c r="C951" s="49">
        <v>137.5</v>
      </c>
      <c r="D951" s="49">
        <v>0</v>
      </c>
      <c r="E951" s="49">
        <v>0</v>
      </c>
      <c r="F951" s="49">
        <v>0</v>
      </c>
      <c r="G951" s="49">
        <v>0</v>
      </c>
      <c r="H951" s="49">
        <v>0</v>
      </c>
      <c r="I951" s="49">
        <v>0</v>
      </c>
      <c r="J951" s="49">
        <v>0</v>
      </c>
      <c r="K951" s="49">
        <v>0</v>
      </c>
      <c r="L951" s="49">
        <v>2.81</v>
      </c>
      <c r="M951" s="49">
        <v>0</v>
      </c>
      <c r="N951" s="49">
        <v>253.5</v>
      </c>
      <c r="O951" s="49">
        <v>0</v>
      </c>
      <c r="P951" s="49">
        <v>0</v>
      </c>
      <c r="Q951" s="49">
        <v>0</v>
      </c>
      <c r="R951" s="49">
        <v>0</v>
      </c>
      <c r="S951" s="49">
        <v>0</v>
      </c>
    </row>
    <row r="952" spans="1:19" ht="18">
      <c r="A952" s="49">
        <v>4532</v>
      </c>
      <c r="B952" s="49" t="s">
        <v>927</v>
      </c>
      <c r="C952" s="49">
        <v>11.63</v>
      </c>
      <c r="D952" s="49">
        <v>0</v>
      </c>
      <c r="E952" s="49">
        <v>0</v>
      </c>
      <c r="F952" s="49">
        <v>16.88</v>
      </c>
      <c r="G952" s="49">
        <v>13.72</v>
      </c>
      <c r="H952" s="49">
        <v>11.67</v>
      </c>
      <c r="I952" s="49">
        <v>16.22</v>
      </c>
      <c r="J952" s="49">
        <v>14.27</v>
      </c>
      <c r="K952" s="49">
        <v>12.08</v>
      </c>
      <c r="L952" s="49">
        <v>12.74</v>
      </c>
      <c r="M952" s="49">
        <v>14.18</v>
      </c>
      <c r="N952" s="49">
        <v>10.83</v>
      </c>
      <c r="O952" s="49">
        <v>14.62</v>
      </c>
      <c r="P952" s="49">
        <v>15.95</v>
      </c>
      <c r="Q952" s="49">
        <v>14.36</v>
      </c>
      <c r="R952" s="49">
        <v>13.76</v>
      </c>
      <c r="S952" s="49">
        <v>15.25</v>
      </c>
    </row>
    <row r="953" spans="1:19" ht="18">
      <c r="A953" s="49">
        <v>4533</v>
      </c>
      <c r="B953" s="49" t="s">
        <v>1533</v>
      </c>
      <c r="C953" s="49">
        <v>9.33</v>
      </c>
      <c r="D953" s="49">
        <v>6.38</v>
      </c>
      <c r="E953" s="49">
        <v>0</v>
      </c>
      <c r="F953" s="49">
        <v>36.11</v>
      </c>
      <c r="G953" s="49">
        <v>9.81</v>
      </c>
      <c r="H953" s="49">
        <v>10.050000000000001</v>
      </c>
      <c r="I953" s="49">
        <v>13.73</v>
      </c>
      <c r="J953" s="49">
        <v>10.77</v>
      </c>
      <c r="K953" s="49">
        <v>16</v>
      </c>
      <c r="L953" s="49">
        <v>13.8</v>
      </c>
      <c r="M953" s="49">
        <v>45</v>
      </c>
      <c r="N953" s="49">
        <v>35</v>
      </c>
      <c r="O953" s="49">
        <v>25.43</v>
      </c>
      <c r="P953" s="49">
        <v>97.5</v>
      </c>
      <c r="Q953" s="49">
        <v>36.76</v>
      </c>
      <c r="R953" s="49">
        <v>15.91</v>
      </c>
      <c r="S953" s="49">
        <v>21.6</v>
      </c>
    </row>
    <row r="954" spans="1:19" ht="18">
      <c r="A954" s="49">
        <v>4534</v>
      </c>
      <c r="B954" s="49" t="s">
        <v>1534</v>
      </c>
      <c r="C954" s="49">
        <v>0</v>
      </c>
      <c r="D954" s="49">
        <v>0</v>
      </c>
      <c r="E954" s="49">
        <v>0</v>
      </c>
      <c r="F954" s="49">
        <v>9.68</v>
      </c>
      <c r="G954" s="49">
        <v>900</v>
      </c>
      <c r="H954" s="49">
        <v>0</v>
      </c>
      <c r="I954" s="49">
        <v>54.09</v>
      </c>
      <c r="J954" s="49">
        <v>14.32</v>
      </c>
      <c r="K954" s="49">
        <v>17.72</v>
      </c>
      <c r="L954" s="49">
        <v>20.28</v>
      </c>
      <c r="M954" s="49">
        <v>14.29</v>
      </c>
      <c r="N954" s="49">
        <v>487.5</v>
      </c>
      <c r="O954" s="49">
        <v>0</v>
      </c>
      <c r="P954" s="49">
        <v>0</v>
      </c>
      <c r="Q954" s="49">
        <v>20.28</v>
      </c>
      <c r="R954" s="49">
        <v>0</v>
      </c>
      <c r="S954" s="49">
        <v>0</v>
      </c>
    </row>
    <row r="955" spans="1:19" ht="18">
      <c r="A955" s="49">
        <v>4535</v>
      </c>
      <c r="B955" s="49" t="s">
        <v>1535</v>
      </c>
      <c r="C955" s="49">
        <v>12.44</v>
      </c>
      <c r="D955" s="49">
        <v>6.43</v>
      </c>
      <c r="E955" s="49">
        <v>17.78</v>
      </c>
      <c r="F955" s="49">
        <v>11.52</v>
      </c>
      <c r="G955" s="49">
        <v>10.47</v>
      </c>
      <c r="H955" s="49">
        <v>10.84</v>
      </c>
      <c r="I955" s="49">
        <v>16.13</v>
      </c>
      <c r="J955" s="49">
        <v>14.65</v>
      </c>
      <c r="K955" s="49">
        <v>13.48</v>
      </c>
      <c r="L955" s="49">
        <v>13.79</v>
      </c>
      <c r="M955" s="49">
        <v>12.85</v>
      </c>
      <c r="N955" s="49">
        <v>14.49</v>
      </c>
      <c r="O955" s="49">
        <v>61.67</v>
      </c>
      <c r="P955" s="49">
        <v>39.14</v>
      </c>
      <c r="Q955" s="49">
        <v>13.55</v>
      </c>
      <c r="R955" s="49">
        <v>14.07</v>
      </c>
      <c r="S955" s="49">
        <v>15.43</v>
      </c>
    </row>
    <row r="956" spans="1:19" ht="18">
      <c r="A956" s="49">
        <v>4536</v>
      </c>
      <c r="B956" s="49" t="s">
        <v>928</v>
      </c>
      <c r="C956" s="49">
        <v>0</v>
      </c>
      <c r="D956" s="49">
        <v>0</v>
      </c>
      <c r="E956" s="49">
        <v>0</v>
      </c>
      <c r="F956" s="49">
        <v>0</v>
      </c>
      <c r="G956" s="49">
        <v>0</v>
      </c>
      <c r="H956" s="49">
        <v>0</v>
      </c>
      <c r="I956" s="49">
        <v>21.25</v>
      </c>
      <c r="J956" s="49">
        <v>22.57</v>
      </c>
      <c r="K956" s="49">
        <v>16.41</v>
      </c>
      <c r="L956" s="49">
        <v>13.77</v>
      </c>
      <c r="M956" s="49">
        <v>12.83</v>
      </c>
      <c r="N956" s="49">
        <v>13.43</v>
      </c>
      <c r="O956" s="49">
        <v>13.14</v>
      </c>
      <c r="P956" s="49">
        <v>22.71</v>
      </c>
      <c r="Q956" s="49">
        <v>18.03</v>
      </c>
      <c r="R956" s="49">
        <v>7.87</v>
      </c>
      <c r="S956" s="49">
        <v>10.25</v>
      </c>
    </row>
    <row r="957" spans="1:19" ht="18">
      <c r="A957" s="49">
        <v>4538</v>
      </c>
      <c r="B957" s="49" t="s">
        <v>1536</v>
      </c>
      <c r="C957" s="49">
        <v>0</v>
      </c>
      <c r="D957" s="49">
        <v>0</v>
      </c>
      <c r="E957" s="49">
        <v>0</v>
      </c>
      <c r="F957" s="49">
        <v>0</v>
      </c>
      <c r="G957" s="49">
        <v>0</v>
      </c>
      <c r="H957" s="49">
        <v>0</v>
      </c>
      <c r="I957" s="49">
        <v>0</v>
      </c>
      <c r="J957" s="49">
        <v>0</v>
      </c>
      <c r="K957" s="49">
        <v>0</v>
      </c>
      <c r="L957" s="49">
        <v>0</v>
      </c>
      <c r="M957" s="49">
        <v>0</v>
      </c>
      <c r="N957" s="49">
        <v>0</v>
      </c>
      <c r="O957" s="49">
        <v>13.95</v>
      </c>
      <c r="P957" s="49">
        <v>38.86</v>
      </c>
      <c r="Q957" s="49">
        <v>25.88</v>
      </c>
      <c r="R957" s="49">
        <v>14.33</v>
      </c>
      <c r="S957" s="49">
        <v>15.33</v>
      </c>
    </row>
    <row r="958" spans="1:19" ht="18">
      <c r="A958" s="49">
        <v>4540</v>
      </c>
      <c r="B958" s="49" t="s">
        <v>929</v>
      </c>
      <c r="C958" s="49">
        <v>0</v>
      </c>
      <c r="D958" s="49">
        <v>0</v>
      </c>
      <c r="E958" s="49">
        <v>0</v>
      </c>
      <c r="F958" s="49">
        <v>0</v>
      </c>
      <c r="G958" s="49">
        <v>0</v>
      </c>
      <c r="H958" s="49">
        <v>0</v>
      </c>
      <c r="I958" s="49">
        <v>0</v>
      </c>
      <c r="J958" s="49">
        <v>0</v>
      </c>
      <c r="K958" s="49">
        <v>0</v>
      </c>
      <c r="L958" s="49">
        <v>0</v>
      </c>
      <c r="M958" s="49">
        <v>0</v>
      </c>
      <c r="N958" s="49">
        <v>10.5</v>
      </c>
      <c r="O958" s="49">
        <v>73.099999999999994</v>
      </c>
      <c r="P958" s="49">
        <v>368.67</v>
      </c>
      <c r="Q958" s="49">
        <v>20.14</v>
      </c>
      <c r="R958" s="49">
        <v>11.28</v>
      </c>
      <c r="S958" s="49">
        <v>49.69</v>
      </c>
    </row>
    <row r="959" spans="1:19" ht="18">
      <c r="A959" s="49">
        <v>4541</v>
      </c>
      <c r="B959" s="49" t="s">
        <v>1537</v>
      </c>
      <c r="C959" s="49">
        <v>0</v>
      </c>
      <c r="D959" s="49">
        <v>0</v>
      </c>
      <c r="E959" s="49">
        <v>0</v>
      </c>
      <c r="F959" s="49">
        <v>0</v>
      </c>
      <c r="G959" s="49">
        <v>0</v>
      </c>
      <c r="H959" s="49">
        <v>0</v>
      </c>
      <c r="I959" s="49">
        <v>0</v>
      </c>
      <c r="J959" s="49">
        <v>21.67</v>
      </c>
      <c r="K959" s="49">
        <v>28.38</v>
      </c>
      <c r="L959" s="49">
        <v>2670</v>
      </c>
      <c r="M959" s="49">
        <v>0</v>
      </c>
      <c r="N959" s="49">
        <v>23.57</v>
      </c>
      <c r="O959" s="49">
        <v>21.44</v>
      </c>
      <c r="P959" s="49">
        <v>0</v>
      </c>
      <c r="Q959" s="49">
        <v>0</v>
      </c>
      <c r="R959" s="49">
        <v>17.95</v>
      </c>
      <c r="S959" s="49">
        <v>0</v>
      </c>
    </row>
    <row r="960" spans="1:19" ht="18">
      <c r="A960" s="49">
        <v>4542</v>
      </c>
      <c r="B960" s="49" t="s">
        <v>1538</v>
      </c>
      <c r="C960" s="49">
        <v>0</v>
      </c>
      <c r="D960" s="49">
        <v>0</v>
      </c>
      <c r="E960" s="49">
        <v>0</v>
      </c>
      <c r="F960" s="49">
        <v>0</v>
      </c>
      <c r="G960" s="49">
        <v>0</v>
      </c>
      <c r="H960" s="49">
        <v>0</v>
      </c>
      <c r="I960" s="49">
        <v>0</v>
      </c>
      <c r="J960" s="49">
        <v>11.01</v>
      </c>
      <c r="K960" s="49">
        <v>12.53</v>
      </c>
      <c r="L960" s="49">
        <v>0</v>
      </c>
      <c r="M960" s="49">
        <v>12.7</v>
      </c>
      <c r="N960" s="49">
        <v>14.24</v>
      </c>
      <c r="O960" s="49">
        <v>13.61</v>
      </c>
      <c r="P960" s="49">
        <v>33.86</v>
      </c>
      <c r="Q960" s="49">
        <v>116.67</v>
      </c>
      <c r="R960" s="49">
        <v>49.02</v>
      </c>
      <c r="S960" s="49">
        <v>20.079999999999998</v>
      </c>
    </row>
    <row r="961" spans="1:19" ht="18">
      <c r="A961" s="49">
        <v>4543</v>
      </c>
      <c r="B961" s="49" t="s">
        <v>1539</v>
      </c>
      <c r="C961" s="49">
        <v>0</v>
      </c>
      <c r="D961" s="49">
        <v>0</v>
      </c>
      <c r="E961" s="49">
        <v>0</v>
      </c>
      <c r="F961" s="49">
        <v>0</v>
      </c>
      <c r="G961" s="49">
        <v>0</v>
      </c>
      <c r="H961" s="49">
        <v>0</v>
      </c>
      <c r="I961" s="49">
        <v>0</v>
      </c>
      <c r="J961" s="49">
        <v>0</v>
      </c>
      <c r="K961" s="49">
        <v>0</v>
      </c>
      <c r="L961" s="49">
        <v>23.64</v>
      </c>
      <c r="M961" s="49">
        <v>34.020000000000003</v>
      </c>
      <c r="N961" s="49">
        <v>14.64</v>
      </c>
      <c r="O961" s="49">
        <v>25.14</v>
      </c>
      <c r="P961" s="49">
        <v>0</v>
      </c>
      <c r="Q961" s="49">
        <v>32.08</v>
      </c>
      <c r="R961" s="49">
        <v>8.2799999999999994</v>
      </c>
      <c r="S961" s="49">
        <v>24.4</v>
      </c>
    </row>
    <row r="962" spans="1:19" ht="18">
      <c r="A962" s="49">
        <v>4545</v>
      </c>
      <c r="B962" s="49" t="s">
        <v>930</v>
      </c>
      <c r="C962" s="49">
        <v>0</v>
      </c>
      <c r="D962" s="49">
        <v>0</v>
      </c>
      <c r="E962" s="49">
        <v>0</v>
      </c>
      <c r="F962" s="49">
        <v>0</v>
      </c>
      <c r="G962" s="49">
        <v>0</v>
      </c>
      <c r="H962" s="49">
        <v>0</v>
      </c>
      <c r="I962" s="49">
        <v>0</v>
      </c>
      <c r="J962" s="49">
        <v>0</v>
      </c>
      <c r="K962" s="49">
        <v>0</v>
      </c>
      <c r="L962" s="49">
        <v>14.32</v>
      </c>
      <c r="M962" s="49">
        <v>65</v>
      </c>
      <c r="N962" s="49">
        <v>0</v>
      </c>
      <c r="O962" s="49">
        <v>93.7</v>
      </c>
      <c r="P962" s="49">
        <v>143.33000000000001</v>
      </c>
      <c r="Q962" s="49">
        <v>26.4</v>
      </c>
      <c r="R962" s="49">
        <v>12.45</v>
      </c>
      <c r="S962" s="49">
        <v>20.98</v>
      </c>
    </row>
    <row r="963" spans="1:19" ht="18">
      <c r="A963" s="49">
        <v>4549</v>
      </c>
      <c r="B963" s="49" t="s">
        <v>1540</v>
      </c>
      <c r="C963" s="49">
        <v>0</v>
      </c>
      <c r="D963" s="49">
        <v>0</v>
      </c>
      <c r="E963" s="49">
        <v>0</v>
      </c>
      <c r="F963" s="49">
        <v>0</v>
      </c>
      <c r="G963" s="49">
        <v>0</v>
      </c>
      <c r="H963" s="49">
        <v>0</v>
      </c>
      <c r="I963" s="49">
        <v>0</v>
      </c>
      <c r="J963" s="49">
        <v>26.91</v>
      </c>
      <c r="K963" s="49">
        <v>18.059999999999999</v>
      </c>
      <c r="L963" s="49">
        <v>25.73</v>
      </c>
      <c r="M963" s="49">
        <v>18.7</v>
      </c>
      <c r="N963" s="49">
        <v>14.77</v>
      </c>
      <c r="O963" s="49">
        <v>16.46</v>
      </c>
      <c r="P963" s="49">
        <v>14.96</v>
      </c>
      <c r="Q963" s="49">
        <v>14.31</v>
      </c>
      <c r="R963" s="49">
        <v>13.05</v>
      </c>
      <c r="S963" s="49">
        <v>18.52</v>
      </c>
    </row>
    <row r="964" spans="1:19" ht="18">
      <c r="A964" s="49">
        <v>4550</v>
      </c>
      <c r="B964" s="49" t="s">
        <v>1541</v>
      </c>
      <c r="C964" s="49">
        <v>0</v>
      </c>
      <c r="D964" s="49">
        <v>0</v>
      </c>
      <c r="E964" s="49">
        <v>0</v>
      </c>
      <c r="F964" s="49">
        <v>0</v>
      </c>
      <c r="G964" s="49">
        <v>0</v>
      </c>
      <c r="H964" s="49">
        <v>0</v>
      </c>
      <c r="I964" s="49">
        <v>0</v>
      </c>
      <c r="J964" s="49">
        <v>0</v>
      </c>
      <c r="K964" s="49">
        <v>9.52</v>
      </c>
      <c r="L964" s="49">
        <v>9.59</v>
      </c>
      <c r="M964" s="49">
        <v>23.21</v>
      </c>
      <c r="N964" s="49">
        <v>10.84</v>
      </c>
      <c r="O964" s="49">
        <v>8.51</v>
      </c>
      <c r="P964" s="49">
        <v>17.39</v>
      </c>
      <c r="Q964" s="49">
        <v>12.37</v>
      </c>
      <c r="R964" s="49">
        <v>8.5500000000000007</v>
      </c>
      <c r="S964" s="49">
        <v>11.32</v>
      </c>
    </row>
    <row r="965" spans="1:19" ht="18">
      <c r="A965" s="49">
        <v>4551</v>
      </c>
      <c r="B965" s="49" t="s">
        <v>931</v>
      </c>
      <c r="C965" s="49">
        <v>0</v>
      </c>
      <c r="D965" s="49">
        <v>0</v>
      </c>
      <c r="E965" s="49">
        <v>0</v>
      </c>
      <c r="F965" s="49">
        <v>0</v>
      </c>
      <c r="G965" s="49">
        <v>0</v>
      </c>
      <c r="H965" s="49">
        <v>0</v>
      </c>
      <c r="I965" s="49">
        <v>0</v>
      </c>
      <c r="J965" s="49">
        <v>0</v>
      </c>
      <c r="K965" s="49">
        <v>23.1</v>
      </c>
      <c r="L965" s="49">
        <v>27.2</v>
      </c>
      <c r="M965" s="49">
        <v>22.66</v>
      </c>
      <c r="N965" s="49">
        <v>17.3</v>
      </c>
      <c r="O965" s="49">
        <v>23.04</v>
      </c>
      <c r="P965" s="49">
        <v>34.1</v>
      </c>
      <c r="Q965" s="49">
        <v>17.27</v>
      </c>
      <c r="R965" s="49">
        <v>12.42</v>
      </c>
      <c r="S965" s="49">
        <v>19.350000000000001</v>
      </c>
    </row>
    <row r="966" spans="1:19" ht="18">
      <c r="A966" s="49">
        <v>4552</v>
      </c>
      <c r="B966" s="49" t="s">
        <v>932</v>
      </c>
      <c r="C966" s="49">
        <v>0</v>
      </c>
      <c r="D966" s="49">
        <v>0</v>
      </c>
      <c r="E966" s="49">
        <v>0</v>
      </c>
      <c r="F966" s="49">
        <v>0</v>
      </c>
      <c r="G966" s="49">
        <v>0</v>
      </c>
      <c r="H966" s="49">
        <v>0</v>
      </c>
      <c r="I966" s="49">
        <v>0</v>
      </c>
      <c r="J966" s="49">
        <v>0</v>
      </c>
      <c r="K966" s="49">
        <v>0</v>
      </c>
      <c r="L966" s="49">
        <v>11.42</v>
      </c>
      <c r="M966" s="49">
        <v>10.25</v>
      </c>
      <c r="N966" s="49">
        <v>6.27</v>
      </c>
      <c r="O966" s="49">
        <v>10.97</v>
      </c>
      <c r="P966" s="49">
        <v>14.94</v>
      </c>
      <c r="Q966" s="49">
        <v>11.27</v>
      </c>
      <c r="R966" s="49">
        <v>8.17</v>
      </c>
      <c r="S966" s="49">
        <v>9.08</v>
      </c>
    </row>
    <row r="967" spans="1:19" ht="18">
      <c r="A967" s="49">
        <v>4554</v>
      </c>
      <c r="B967" s="49" t="s">
        <v>1542</v>
      </c>
      <c r="C967" s="49">
        <v>0</v>
      </c>
      <c r="D967" s="49">
        <v>0</v>
      </c>
      <c r="E967" s="49">
        <v>0</v>
      </c>
      <c r="F967" s="49">
        <v>0</v>
      </c>
      <c r="G967" s="49">
        <v>0</v>
      </c>
      <c r="H967" s="49">
        <v>0</v>
      </c>
      <c r="I967" s="49">
        <v>0</v>
      </c>
      <c r="J967" s="49">
        <v>0</v>
      </c>
      <c r="K967" s="49">
        <v>0</v>
      </c>
      <c r="L967" s="49">
        <v>27</v>
      </c>
      <c r="M967" s="49">
        <v>0</v>
      </c>
      <c r="N967" s="49">
        <v>0</v>
      </c>
      <c r="O967" s="49">
        <v>0</v>
      </c>
      <c r="P967" s="49">
        <v>197.69</v>
      </c>
      <c r="Q967" s="49">
        <v>25.76</v>
      </c>
      <c r="R967" s="49">
        <v>11</v>
      </c>
      <c r="S967" s="49">
        <v>272.73</v>
      </c>
    </row>
    <row r="968" spans="1:19" ht="18">
      <c r="A968" s="49">
        <v>4555</v>
      </c>
      <c r="B968" s="49" t="s">
        <v>933</v>
      </c>
      <c r="C968" s="49">
        <v>0</v>
      </c>
      <c r="D968" s="49">
        <v>0</v>
      </c>
      <c r="E968" s="49">
        <v>0</v>
      </c>
      <c r="F968" s="49">
        <v>0</v>
      </c>
      <c r="G968" s="49">
        <v>0</v>
      </c>
      <c r="H968" s="49">
        <v>0</v>
      </c>
      <c r="I968" s="49">
        <v>0</v>
      </c>
      <c r="J968" s="49">
        <v>0</v>
      </c>
      <c r="K968" s="49">
        <v>13.57</v>
      </c>
      <c r="L968" s="49">
        <v>29.28</v>
      </c>
      <c r="M968" s="49">
        <v>33.33</v>
      </c>
      <c r="N968" s="49">
        <v>22.34</v>
      </c>
      <c r="O968" s="49">
        <v>46.3</v>
      </c>
      <c r="P968" s="49">
        <v>30.06</v>
      </c>
      <c r="Q968" s="49">
        <v>15.94</v>
      </c>
      <c r="R968" s="49">
        <v>18.07</v>
      </c>
      <c r="S968" s="49">
        <v>288.10000000000002</v>
      </c>
    </row>
    <row r="969" spans="1:19" ht="18">
      <c r="A969" s="49">
        <v>4556</v>
      </c>
      <c r="B969" s="49" t="s">
        <v>1543</v>
      </c>
      <c r="C969" s="49">
        <v>0</v>
      </c>
      <c r="D969" s="49">
        <v>0</v>
      </c>
      <c r="E969" s="49">
        <v>0</v>
      </c>
      <c r="F969" s="49">
        <v>0</v>
      </c>
      <c r="G969" s="49">
        <v>0</v>
      </c>
      <c r="H969" s="49">
        <v>0</v>
      </c>
      <c r="I969" s="49">
        <v>0</v>
      </c>
      <c r="J969" s="49">
        <v>0</v>
      </c>
      <c r="K969" s="49">
        <v>34.46</v>
      </c>
      <c r="L969" s="49">
        <v>50.42</v>
      </c>
      <c r="M969" s="49">
        <v>126.46</v>
      </c>
      <c r="N969" s="49">
        <v>21.83</v>
      </c>
      <c r="O969" s="49">
        <v>40.83</v>
      </c>
      <c r="P969" s="49">
        <v>27.83</v>
      </c>
      <c r="Q969" s="49">
        <v>0</v>
      </c>
      <c r="R969" s="49">
        <v>46.44</v>
      </c>
      <c r="S969" s="49">
        <v>63.33</v>
      </c>
    </row>
    <row r="970" spans="1:19" ht="18">
      <c r="A970" s="49">
        <v>4557</v>
      </c>
      <c r="B970" s="49" t="s">
        <v>934</v>
      </c>
      <c r="C970" s="49">
        <v>0</v>
      </c>
      <c r="D970" s="49">
        <v>0</v>
      </c>
      <c r="E970" s="49">
        <v>0</v>
      </c>
      <c r="F970" s="49">
        <v>0</v>
      </c>
      <c r="G970" s="49">
        <v>0</v>
      </c>
      <c r="H970" s="49">
        <v>0</v>
      </c>
      <c r="I970" s="49">
        <v>0</v>
      </c>
      <c r="J970" s="49">
        <v>0</v>
      </c>
      <c r="K970" s="49">
        <v>13.2</v>
      </c>
      <c r="L970" s="49">
        <v>11.95</v>
      </c>
      <c r="M970" s="49">
        <v>11.11</v>
      </c>
      <c r="N970" s="49">
        <v>14.1</v>
      </c>
      <c r="O970" s="49">
        <v>12.95</v>
      </c>
      <c r="P970" s="49">
        <v>16.48</v>
      </c>
      <c r="Q970" s="49">
        <v>19.53</v>
      </c>
      <c r="R970" s="49">
        <v>8.18</v>
      </c>
      <c r="S970" s="49">
        <v>13</v>
      </c>
    </row>
    <row r="971" spans="1:19" ht="18">
      <c r="A971" s="49">
        <v>4558</v>
      </c>
      <c r="B971" s="49" t="s">
        <v>1544</v>
      </c>
      <c r="C971" s="49">
        <v>0</v>
      </c>
      <c r="D971" s="49">
        <v>0</v>
      </c>
      <c r="E971" s="49">
        <v>0</v>
      </c>
      <c r="F971" s="49">
        <v>0</v>
      </c>
      <c r="G971" s="49">
        <v>0</v>
      </c>
      <c r="H971" s="49">
        <v>0</v>
      </c>
      <c r="I971" s="49">
        <v>0</v>
      </c>
      <c r="J971" s="49">
        <v>0</v>
      </c>
      <c r="K971" s="49">
        <v>0</v>
      </c>
      <c r="L971" s="49">
        <v>0</v>
      </c>
      <c r="M971" s="49">
        <v>0</v>
      </c>
      <c r="N971" s="49">
        <v>0</v>
      </c>
      <c r="O971" s="49">
        <v>0</v>
      </c>
      <c r="P971" s="49">
        <v>0</v>
      </c>
      <c r="Q971" s="49">
        <v>0</v>
      </c>
      <c r="R971" s="49">
        <v>11.59</v>
      </c>
      <c r="S971" s="49">
        <v>39.090000000000003</v>
      </c>
    </row>
    <row r="972" spans="1:19" ht="18">
      <c r="A972" s="49">
        <v>4560</v>
      </c>
      <c r="B972" s="49" t="s">
        <v>935</v>
      </c>
      <c r="C972" s="49">
        <v>0</v>
      </c>
      <c r="D972" s="49">
        <v>0</v>
      </c>
      <c r="E972" s="49">
        <v>0</v>
      </c>
      <c r="F972" s="49">
        <v>0</v>
      </c>
      <c r="G972" s="49">
        <v>0</v>
      </c>
      <c r="H972" s="49">
        <v>0</v>
      </c>
      <c r="I972" s="49">
        <v>0</v>
      </c>
      <c r="J972" s="49">
        <v>0</v>
      </c>
      <c r="K972" s="49">
        <v>0</v>
      </c>
      <c r="L972" s="49">
        <v>0</v>
      </c>
      <c r="M972" s="49">
        <v>18.600000000000001</v>
      </c>
      <c r="N972" s="49">
        <v>10.87</v>
      </c>
      <c r="O972" s="49">
        <v>13.07</v>
      </c>
      <c r="P972" s="49">
        <v>21.54</v>
      </c>
      <c r="Q972" s="49">
        <v>17.66</v>
      </c>
      <c r="R972" s="49">
        <v>9.75</v>
      </c>
      <c r="S972" s="49">
        <v>24.3</v>
      </c>
    </row>
    <row r="973" spans="1:19" ht="18">
      <c r="A973" s="49">
        <v>4561</v>
      </c>
      <c r="B973" s="49" t="s">
        <v>1545</v>
      </c>
      <c r="C973" s="49">
        <v>0</v>
      </c>
      <c r="D973" s="49">
        <v>0</v>
      </c>
      <c r="E973" s="49">
        <v>0</v>
      </c>
      <c r="F973" s="49">
        <v>0</v>
      </c>
      <c r="G973" s="49">
        <v>0</v>
      </c>
      <c r="H973" s="49">
        <v>0</v>
      </c>
      <c r="I973" s="49">
        <v>0</v>
      </c>
      <c r="J973" s="49">
        <v>0</v>
      </c>
      <c r="K973" s="49">
        <v>0</v>
      </c>
      <c r="L973" s="49">
        <v>0</v>
      </c>
      <c r="M973" s="49">
        <v>0</v>
      </c>
      <c r="N973" s="49">
        <v>13.51</v>
      </c>
      <c r="O973" s="49">
        <v>30.25</v>
      </c>
      <c r="P973" s="49">
        <v>40.479999999999997</v>
      </c>
      <c r="Q973" s="49">
        <v>10.11</v>
      </c>
      <c r="R973" s="49">
        <v>10.29</v>
      </c>
      <c r="S973" s="49">
        <v>15.47</v>
      </c>
    </row>
    <row r="974" spans="1:19" ht="18">
      <c r="A974" s="49">
        <v>4562</v>
      </c>
      <c r="B974" s="49" t="s">
        <v>936</v>
      </c>
      <c r="C974" s="49">
        <v>0</v>
      </c>
      <c r="D974" s="49">
        <v>0</v>
      </c>
      <c r="E974" s="49">
        <v>0</v>
      </c>
      <c r="F974" s="49">
        <v>0</v>
      </c>
      <c r="G974" s="49">
        <v>0</v>
      </c>
      <c r="H974" s="49">
        <v>0</v>
      </c>
      <c r="I974" s="49">
        <v>0</v>
      </c>
      <c r="J974" s="49">
        <v>0</v>
      </c>
      <c r="K974" s="49">
        <v>0</v>
      </c>
      <c r="L974" s="49">
        <v>0</v>
      </c>
      <c r="M974" s="49">
        <v>14.98</v>
      </c>
      <c r="N974" s="49">
        <v>14.5</v>
      </c>
      <c r="O974" s="49">
        <v>50.85</v>
      </c>
      <c r="P974" s="49">
        <v>0</v>
      </c>
      <c r="Q974" s="49">
        <v>0</v>
      </c>
      <c r="R974" s="49">
        <v>0</v>
      </c>
      <c r="S974" s="49">
        <v>0</v>
      </c>
    </row>
    <row r="975" spans="1:19" ht="18">
      <c r="A975" s="49">
        <v>4563</v>
      </c>
      <c r="B975" s="49" t="s">
        <v>1546</v>
      </c>
      <c r="C975" s="49">
        <v>0</v>
      </c>
      <c r="D975" s="49">
        <v>0</v>
      </c>
      <c r="E975" s="49">
        <v>0</v>
      </c>
      <c r="F975" s="49">
        <v>0</v>
      </c>
      <c r="G975" s="49">
        <v>0</v>
      </c>
      <c r="H975" s="49">
        <v>0</v>
      </c>
      <c r="I975" s="49">
        <v>0</v>
      </c>
      <c r="J975" s="49">
        <v>0</v>
      </c>
      <c r="K975" s="49">
        <v>0</v>
      </c>
      <c r="L975" s="49">
        <v>0</v>
      </c>
      <c r="M975" s="49">
        <v>0</v>
      </c>
      <c r="N975" s="49">
        <v>13.2</v>
      </c>
      <c r="O975" s="49">
        <v>0</v>
      </c>
      <c r="P975" s="49">
        <v>0</v>
      </c>
      <c r="Q975" s="49">
        <v>0</v>
      </c>
      <c r="R975" s="49">
        <v>46.96</v>
      </c>
      <c r="S975" s="49">
        <v>29.82</v>
      </c>
    </row>
    <row r="976" spans="1:19" ht="18">
      <c r="A976" s="49">
        <v>4564</v>
      </c>
      <c r="B976" s="49" t="s">
        <v>937</v>
      </c>
      <c r="C976" s="49">
        <v>0</v>
      </c>
      <c r="D976" s="49">
        <v>0</v>
      </c>
      <c r="E976" s="49">
        <v>0</v>
      </c>
      <c r="F976" s="49">
        <v>0</v>
      </c>
      <c r="G976" s="49">
        <v>0</v>
      </c>
      <c r="H976" s="49">
        <v>0</v>
      </c>
      <c r="I976" s="49">
        <v>0</v>
      </c>
      <c r="J976" s="49">
        <v>0</v>
      </c>
      <c r="K976" s="49">
        <v>0</v>
      </c>
      <c r="L976" s="49">
        <v>0</v>
      </c>
      <c r="M976" s="49">
        <v>0</v>
      </c>
      <c r="N976" s="49">
        <v>0</v>
      </c>
      <c r="O976" s="49">
        <v>12.4</v>
      </c>
      <c r="P976" s="49">
        <v>21.43</v>
      </c>
      <c r="Q976" s="49">
        <v>21.73</v>
      </c>
      <c r="R976" s="49">
        <v>31.56</v>
      </c>
      <c r="S976" s="49">
        <v>0</v>
      </c>
    </row>
    <row r="977" spans="1:19" ht="18">
      <c r="A977" s="49">
        <v>4566</v>
      </c>
      <c r="B977" s="49" t="s">
        <v>938</v>
      </c>
      <c r="C977" s="49">
        <v>0</v>
      </c>
      <c r="D977" s="49">
        <v>0</v>
      </c>
      <c r="E977" s="49">
        <v>0</v>
      </c>
      <c r="F977" s="49">
        <v>0</v>
      </c>
      <c r="G977" s="49">
        <v>0</v>
      </c>
      <c r="H977" s="49">
        <v>0</v>
      </c>
      <c r="I977" s="49">
        <v>0</v>
      </c>
      <c r="J977" s="49">
        <v>0</v>
      </c>
      <c r="K977" s="49">
        <v>0</v>
      </c>
      <c r="L977" s="49">
        <v>0</v>
      </c>
      <c r="M977" s="49">
        <v>0</v>
      </c>
      <c r="N977" s="49">
        <v>12.32</v>
      </c>
      <c r="O977" s="49">
        <v>15.13</v>
      </c>
      <c r="P977" s="49">
        <v>41.73</v>
      </c>
      <c r="Q977" s="49">
        <v>20.239999999999998</v>
      </c>
      <c r="R977" s="49">
        <v>9.51</v>
      </c>
      <c r="S977" s="49">
        <v>15.91</v>
      </c>
    </row>
    <row r="978" spans="1:19" ht="18">
      <c r="A978" s="49">
        <v>4568</v>
      </c>
      <c r="B978" s="49" t="s">
        <v>1547</v>
      </c>
      <c r="C978" s="49">
        <v>0</v>
      </c>
      <c r="D978" s="49">
        <v>0</v>
      </c>
      <c r="E978" s="49">
        <v>0</v>
      </c>
      <c r="F978" s="49">
        <v>0</v>
      </c>
      <c r="G978" s="49">
        <v>0</v>
      </c>
      <c r="H978" s="49">
        <v>0</v>
      </c>
      <c r="I978" s="49">
        <v>0</v>
      </c>
      <c r="J978" s="49">
        <v>0</v>
      </c>
      <c r="K978" s="49">
        <v>0</v>
      </c>
      <c r="L978" s="49">
        <v>0</v>
      </c>
      <c r="M978" s="49">
        <v>0</v>
      </c>
      <c r="N978" s="49">
        <v>10.18</v>
      </c>
      <c r="O978" s="49">
        <v>13.78</v>
      </c>
      <c r="P978" s="49">
        <v>14.49</v>
      </c>
      <c r="Q978" s="49">
        <v>14.49</v>
      </c>
      <c r="R978" s="49">
        <v>9.59</v>
      </c>
      <c r="S978" s="49">
        <v>84</v>
      </c>
    </row>
    <row r="979" spans="1:19" ht="18">
      <c r="A979" s="49">
        <v>4571</v>
      </c>
      <c r="B979" s="49" t="s">
        <v>939</v>
      </c>
      <c r="C979" s="49">
        <v>0</v>
      </c>
      <c r="D979" s="49">
        <v>0</v>
      </c>
      <c r="E979" s="49">
        <v>0</v>
      </c>
      <c r="F979" s="49">
        <v>0</v>
      </c>
      <c r="G979" s="49">
        <v>0</v>
      </c>
      <c r="H979" s="49">
        <v>0</v>
      </c>
      <c r="I979" s="49">
        <v>0</v>
      </c>
      <c r="J979" s="49">
        <v>0</v>
      </c>
      <c r="K979" s="49">
        <v>0</v>
      </c>
      <c r="L979" s="49">
        <v>0</v>
      </c>
      <c r="M979" s="49">
        <v>0</v>
      </c>
      <c r="N979" s="49">
        <v>0</v>
      </c>
      <c r="O979" s="49">
        <v>15.6</v>
      </c>
      <c r="P979" s="49">
        <v>14.85</v>
      </c>
      <c r="Q979" s="49">
        <v>11.11</v>
      </c>
      <c r="R979" s="49">
        <v>10.42</v>
      </c>
      <c r="S979" s="49">
        <v>17.32</v>
      </c>
    </row>
    <row r="980" spans="1:19" ht="18">
      <c r="A980" s="49">
        <v>4572</v>
      </c>
      <c r="B980" s="49" t="s">
        <v>940</v>
      </c>
      <c r="C980" s="49">
        <v>0</v>
      </c>
      <c r="D980" s="49">
        <v>0</v>
      </c>
      <c r="E980" s="49">
        <v>0</v>
      </c>
      <c r="F980" s="49">
        <v>0</v>
      </c>
      <c r="G980" s="49">
        <v>0</v>
      </c>
      <c r="H980" s="49">
        <v>0</v>
      </c>
      <c r="I980" s="49">
        <v>0</v>
      </c>
      <c r="J980" s="49">
        <v>0</v>
      </c>
      <c r="K980" s="49">
        <v>0</v>
      </c>
      <c r="L980" s="49">
        <v>0</v>
      </c>
      <c r="M980" s="49">
        <v>0</v>
      </c>
      <c r="N980" s="49">
        <v>0</v>
      </c>
      <c r="O980" s="49">
        <v>17.760000000000002</v>
      </c>
      <c r="P980" s="49">
        <v>43.82</v>
      </c>
      <c r="Q980" s="49">
        <v>91.07</v>
      </c>
      <c r="R980" s="49">
        <v>24.34</v>
      </c>
      <c r="S980" s="49">
        <v>30.85</v>
      </c>
    </row>
    <row r="981" spans="1:19" ht="18">
      <c r="A981" s="49">
        <v>4576</v>
      </c>
      <c r="B981" s="49" t="s">
        <v>941</v>
      </c>
      <c r="C981" s="49">
        <v>0</v>
      </c>
      <c r="D981" s="49">
        <v>0</v>
      </c>
      <c r="E981" s="49">
        <v>0</v>
      </c>
      <c r="F981" s="49">
        <v>0</v>
      </c>
      <c r="G981" s="49">
        <v>0</v>
      </c>
      <c r="H981" s="49">
        <v>0</v>
      </c>
      <c r="I981" s="49">
        <v>0</v>
      </c>
      <c r="J981" s="49">
        <v>0</v>
      </c>
      <c r="K981" s="49">
        <v>0</v>
      </c>
      <c r="L981" s="49">
        <v>0</v>
      </c>
      <c r="M981" s="49">
        <v>0</v>
      </c>
      <c r="N981" s="49">
        <v>0</v>
      </c>
      <c r="O981" s="49">
        <v>67.739999999999995</v>
      </c>
      <c r="P981" s="49">
        <v>132.16999999999999</v>
      </c>
      <c r="Q981" s="49">
        <v>48.92</v>
      </c>
      <c r="R981" s="49">
        <v>23.41</v>
      </c>
      <c r="S981" s="49">
        <v>159.30000000000001</v>
      </c>
    </row>
    <row r="982" spans="1:19" ht="18">
      <c r="A982" s="49">
        <v>4577</v>
      </c>
      <c r="B982" s="49" t="s">
        <v>1548</v>
      </c>
      <c r="C982" s="49">
        <v>0</v>
      </c>
      <c r="D982" s="49">
        <v>0</v>
      </c>
      <c r="E982" s="49">
        <v>0</v>
      </c>
      <c r="F982" s="49">
        <v>0</v>
      </c>
      <c r="G982" s="49">
        <v>0</v>
      </c>
      <c r="H982" s="49">
        <v>0</v>
      </c>
      <c r="I982" s="49">
        <v>0</v>
      </c>
      <c r="J982" s="49">
        <v>0</v>
      </c>
      <c r="K982" s="49">
        <v>0</v>
      </c>
      <c r="L982" s="49">
        <v>0</v>
      </c>
      <c r="M982" s="49">
        <v>0</v>
      </c>
      <c r="N982" s="49">
        <v>0</v>
      </c>
      <c r="O982" s="49">
        <v>0</v>
      </c>
      <c r="P982" s="49">
        <v>0</v>
      </c>
      <c r="Q982" s="49">
        <v>0</v>
      </c>
      <c r="R982" s="49">
        <v>8.42</v>
      </c>
      <c r="S982" s="49">
        <v>0</v>
      </c>
    </row>
    <row r="983" spans="1:19" ht="18">
      <c r="A983" s="49">
        <v>4580</v>
      </c>
      <c r="B983" s="49" t="s">
        <v>1549</v>
      </c>
      <c r="C983" s="49">
        <v>0</v>
      </c>
      <c r="D983" s="49">
        <v>0</v>
      </c>
      <c r="E983" s="49">
        <v>0</v>
      </c>
      <c r="F983" s="49">
        <v>0</v>
      </c>
      <c r="G983" s="49">
        <v>0</v>
      </c>
      <c r="H983" s="49">
        <v>0</v>
      </c>
      <c r="I983" s="49">
        <v>0</v>
      </c>
      <c r="J983" s="49">
        <v>0</v>
      </c>
      <c r="K983" s="49">
        <v>0</v>
      </c>
      <c r="L983" s="49">
        <v>0</v>
      </c>
      <c r="M983" s="49">
        <v>0</v>
      </c>
      <c r="N983" s="49">
        <v>0</v>
      </c>
      <c r="O983" s="49">
        <v>0</v>
      </c>
      <c r="P983" s="49">
        <v>12.65</v>
      </c>
      <c r="Q983" s="49">
        <v>12.18</v>
      </c>
      <c r="R983" s="49">
        <v>9.83</v>
      </c>
      <c r="S983" s="49">
        <v>12.27</v>
      </c>
    </row>
    <row r="984" spans="1:19" ht="18">
      <c r="A984" s="49">
        <v>4581</v>
      </c>
      <c r="B984" s="49" t="s">
        <v>942</v>
      </c>
      <c r="C984" s="49">
        <v>0</v>
      </c>
      <c r="D984" s="49">
        <v>0</v>
      </c>
      <c r="E984" s="49">
        <v>0</v>
      </c>
      <c r="F984" s="49">
        <v>0</v>
      </c>
      <c r="G984" s="49">
        <v>0</v>
      </c>
      <c r="H984" s="49">
        <v>0</v>
      </c>
      <c r="I984" s="49">
        <v>0</v>
      </c>
      <c r="J984" s="49">
        <v>0</v>
      </c>
      <c r="K984" s="49">
        <v>0</v>
      </c>
      <c r="L984" s="49">
        <v>0</v>
      </c>
      <c r="M984" s="49">
        <v>0</v>
      </c>
      <c r="N984" s="49">
        <v>0</v>
      </c>
      <c r="O984" s="49">
        <v>0</v>
      </c>
      <c r="P984" s="49">
        <v>16.989999999999998</v>
      </c>
      <c r="Q984" s="49">
        <v>17.3</v>
      </c>
      <c r="R984" s="49">
        <v>11.64</v>
      </c>
      <c r="S984" s="49">
        <v>12.17</v>
      </c>
    </row>
    <row r="985" spans="1:19" ht="18">
      <c r="A985" s="49">
        <v>4583</v>
      </c>
      <c r="B985" s="49" t="s">
        <v>943</v>
      </c>
      <c r="C985" s="49">
        <v>0</v>
      </c>
      <c r="D985" s="49">
        <v>0</v>
      </c>
      <c r="E985" s="49">
        <v>0</v>
      </c>
      <c r="F985" s="49">
        <v>0</v>
      </c>
      <c r="G985" s="49">
        <v>0</v>
      </c>
      <c r="H985" s="49">
        <v>0</v>
      </c>
      <c r="I985" s="49">
        <v>0</v>
      </c>
      <c r="J985" s="49">
        <v>0</v>
      </c>
      <c r="K985" s="49">
        <v>0</v>
      </c>
      <c r="L985" s="49">
        <v>0</v>
      </c>
      <c r="M985" s="49">
        <v>0</v>
      </c>
      <c r="N985" s="49">
        <v>0</v>
      </c>
      <c r="O985" s="49">
        <v>0</v>
      </c>
      <c r="P985" s="49">
        <v>0</v>
      </c>
      <c r="Q985" s="49">
        <v>0</v>
      </c>
      <c r="R985" s="49">
        <v>13.2</v>
      </c>
      <c r="S985" s="49">
        <v>17.05</v>
      </c>
    </row>
    <row r="986" spans="1:19" ht="18">
      <c r="A986" s="49">
        <v>4584</v>
      </c>
      <c r="B986" s="49" t="s">
        <v>1550</v>
      </c>
      <c r="C986" s="49">
        <v>0</v>
      </c>
      <c r="D986" s="49">
        <v>0</v>
      </c>
      <c r="E986" s="49">
        <v>0</v>
      </c>
      <c r="F986" s="49">
        <v>0</v>
      </c>
      <c r="G986" s="49">
        <v>0</v>
      </c>
      <c r="H986" s="49">
        <v>0</v>
      </c>
      <c r="I986" s="49">
        <v>0</v>
      </c>
      <c r="J986" s="49">
        <v>0</v>
      </c>
      <c r="K986" s="49">
        <v>0</v>
      </c>
      <c r="L986" s="49">
        <v>0</v>
      </c>
      <c r="M986" s="49">
        <v>0</v>
      </c>
      <c r="N986" s="49">
        <v>0</v>
      </c>
      <c r="O986" s="49">
        <v>0</v>
      </c>
      <c r="P986" s="49">
        <v>0</v>
      </c>
      <c r="Q986" s="49">
        <v>0</v>
      </c>
      <c r="R986" s="49">
        <v>10.51</v>
      </c>
      <c r="S986" s="49">
        <v>20.9</v>
      </c>
    </row>
    <row r="987" spans="1:19" ht="18">
      <c r="A987" s="49">
        <v>4609</v>
      </c>
      <c r="B987" s="49" t="s">
        <v>1551</v>
      </c>
      <c r="C987" s="49">
        <v>0</v>
      </c>
      <c r="D987" s="49">
        <v>3.63</v>
      </c>
      <c r="E987" s="49">
        <v>7.84</v>
      </c>
      <c r="F987" s="49">
        <v>75.84</v>
      </c>
      <c r="G987" s="49">
        <v>25.17</v>
      </c>
      <c r="H987" s="49">
        <v>0</v>
      </c>
      <c r="I987" s="49">
        <v>0</v>
      </c>
      <c r="J987" s="49">
        <v>0</v>
      </c>
      <c r="K987" s="49">
        <v>0</v>
      </c>
      <c r="L987" s="49">
        <v>34.17</v>
      </c>
      <c r="M987" s="49">
        <v>0</v>
      </c>
      <c r="N987" s="49">
        <v>0</v>
      </c>
      <c r="O987" s="49">
        <v>0</v>
      </c>
      <c r="P987" s="49">
        <v>0</v>
      </c>
      <c r="Q987" s="49">
        <v>0</v>
      </c>
      <c r="R987" s="49">
        <v>18.88</v>
      </c>
      <c r="S987" s="49">
        <v>0</v>
      </c>
    </row>
    <row r="988" spans="1:19" ht="18">
      <c r="A988" s="49">
        <v>4702</v>
      </c>
      <c r="B988" s="49" t="s">
        <v>1552</v>
      </c>
      <c r="C988" s="49">
        <v>0</v>
      </c>
      <c r="D988" s="49">
        <v>57.4</v>
      </c>
      <c r="E988" s="49">
        <v>0</v>
      </c>
      <c r="F988" s="49">
        <v>0</v>
      </c>
      <c r="G988" s="49">
        <v>0</v>
      </c>
      <c r="H988" s="49">
        <v>0</v>
      </c>
      <c r="I988" s="49">
        <v>0</v>
      </c>
      <c r="J988" s="49">
        <v>31.29</v>
      </c>
      <c r="K988" s="49">
        <v>12.87</v>
      </c>
      <c r="L988" s="49">
        <v>0</v>
      </c>
      <c r="M988" s="49">
        <v>0</v>
      </c>
      <c r="N988" s="49">
        <v>0</v>
      </c>
      <c r="O988" s="49">
        <v>0</v>
      </c>
      <c r="P988" s="49">
        <v>72.19</v>
      </c>
      <c r="Q988" s="49">
        <v>12.54</v>
      </c>
      <c r="R988" s="49">
        <v>6.16</v>
      </c>
      <c r="S988" s="49">
        <v>15.4</v>
      </c>
    </row>
    <row r="989" spans="1:19" ht="18">
      <c r="A989" s="49">
        <v>4706</v>
      </c>
      <c r="B989" s="49" t="s">
        <v>1553</v>
      </c>
      <c r="C989" s="49">
        <v>48.57</v>
      </c>
      <c r="D989" s="49">
        <v>6.95</v>
      </c>
      <c r="E989" s="49">
        <v>24.53</v>
      </c>
      <c r="F989" s="49">
        <v>9.2899999999999991</v>
      </c>
      <c r="G989" s="49">
        <v>12.5</v>
      </c>
      <c r="H989" s="49">
        <v>12.09</v>
      </c>
      <c r="I989" s="49">
        <v>15</v>
      </c>
      <c r="J989" s="49">
        <v>15.38</v>
      </c>
      <c r="K989" s="49">
        <v>15.41</v>
      </c>
      <c r="L989" s="49">
        <v>11.13</v>
      </c>
      <c r="M989" s="49">
        <v>11.01</v>
      </c>
      <c r="N989" s="49">
        <v>14.96</v>
      </c>
      <c r="O989" s="49">
        <v>15.45</v>
      </c>
      <c r="P989" s="49">
        <v>17.170000000000002</v>
      </c>
      <c r="Q989" s="49">
        <v>14.42</v>
      </c>
      <c r="R989" s="49">
        <v>18.059999999999999</v>
      </c>
      <c r="S989" s="49">
        <v>0</v>
      </c>
    </row>
    <row r="990" spans="1:19" ht="18">
      <c r="A990" s="49">
        <v>4707</v>
      </c>
      <c r="B990" s="49" t="s">
        <v>1554</v>
      </c>
      <c r="C990" s="49">
        <v>13.72</v>
      </c>
      <c r="D990" s="49">
        <v>5.7</v>
      </c>
      <c r="E990" s="49">
        <v>19.32</v>
      </c>
      <c r="F990" s="49">
        <v>39.630000000000003</v>
      </c>
      <c r="G990" s="49">
        <v>15.73</v>
      </c>
      <c r="H990" s="49">
        <v>47.74</v>
      </c>
      <c r="I990" s="49">
        <v>25.11</v>
      </c>
      <c r="J990" s="49">
        <v>21.6</v>
      </c>
      <c r="K990" s="49">
        <v>17.600000000000001</v>
      </c>
      <c r="L990" s="49">
        <v>11.2</v>
      </c>
      <c r="M990" s="49">
        <v>13.48</v>
      </c>
      <c r="N990" s="49">
        <v>11.11</v>
      </c>
      <c r="O990" s="49">
        <v>10.71</v>
      </c>
      <c r="P990" s="49">
        <v>14.58</v>
      </c>
      <c r="Q990" s="49">
        <v>12.33</v>
      </c>
      <c r="R990" s="49">
        <v>10.3</v>
      </c>
      <c r="S990" s="49">
        <v>13.37</v>
      </c>
    </row>
    <row r="991" spans="1:19" ht="18">
      <c r="A991" s="49">
        <v>4711</v>
      </c>
      <c r="B991" s="49" t="s">
        <v>1555</v>
      </c>
      <c r="C991" s="49">
        <v>11.09</v>
      </c>
      <c r="D991" s="49">
        <v>7.13</v>
      </c>
      <c r="E991" s="49">
        <v>13.46</v>
      </c>
      <c r="F991" s="49">
        <v>11.92</v>
      </c>
      <c r="G991" s="49">
        <v>10.99</v>
      </c>
      <c r="H991" s="49">
        <v>28.43</v>
      </c>
      <c r="I991" s="49">
        <v>34.57</v>
      </c>
      <c r="J991" s="49">
        <v>22.62</v>
      </c>
      <c r="K991" s="49">
        <v>20.78</v>
      </c>
      <c r="L991" s="49">
        <v>13.99</v>
      </c>
      <c r="M991" s="49">
        <v>12.37</v>
      </c>
      <c r="N991" s="49">
        <v>25.32</v>
      </c>
      <c r="O991" s="49">
        <v>59.38</v>
      </c>
      <c r="P991" s="49">
        <v>20.5</v>
      </c>
      <c r="Q991" s="49">
        <v>12.85</v>
      </c>
      <c r="R991" s="49">
        <v>500</v>
      </c>
      <c r="S991" s="49">
        <v>109</v>
      </c>
    </row>
    <row r="992" spans="1:19" ht="18">
      <c r="A992" s="49">
        <v>4712</v>
      </c>
      <c r="B992" s="49" t="s">
        <v>1556</v>
      </c>
      <c r="C992" s="49">
        <v>21.18</v>
      </c>
      <c r="D992" s="49">
        <v>0</v>
      </c>
      <c r="E992" s="49">
        <v>0</v>
      </c>
      <c r="F992" s="49">
        <v>0</v>
      </c>
      <c r="G992" s="49">
        <v>59.02</v>
      </c>
      <c r="H992" s="49">
        <v>8.0299999999999994</v>
      </c>
      <c r="I992" s="49">
        <v>0</v>
      </c>
      <c r="J992" s="49">
        <v>0</v>
      </c>
      <c r="K992" s="49">
        <v>0</v>
      </c>
      <c r="L992" s="49">
        <v>0</v>
      </c>
      <c r="M992" s="49">
        <v>0</v>
      </c>
      <c r="N992" s="49">
        <v>0</v>
      </c>
      <c r="O992" s="49">
        <v>0</v>
      </c>
      <c r="P992" s="49">
        <v>0</v>
      </c>
      <c r="Q992" s="49">
        <v>0</v>
      </c>
      <c r="R992" s="49">
        <v>0</v>
      </c>
      <c r="S992" s="49">
        <v>0</v>
      </c>
    </row>
    <row r="993" spans="1:19" ht="18">
      <c r="A993" s="49">
        <v>4714</v>
      </c>
      <c r="B993" s="49" t="s">
        <v>1557</v>
      </c>
      <c r="C993" s="49">
        <v>16.04</v>
      </c>
      <c r="D993" s="49">
        <v>5.51</v>
      </c>
      <c r="E993" s="49">
        <v>16.420000000000002</v>
      </c>
      <c r="F993" s="49">
        <v>10.54</v>
      </c>
      <c r="G993" s="49">
        <v>9.76</v>
      </c>
      <c r="H993" s="49">
        <v>13.86</v>
      </c>
      <c r="I993" s="49">
        <v>34.43</v>
      </c>
      <c r="J993" s="49">
        <v>23.54</v>
      </c>
      <c r="K993" s="49">
        <v>25.53</v>
      </c>
      <c r="L993" s="49">
        <v>41.49</v>
      </c>
      <c r="M993" s="49">
        <v>1600</v>
      </c>
      <c r="N993" s="49">
        <v>19.690000000000001</v>
      </c>
      <c r="O993" s="49">
        <v>16.260000000000002</v>
      </c>
      <c r="P993" s="49">
        <v>17.3</v>
      </c>
      <c r="Q993" s="49">
        <v>49.5</v>
      </c>
      <c r="R993" s="49">
        <v>0</v>
      </c>
      <c r="S993" s="49">
        <v>0</v>
      </c>
    </row>
    <row r="994" spans="1:19" ht="18">
      <c r="A994" s="49">
        <v>4716</v>
      </c>
      <c r="B994" s="49" t="s">
        <v>1558</v>
      </c>
      <c r="C994" s="49">
        <v>154.22999999999999</v>
      </c>
      <c r="D994" s="49">
        <v>0</v>
      </c>
      <c r="E994" s="49">
        <v>85.5</v>
      </c>
      <c r="F994" s="49">
        <v>27.44</v>
      </c>
      <c r="G994" s="49">
        <v>13.6</v>
      </c>
      <c r="H994" s="49">
        <v>17.71</v>
      </c>
      <c r="I994" s="49">
        <v>24.86</v>
      </c>
      <c r="J994" s="49">
        <v>33.78</v>
      </c>
      <c r="K994" s="49">
        <v>16.89</v>
      </c>
      <c r="L994" s="49">
        <v>20.55</v>
      </c>
      <c r="M994" s="49">
        <v>70.290000000000006</v>
      </c>
      <c r="N994" s="49">
        <v>62.19</v>
      </c>
      <c r="O994" s="49">
        <v>47.67</v>
      </c>
      <c r="P994" s="49">
        <v>25.4</v>
      </c>
      <c r="Q994" s="49">
        <v>6.4</v>
      </c>
      <c r="R994" s="49">
        <v>14.78</v>
      </c>
      <c r="S994" s="49">
        <v>0</v>
      </c>
    </row>
    <row r="995" spans="1:19" ht="18">
      <c r="A995" s="49">
        <v>4720</v>
      </c>
      <c r="B995" s="49" t="s">
        <v>944</v>
      </c>
      <c r="C995" s="49">
        <v>10.15</v>
      </c>
      <c r="D995" s="49">
        <v>12.53</v>
      </c>
      <c r="E995" s="49">
        <v>67.2</v>
      </c>
      <c r="F995" s="49">
        <v>50.5</v>
      </c>
      <c r="G995" s="49">
        <v>26.08</v>
      </c>
      <c r="H995" s="49">
        <v>13.61</v>
      </c>
      <c r="I995" s="49">
        <v>20.41</v>
      </c>
      <c r="J995" s="49">
        <v>18.940000000000001</v>
      </c>
      <c r="K995" s="49">
        <v>11.33</v>
      </c>
      <c r="L995" s="49">
        <v>17.68</v>
      </c>
      <c r="M995" s="49">
        <v>24.49</v>
      </c>
      <c r="N995" s="49">
        <v>60.65</v>
      </c>
      <c r="O995" s="49">
        <v>23.88</v>
      </c>
      <c r="P995" s="49">
        <v>28.51</v>
      </c>
      <c r="Q995" s="49">
        <v>36</v>
      </c>
      <c r="R995" s="49">
        <v>39.29</v>
      </c>
      <c r="S995" s="49">
        <v>22.33</v>
      </c>
    </row>
    <row r="996" spans="1:19" ht="18">
      <c r="A996" s="49">
        <v>4721</v>
      </c>
      <c r="B996" s="49" t="s">
        <v>1559</v>
      </c>
      <c r="C996" s="49">
        <v>12.74</v>
      </c>
      <c r="D996" s="49">
        <v>6.05</v>
      </c>
      <c r="E996" s="49">
        <v>70.739999999999995</v>
      </c>
      <c r="F996" s="49">
        <v>12.59</v>
      </c>
      <c r="G996" s="49">
        <v>10.48</v>
      </c>
      <c r="H996" s="49">
        <v>17.98</v>
      </c>
      <c r="I996" s="49">
        <v>31.34</v>
      </c>
      <c r="J996" s="49">
        <v>17.39</v>
      </c>
      <c r="K996" s="49">
        <v>14.76</v>
      </c>
      <c r="L996" s="49">
        <v>20.260000000000002</v>
      </c>
      <c r="M996" s="49">
        <v>37.89</v>
      </c>
      <c r="N996" s="49">
        <v>23.01</v>
      </c>
      <c r="O996" s="49">
        <v>26.01</v>
      </c>
      <c r="P996" s="49">
        <v>32.42</v>
      </c>
      <c r="Q996" s="49">
        <v>42.45</v>
      </c>
      <c r="R996" s="49">
        <v>14.26</v>
      </c>
      <c r="S996" s="49">
        <v>0</v>
      </c>
    </row>
    <row r="997" spans="1:19" ht="18">
      <c r="A997" s="49">
        <v>4722</v>
      </c>
      <c r="B997" s="49" t="s">
        <v>945</v>
      </c>
      <c r="C997" s="49">
        <v>45.45</v>
      </c>
      <c r="D997" s="49">
        <v>10.16</v>
      </c>
      <c r="E997" s="49">
        <v>29.48</v>
      </c>
      <c r="F997" s="49">
        <v>31.67</v>
      </c>
      <c r="G997" s="49">
        <v>12.66</v>
      </c>
      <c r="H997" s="49">
        <v>14.31</v>
      </c>
      <c r="I997" s="49">
        <v>13.47</v>
      </c>
      <c r="J997" s="49">
        <v>15.09</v>
      </c>
      <c r="K997" s="49">
        <v>8.76</v>
      </c>
      <c r="L997" s="49">
        <v>8.83</v>
      </c>
      <c r="M997" s="49">
        <v>10.78</v>
      </c>
      <c r="N997" s="49">
        <v>9.5299999999999994</v>
      </c>
      <c r="O997" s="49">
        <v>11.31</v>
      </c>
      <c r="P997" s="49">
        <v>12.15</v>
      </c>
      <c r="Q997" s="49">
        <v>11.62</v>
      </c>
      <c r="R997" s="49">
        <v>8.42</v>
      </c>
      <c r="S997" s="49">
        <v>32.89</v>
      </c>
    </row>
    <row r="998" spans="1:19" ht="18">
      <c r="A998" s="49">
        <v>4726</v>
      </c>
      <c r="B998" s="49" t="s">
        <v>1560</v>
      </c>
      <c r="C998" s="49">
        <v>0</v>
      </c>
      <c r="D998" s="49">
        <v>0</v>
      </c>
      <c r="E998" s="49">
        <v>0</v>
      </c>
      <c r="F998" s="49">
        <v>0</v>
      </c>
      <c r="G998" s="49">
        <v>0</v>
      </c>
      <c r="H998" s="49">
        <v>0</v>
      </c>
      <c r="I998" s="49">
        <v>0</v>
      </c>
      <c r="J998" s="49">
        <v>0</v>
      </c>
      <c r="K998" s="49">
        <v>0</v>
      </c>
      <c r="L998" s="49">
        <v>0</v>
      </c>
      <c r="M998" s="49">
        <v>0</v>
      </c>
      <c r="N998" s="49">
        <v>0</v>
      </c>
      <c r="O998" s="49">
        <v>0</v>
      </c>
      <c r="P998" s="49">
        <v>3220</v>
      </c>
      <c r="Q998" s="49">
        <v>0</v>
      </c>
      <c r="R998" s="49">
        <v>0</v>
      </c>
      <c r="S998" s="49">
        <v>0</v>
      </c>
    </row>
    <row r="999" spans="1:19" ht="18">
      <c r="A999" s="49">
        <v>4728</v>
      </c>
      <c r="B999" s="49" t="s">
        <v>1561</v>
      </c>
      <c r="C999" s="49">
        <v>0</v>
      </c>
      <c r="D999" s="49">
        <v>0</v>
      </c>
      <c r="E999" s="49">
        <v>0</v>
      </c>
      <c r="F999" s="49">
        <v>0</v>
      </c>
      <c r="G999" s="49">
        <v>0</v>
      </c>
      <c r="H999" s="49">
        <v>113.59</v>
      </c>
      <c r="I999" s="49">
        <v>41.4</v>
      </c>
      <c r="J999" s="49">
        <v>61.81</v>
      </c>
      <c r="K999" s="49">
        <v>0</v>
      </c>
      <c r="L999" s="49">
        <v>0</v>
      </c>
      <c r="M999" s="49">
        <v>63.07</v>
      </c>
      <c r="N999" s="49">
        <v>52.09</v>
      </c>
      <c r="O999" s="49">
        <v>30.26</v>
      </c>
      <c r="P999" s="49">
        <v>35.94</v>
      </c>
      <c r="Q999" s="49">
        <v>17.920000000000002</v>
      </c>
      <c r="R999" s="49">
        <v>14.64</v>
      </c>
      <c r="S999" s="49">
        <v>19.100000000000001</v>
      </c>
    </row>
    <row r="1000" spans="1:19" ht="18">
      <c r="A1000" s="49">
        <v>4729</v>
      </c>
      <c r="B1000" s="49" t="s">
        <v>1562</v>
      </c>
      <c r="C1000" s="49">
        <v>0</v>
      </c>
      <c r="D1000" s="49">
        <v>0</v>
      </c>
      <c r="E1000" s="49">
        <v>0</v>
      </c>
      <c r="F1000" s="49">
        <v>0</v>
      </c>
      <c r="G1000" s="49">
        <v>0</v>
      </c>
      <c r="H1000" s="49">
        <v>0</v>
      </c>
      <c r="I1000" s="49">
        <v>0</v>
      </c>
      <c r="J1000" s="49">
        <v>0</v>
      </c>
      <c r="K1000" s="49">
        <v>0</v>
      </c>
      <c r="L1000" s="49">
        <v>8.43</v>
      </c>
      <c r="M1000" s="49">
        <v>8.19</v>
      </c>
      <c r="N1000" s="49">
        <v>51.85</v>
      </c>
      <c r="O1000" s="49">
        <v>0</v>
      </c>
      <c r="P1000" s="49">
        <v>0</v>
      </c>
      <c r="Q1000" s="49">
        <v>0</v>
      </c>
      <c r="R1000" s="49">
        <v>0</v>
      </c>
      <c r="S1000" s="49">
        <v>27.59</v>
      </c>
    </row>
    <row r="1001" spans="1:19" ht="18">
      <c r="A1001" s="49">
        <v>4735</v>
      </c>
      <c r="B1001" s="49" t="s">
        <v>1563</v>
      </c>
      <c r="C1001" s="49">
        <v>0</v>
      </c>
      <c r="D1001" s="49">
        <v>0</v>
      </c>
      <c r="E1001" s="49">
        <v>0</v>
      </c>
      <c r="F1001" s="49">
        <v>0</v>
      </c>
      <c r="G1001" s="49">
        <v>0</v>
      </c>
      <c r="H1001" s="49">
        <v>0</v>
      </c>
      <c r="I1001" s="49">
        <v>0</v>
      </c>
      <c r="J1001" s="49">
        <v>0</v>
      </c>
      <c r="K1001" s="49">
        <v>20.56</v>
      </c>
      <c r="L1001" s="49">
        <v>17.71</v>
      </c>
      <c r="M1001" s="49">
        <v>14.9</v>
      </c>
      <c r="N1001" s="49">
        <v>18.440000000000001</v>
      </c>
      <c r="O1001" s="49">
        <v>10.49</v>
      </c>
      <c r="P1001" s="49">
        <v>10.58</v>
      </c>
      <c r="Q1001" s="49">
        <v>4.57</v>
      </c>
      <c r="R1001" s="49">
        <v>13.37</v>
      </c>
      <c r="S1001" s="49">
        <v>17.329999999999998</v>
      </c>
    </row>
    <row r="1002" spans="1:19" ht="18">
      <c r="A1002" s="49">
        <v>4736</v>
      </c>
      <c r="B1002" s="49" t="s">
        <v>1564</v>
      </c>
      <c r="C1002" s="49">
        <v>0</v>
      </c>
      <c r="D1002" s="49">
        <v>0</v>
      </c>
      <c r="E1002" s="49">
        <v>0</v>
      </c>
      <c r="F1002" s="49">
        <v>15.66</v>
      </c>
      <c r="G1002" s="49">
        <v>15.19</v>
      </c>
      <c r="H1002" s="49">
        <v>15.18</v>
      </c>
      <c r="I1002" s="49">
        <v>16.239999999999998</v>
      </c>
      <c r="J1002" s="49">
        <v>18.190000000000001</v>
      </c>
      <c r="K1002" s="49">
        <v>16.72</v>
      </c>
      <c r="L1002" s="49">
        <v>16.690000000000001</v>
      </c>
      <c r="M1002" s="49">
        <v>20.420000000000002</v>
      </c>
      <c r="N1002" s="49">
        <v>18.29</v>
      </c>
      <c r="O1002" s="49">
        <v>16.05</v>
      </c>
      <c r="P1002" s="49">
        <v>11.2</v>
      </c>
      <c r="Q1002" s="49">
        <v>8.5299999999999994</v>
      </c>
      <c r="R1002" s="49">
        <v>5.35</v>
      </c>
      <c r="S1002" s="49">
        <v>12.16</v>
      </c>
    </row>
    <row r="1003" spans="1:19" ht="18">
      <c r="A1003" s="49">
        <v>4737</v>
      </c>
      <c r="B1003" s="49" t="s">
        <v>946</v>
      </c>
      <c r="C1003" s="49">
        <v>0</v>
      </c>
      <c r="D1003" s="49">
        <v>0</v>
      </c>
      <c r="E1003" s="49">
        <v>0</v>
      </c>
      <c r="F1003" s="49">
        <v>24.94</v>
      </c>
      <c r="G1003" s="49">
        <v>24.06</v>
      </c>
      <c r="H1003" s="49">
        <v>34.35</v>
      </c>
      <c r="I1003" s="49">
        <v>30.82</v>
      </c>
      <c r="J1003" s="49">
        <v>88.8</v>
      </c>
      <c r="K1003" s="49">
        <v>30.05</v>
      </c>
      <c r="L1003" s="49">
        <v>24.84</v>
      </c>
      <c r="M1003" s="49">
        <v>18.32</v>
      </c>
      <c r="N1003" s="49">
        <v>24.14</v>
      </c>
      <c r="O1003" s="49">
        <v>41.28</v>
      </c>
      <c r="P1003" s="49">
        <v>55.66</v>
      </c>
      <c r="Q1003" s="49">
        <v>45.39</v>
      </c>
      <c r="R1003" s="49">
        <v>49.17</v>
      </c>
      <c r="S1003" s="49">
        <v>202.16</v>
      </c>
    </row>
    <row r="1004" spans="1:19" ht="18">
      <c r="A1004" s="49">
        <v>4739</v>
      </c>
      <c r="B1004" s="49" t="s">
        <v>947</v>
      </c>
      <c r="C1004" s="49">
        <v>0</v>
      </c>
      <c r="D1004" s="49">
        <v>0</v>
      </c>
      <c r="E1004" s="49">
        <v>0</v>
      </c>
      <c r="F1004" s="49">
        <v>0</v>
      </c>
      <c r="G1004" s="49">
        <v>10</v>
      </c>
      <c r="H1004" s="49">
        <v>50.56</v>
      </c>
      <c r="I1004" s="49">
        <v>146.43</v>
      </c>
      <c r="J1004" s="49">
        <v>17.41</v>
      </c>
      <c r="K1004" s="49">
        <v>18.32</v>
      </c>
      <c r="L1004" s="49">
        <v>13.97</v>
      </c>
      <c r="M1004" s="49">
        <v>30.78</v>
      </c>
      <c r="N1004" s="49">
        <v>16.11</v>
      </c>
      <c r="O1004" s="49">
        <v>53.08</v>
      </c>
      <c r="P1004" s="49">
        <v>50.72</v>
      </c>
      <c r="Q1004" s="49">
        <v>34.74</v>
      </c>
      <c r="R1004" s="49">
        <v>16.14</v>
      </c>
      <c r="S1004" s="49">
        <v>0</v>
      </c>
    </row>
    <row r="1005" spans="1:19" ht="18">
      <c r="A1005" s="49">
        <v>4741</v>
      </c>
      <c r="B1005" s="49" t="s">
        <v>1565</v>
      </c>
      <c r="C1005" s="49">
        <v>0</v>
      </c>
      <c r="D1005" s="49">
        <v>0</v>
      </c>
      <c r="E1005" s="49">
        <v>0</v>
      </c>
      <c r="F1005" s="49">
        <v>0</v>
      </c>
      <c r="G1005" s="49">
        <v>0</v>
      </c>
      <c r="H1005" s="49">
        <v>0</v>
      </c>
      <c r="I1005" s="49">
        <v>0</v>
      </c>
      <c r="J1005" s="49">
        <v>0</v>
      </c>
      <c r="K1005" s="49">
        <v>0</v>
      </c>
      <c r="L1005" s="49">
        <v>0</v>
      </c>
      <c r="M1005" s="49">
        <v>27.66</v>
      </c>
      <c r="N1005" s="49">
        <v>13.22</v>
      </c>
      <c r="O1005" s="49">
        <v>21.9</v>
      </c>
      <c r="P1005" s="49">
        <v>54.6</v>
      </c>
      <c r="Q1005" s="49">
        <v>20.62</v>
      </c>
      <c r="R1005" s="49">
        <v>16.329999999999998</v>
      </c>
      <c r="S1005" s="49">
        <v>20.51</v>
      </c>
    </row>
    <row r="1006" spans="1:19" ht="18">
      <c r="A1006" s="49">
        <v>4743</v>
      </c>
      <c r="B1006" s="49" t="s">
        <v>1566</v>
      </c>
      <c r="C1006" s="49">
        <v>0</v>
      </c>
      <c r="D1006" s="49">
        <v>0</v>
      </c>
      <c r="E1006" s="49">
        <v>0</v>
      </c>
      <c r="F1006" s="49">
        <v>0</v>
      </c>
      <c r="G1006" s="49">
        <v>103.33</v>
      </c>
      <c r="H1006" s="49">
        <v>0</v>
      </c>
      <c r="I1006" s="49">
        <v>17.59</v>
      </c>
      <c r="J1006" s="49">
        <v>72.05</v>
      </c>
      <c r="K1006" s="49">
        <v>0</v>
      </c>
      <c r="L1006" s="49">
        <v>0</v>
      </c>
      <c r="M1006" s="49">
        <v>0</v>
      </c>
      <c r="N1006" s="49">
        <v>0</v>
      </c>
      <c r="O1006" s="49">
        <v>0</v>
      </c>
      <c r="P1006" s="49">
        <v>560.47</v>
      </c>
      <c r="Q1006" s="49">
        <v>0</v>
      </c>
      <c r="R1006" s="49">
        <v>84.36</v>
      </c>
      <c r="S1006" s="49">
        <v>0</v>
      </c>
    </row>
    <row r="1007" spans="1:19" ht="18">
      <c r="A1007" s="49">
        <v>4744</v>
      </c>
      <c r="B1007" s="49" t="s">
        <v>1567</v>
      </c>
      <c r="C1007" s="49">
        <v>0</v>
      </c>
      <c r="D1007" s="49">
        <v>0</v>
      </c>
      <c r="E1007" s="49">
        <v>0</v>
      </c>
      <c r="F1007" s="49">
        <v>0</v>
      </c>
      <c r="G1007" s="49">
        <v>0</v>
      </c>
      <c r="H1007" s="49">
        <v>0</v>
      </c>
      <c r="I1007" s="49">
        <v>0</v>
      </c>
      <c r="J1007" s="49">
        <v>0</v>
      </c>
      <c r="K1007" s="49">
        <v>0</v>
      </c>
      <c r="L1007" s="49">
        <v>0</v>
      </c>
      <c r="M1007" s="49">
        <v>0</v>
      </c>
      <c r="N1007" s="49">
        <v>27.42</v>
      </c>
      <c r="O1007" s="49">
        <v>17.91</v>
      </c>
      <c r="P1007" s="49">
        <v>19.18</v>
      </c>
      <c r="Q1007" s="49">
        <v>25.85</v>
      </c>
      <c r="R1007" s="49">
        <v>11.67</v>
      </c>
      <c r="S1007" s="49">
        <v>0</v>
      </c>
    </row>
    <row r="1008" spans="1:19" ht="18">
      <c r="A1008" s="49">
        <v>4745</v>
      </c>
      <c r="B1008" s="49" t="s">
        <v>1568</v>
      </c>
      <c r="C1008" s="49">
        <v>0</v>
      </c>
      <c r="D1008" s="49">
        <v>0</v>
      </c>
      <c r="E1008" s="49">
        <v>0</v>
      </c>
      <c r="F1008" s="49">
        <v>0</v>
      </c>
      <c r="G1008" s="49">
        <v>0</v>
      </c>
      <c r="H1008" s="49">
        <v>0</v>
      </c>
      <c r="I1008" s="49">
        <v>18.239999999999998</v>
      </c>
      <c r="J1008" s="49">
        <v>18.73</v>
      </c>
      <c r="K1008" s="49">
        <v>13.01</v>
      </c>
      <c r="L1008" s="49">
        <v>9.3000000000000007</v>
      </c>
      <c r="M1008" s="49">
        <v>12.83</v>
      </c>
      <c r="N1008" s="49">
        <v>9.1</v>
      </c>
      <c r="O1008" s="49">
        <v>10.119999999999999</v>
      </c>
      <c r="P1008" s="49">
        <v>16.12</v>
      </c>
      <c r="Q1008" s="49">
        <v>21.98</v>
      </c>
      <c r="R1008" s="49">
        <v>16.46</v>
      </c>
      <c r="S1008" s="49">
        <v>24.57</v>
      </c>
    </row>
    <row r="1009" spans="1:19" ht="18">
      <c r="A1009" s="49">
        <v>4746</v>
      </c>
      <c r="B1009" s="49" t="s">
        <v>948</v>
      </c>
      <c r="C1009" s="49">
        <v>0</v>
      </c>
      <c r="D1009" s="49">
        <v>0</v>
      </c>
      <c r="E1009" s="49">
        <v>0</v>
      </c>
      <c r="F1009" s="49">
        <v>0</v>
      </c>
      <c r="G1009" s="49">
        <v>19.2</v>
      </c>
      <c r="H1009" s="49">
        <v>41.17</v>
      </c>
      <c r="I1009" s="49">
        <v>0</v>
      </c>
      <c r="J1009" s="49">
        <v>21.91</v>
      </c>
      <c r="K1009" s="49">
        <v>25.63</v>
      </c>
      <c r="L1009" s="49">
        <v>19.38</v>
      </c>
      <c r="M1009" s="49">
        <v>18.5</v>
      </c>
      <c r="N1009" s="49">
        <v>36.83</v>
      </c>
      <c r="O1009" s="49">
        <v>22.03</v>
      </c>
      <c r="P1009" s="49">
        <v>11.05</v>
      </c>
      <c r="Q1009" s="49">
        <v>5.63</v>
      </c>
      <c r="R1009" s="49">
        <v>0</v>
      </c>
      <c r="S1009" s="49">
        <v>45.54</v>
      </c>
    </row>
    <row r="1010" spans="1:19" ht="18">
      <c r="A1010" s="49">
        <v>4747</v>
      </c>
      <c r="B1010" s="49" t="s">
        <v>1569</v>
      </c>
      <c r="C1010" s="49">
        <v>0</v>
      </c>
      <c r="D1010" s="49">
        <v>0</v>
      </c>
      <c r="E1010" s="49">
        <v>0</v>
      </c>
      <c r="F1010" s="49">
        <v>0</v>
      </c>
      <c r="G1010" s="49">
        <v>0</v>
      </c>
      <c r="H1010" s="49">
        <v>0</v>
      </c>
      <c r="I1010" s="49">
        <v>36.86</v>
      </c>
      <c r="J1010" s="49">
        <v>19.940000000000001</v>
      </c>
      <c r="K1010" s="49">
        <v>23.35</v>
      </c>
      <c r="L1010" s="49">
        <v>16.260000000000002</v>
      </c>
      <c r="M1010" s="49">
        <v>18.899999999999999</v>
      </c>
      <c r="N1010" s="49">
        <v>21.58</v>
      </c>
      <c r="O1010" s="49">
        <v>19.21</v>
      </c>
      <c r="P1010" s="49">
        <v>15.56</v>
      </c>
      <c r="Q1010" s="49">
        <v>21.11</v>
      </c>
      <c r="R1010" s="49">
        <v>26.12</v>
      </c>
      <c r="S1010" s="49">
        <v>41.64</v>
      </c>
    </row>
    <row r="1011" spans="1:19" ht="18">
      <c r="A1011" s="49">
        <v>4754</v>
      </c>
      <c r="B1011" s="49" t="s">
        <v>1570</v>
      </c>
      <c r="C1011" s="49">
        <v>0</v>
      </c>
      <c r="D1011" s="49">
        <v>0</v>
      </c>
      <c r="E1011" s="49">
        <v>0</v>
      </c>
      <c r="F1011" s="49">
        <v>0</v>
      </c>
      <c r="G1011" s="49">
        <v>0</v>
      </c>
      <c r="H1011" s="49">
        <v>0</v>
      </c>
      <c r="I1011" s="49">
        <v>0</v>
      </c>
      <c r="J1011" s="49">
        <v>0</v>
      </c>
      <c r="K1011" s="49">
        <v>0</v>
      </c>
      <c r="L1011" s="49">
        <v>16.68</v>
      </c>
      <c r="M1011" s="49">
        <v>14.09</v>
      </c>
      <c r="N1011" s="49">
        <v>13.1</v>
      </c>
      <c r="O1011" s="49">
        <v>13.63</v>
      </c>
      <c r="P1011" s="49">
        <v>17.61</v>
      </c>
      <c r="Q1011" s="49">
        <v>15.71</v>
      </c>
      <c r="R1011" s="49">
        <v>15.7</v>
      </c>
      <c r="S1011" s="49">
        <v>21.23</v>
      </c>
    </row>
    <row r="1012" spans="1:19" ht="18">
      <c r="A1012" s="49">
        <v>4755</v>
      </c>
      <c r="B1012" s="49" t="s">
        <v>949</v>
      </c>
      <c r="C1012" s="49">
        <v>0</v>
      </c>
      <c r="D1012" s="49">
        <v>0</v>
      </c>
      <c r="E1012" s="49">
        <v>0</v>
      </c>
      <c r="F1012" s="49">
        <v>0</v>
      </c>
      <c r="G1012" s="49">
        <v>0</v>
      </c>
      <c r="H1012" s="49">
        <v>0</v>
      </c>
      <c r="I1012" s="49">
        <v>10.47</v>
      </c>
      <c r="J1012" s="49">
        <v>18.96</v>
      </c>
      <c r="K1012" s="49">
        <v>11.19</v>
      </c>
      <c r="L1012" s="49">
        <v>9.64</v>
      </c>
      <c r="M1012" s="49">
        <v>15.01</v>
      </c>
      <c r="N1012" s="49">
        <v>9.26</v>
      </c>
      <c r="O1012" s="49">
        <v>13.06</v>
      </c>
      <c r="P1012" s="49">
        <v>15.12</v>
      </c>
      <c r="Q1012" s="49">
        <v>37.69</v>
      </c>
      <c r="R1012" s="49">
        <v>10.83</v>
      </c>
      <c r="S1012" s="49">
        <v>31.93</v>
      </c>
    </row>
    <row r="1013" spans="1:19" ht="18">
      <c r="A1013" s="49">
        <v>4760</v>
      </c>
      <c r="B1013" s="49" t="s">
        <v>1571</v>
      </c>
      <c r="C1013" s="49">
        <v>0</v>
      </c>
      <c r="D1013" s="49">
        <v>0</v>
      </c>
      <c r="E1013" s="49">
        <v>0</v>
      </c>
      <c r="F1013" s="49">
        <v>0</v>
      </c>
      <c r="G1013" s="49">
        <v>0</v>
      </c>
      <c r="H1013" s="49">
        <v>0</v>
      </c>
      <c r="I1013" s="49">
        <v>0</v>
      </c>
      <c r="J1013" s="49">
        <v>0</v>
      </c>
      <c r="K1013" s="49">
        <v>0</v>
      </c>
      <c r="L1013" s="49">
        <v>0</v>
      </c>
      <c r="M1013" s="49">
        <v>0</v>
      </c>
      <c r="N1013" s="49">
        <v>0</v>
      </c>
      <c r="O1013" s="49">
        <v>32.57</v>
      </c>
      <c r="P1013" s="49">
        <v>27.18</v>
      </c>
      <c r="Q1013" s="49">
        <v>14.54</v>
      </c>
      <c r="R1013" s="49">
        <v>11.96</v>
      </c>
      <c r="S1013" s="49">
        <v>21.99</v>
      </c>
    </row>
    <row r="1014" spans="1:19" ht="18">
      <c r="A1014" s="49">
        <v>4763</v>
      </c>
      <c r="B1014" s="49" t="s">
        <v>950</v>
      </c>
      <c r="C1014" s="49">
        <v>0</v>
      </c>
      <c r="D1014" s="49">
        <v>0</v>
      </c>
      <c r="E1014" s="49">
        <v>0</v>
      </c>
      <c r="F1014" s="49">
        <v>0</v>
      </c>
      <c r="G1014" s="49">
        <v>0</v>
      </c>
      <c r="H1014" s="49">
        <v>0</v>
      </c>
      <c r="I1014" s="49">
        <v>0</v>
      </c>
      <c r="J1014" s="49">
        <v>0</v>
      </c>
      <c r="K1014" s="49">
        <v>16.149999999999999</v>
      </c>
      <c r="L1014" s="49">
        <v>19.87</v>
      </c>
      <c r="M1014" s="49">
        <v>41.71</v>
      </c>
      <c r="N1014" s="49">
        <v>27.76</v>
      </c>
      <c r="O1014" s="49">
        <v>21.29</v>
      </c>
      <c r="P1014" s="49">
        <v>14.97</v>
      </c>
      <c r="Q1014" s="49">
        <v>12.09</v>
      </c>
      <c r="R1014" s="49">
        <v>11.97</v>
      </c>
      <c r="S1014" s="49">
        <v>16.649999999999999</v>
      </c>
    </row>
    <row r="1015" spans="1:19" ht="18">
      <c r="A1015" s="49">
        <v>4764</v>
      </c>
      <c r="B1015" s="49" t="s">
        <v>951</v>
      </c>
      <c r="C1015" s="49">
        <v>0</v>
      </c>
      <c r="D1015" s="49">
        <v>0</v>
      </c>
      <c r="E1015" s="49">
        <v>0</v>
      </c>
      <c r="F1015" s="49">
        <v>0</v>
      </c>
      <c r="G1015" s="49">
        <v>0</v>
      </c>
      <c r="H1015" s="49">
        <v>0</v>
      </c>
      <c r="I1015" s="49">
        <v>0</v>
      </c>
      <c r="J1015" s="49">
        <v>0</v>
      </c>
      <c r="K1015" s="49">
        <v>0</v>
      </c>
      <c r="L1015" s="49">
        <v>0</v>
      </c>
      <c r="M1015" s="49">
        <v>0</v>
      </c>
      <c r="N1015" s="49">
        <v>11.25</v>
      </c>
      <c r="O1015" s="49">
        <v>16.82</v>
      </c>
      <c r="P1015" s="49">
        <v>103.97</v>
      </c>
      <c r="Q1015" s="49">
        <v>43.97</v>
      </c>
      <c r="R1015" s="49">
        <v>54.17</v>
      </c>
      <c r="S1015" s="49">
        <v>0</v>
      </c>
    </row>
    <row r="1016" spans="1:19" ht="18">
      <c r="A1016" s="49">
        <v>4766</v>
      </c>
      <c r="B1016" s="49" t="s">
        <v>952</v>
      </c>
      <c r="C1016" s="49">
        <v>0</v>
      </c>
      <c r="D1016" s="49">
        <v>0</v>
      </c>
      <c r="E1016" s="49">
        <v>0</v>
      </c>
      <c r="F1016" s="49">
        <v>0</v>
      </c>
      <c r="G1016" s="49">
        <v>0</v>
      </c>
      <c r="H1016" s="49">
        <v>0</v>
      </c>
      <c r="I1016" s="49">
        <v>0</v>
      </c>
      <c r="J1016" s="49">
        <v>0</v>
      </c>
      <c r="K1016" s="49">
        <v>0</v>
      </c>
      <c r="L1016" s="49">
        <v>0</v>
      </c>
      <c r="M1016" s="49">
        <v>0</v>
      </c>
      <c r="N1016" s="49">
        <v>15.26</v>
      </c>
      <c r="O1016" s="49">
        <v>17.5</v>
      </c>
      <c r="P1016" s="49">
        <v>15.57</v>
      </c>
      <c r="Q1016" s="49">
        <v>15.81</v>
      </c>
      <c r="R1016" s="49">
        <v>10.220000000000001</v>
      </c>
      <c r="S1016" s="49">
        <v>15.93</v>
      </c>
    </row>
    <row r="1017" spans="1:19" ht="18">
      <c r="A1017" s="49">
        <v>4767</v>
      </c>
      <c r="B1017" s="49" t="s">
        <v>1572</v>
      </c>
      <c r="C1017" s="49">
        <v>0</v>
      </c>
      <c r="D1017" s="49">
        <v>0</v>
      </c>
      <c r="E1017" s="49">
        <v>0</v>
      </c>
      <c r="F1017" s="49">
        <v>0</v>
      </c>
      <c r="G1017" s="49">
        <v>0</v>
      </c>
      <c r="H1017" s="49">
        <v>0</v>
      </c>
      <c r="I1017" s="49">
        <v>0</v>
      </c>
      <c r="J1017" s="49">
        <v>0</v>
      </c>
      <c r="K1017" s="49">
        <v>0</v>
      </c>
      <c r="L1017" s="49">
        <v>0</v>
      </c>
      <c r="M1017" s="49">
        <v>0</v>
      </c>
      <c r="N1017" s="49">
        <v>13.7</v>
      </c>
      <c r="O1017" s="49">
        <v>16.510000000000002</v>
      </c>
      <c r="P1017" s="49">
        <v>10.14</v>
      </c>
      <c r="Q1017" s="49">
        <v>10.67</v>
      </c>
      <c r="R1017" s="49">
        <v>10.210000000000001</v>
      </c>
      <c r="S1017" s="49">
        <v>12.54</v>
      </c>
    </row>
    <row r="1018" spans="1:19" ht="18">
      <c r="A1018" s="49">
        <v>4768</v>
      </c>
      <c r="B1018" s="49" t="s">
        <v>1573</v>
      </c>
      <c r="C1018" s="49">
        <v>0</v>
      </c>
      <c r="D1018" s="49">
        <v>0</v>
      </c>
      <c r="E1018" s="49">
        <v>0</v>
      </c>
      <c r="F1018" s="49">
        <v>0</v>
      </c>
      <c r="G1018" s="49">
        <v>0</v>
      </c>
      <c r="H1018" s="49">
        <v>0</v>
      </c>
      <c r="I1018" s="49">
        <v>0</v>
      </c>
      <c r="J1018" s="49">
        <v>0</v>
      </c>
      <c r="K1018" s="49">
        <v>0</v>
      </c>
      <c r="L1018" s="49">
        <v>0</v>
      </c>
      <c r="M1018" s="49">
        <v>0</v>
      </c>
      <c r="N1018" s="49">
        <v>0</v>
      </c>
      <c r="O1018" s="49">
        <v>0</v>
      </c>
      <c r="P1018" s="49">
        <v>0</v>
      </c>
      <c r="Q1018" s="49">
        <v>0</v>
      </c>
      <c r="R1018" s="49">
        <v>30.58</v>
      </c>
      <c r="S1018" s="49">
        <v>48.73</v>
      </c>
    </row>
    <row r="1019" spans="1:19" ht="18">
      <c r="A1019" s="49">
        <v>4770</v>
      </c>
      <c r="B1019" s="49" t="s">
        <v>953</v>
      </c>
      <c r="C1019" s="49">
        <v>0</v>
      </c>
      <c r="D1019" s="49">
        <v>0</v>
      </c>
      <c r="E1019" s="49">
        <v>0</v>
      </c>
      <c r="F1019" s="49">
        <v>0</v>
      </c>
      <c r="G1019" s="49">
        <v>0</v>
      </c>
      <c r="H1019" s="49">
        <v>0</v>
      </c>
      <c r="I1019" s="49">
        <v>0</v>
      </c>
      <c r="J1019" s="49">
        <v>0</v>
      </c>
      <c r="K1019" s="49">
        <v>0</v>
      </c>
      <c r="L1019" s="49">
        <v>0</v>
      </c>
      <c r="M1019" s="49">
        <v>0</v>
      </c>
      <c r="N1019" s="49">
        <v>0</v>
      </c>
      <c r="O1019" s="49">
        <v>0</v>
      </c>
      <c r="P1019" s="49">
        <v>0</v>
      </c>
      <c r="Q1019" s="49">
        <v>27.54</v>
      </c>
      <c r="R1019" s="49">
        <v>16.28</v>
      </c>
      <c r="S1019" s="49">
        <v>14.39</v>
      </c>
    </row>
    <row r="1020" spans="1:19" ht="18">
      <c r="A1020" s="49">
        <v>4804</v>
      </c>
      <c r="B1020" s="49" t="s">
        <v>1574</v>
      </c>
      <c r="C1020" s="49">
        <v>0</v>
      </c>
      <c r="D1020" s="49">
        <v>0</v>
      </c>
      <c r="E1020" s="49">
        <v>0</v>
      </c>
      <c r="F1020" s="49">
        <v>0</v>
      </c>
      <c r="G1020" s="49">
        <v>0</v>
      </c>
      <c r="H1020" s="49">
        <v>0</v>
      </c>
      <c r="I1020" s="49">
        <v>0</v>
      </c>
      <c r="J1020" s="49">
        <v>0</v>
      </c>
      <c r="K1020" s="49">
        <v>30.35</v>
      </c>
      <c r="L1020" s="49">
        <v>19.489999999999998</v>
      </c>
      <c r="M1020" s="49">
        <v>10.46</v>
      </c>
      <c r="N1020" s="49">
        <v>0</v>
      </c>
      <c r="O1020" s="49">
        <v>0</v>
      </c>
      <c r="P1020" s="49">
        <v>0</v>
      </c>
      <c r="Q1020" s="49">
        <v>100.5</v>
      </c>
      <c r="R1020" s="49">
        <v>0</v>
      </c>
      <c r="S1020" s="49">
        <v>0</v>
      </c>
    </row>
    <row r="1021" spans="1:19" ht="18">
      <c r="A1021" s="49">
        <v>4806</v>
      </c>
      <c r="B1021" s="49" t="s">
        <v>1575</v>
      </c>
      <c r="C1021" s="49">
        <v>0</v>
      </c>
      <c r="D1021" s="49">
        <v>0</v>
      </c>
      <c r="E1021" s="49">
        <v>0</v>
      </c>
      <c r="F1021" s="49">
        <v>0</v>
      </c>
      <c r="G1021" s="49">
        <v>0</v>
      </c>
      <c r="H1021" s="49">
        <v>0</v>
      </c>
      <c r="I1021" s="49">
        <v>0</v>
      </c>
      <c r="J1021" s="49">
        <v>0</v>
      </c>
      <c r="K1021" s="49">
        <v>0</v>
      </c>
      <c r="L1021" s="49">
        <v>51.54</v>
      </c>
      <c r="M1021" s="49">
        <v>27.25</v>
      </c>
      <c r="N1021" s="49">
        <v>0</v>
      </c>
      <c r="O1021" s="49">
        <v>0</v>
      </c>
      <c r="P1021" s="49">
        <v>0</v>
      </c>
      <c r="Q1021" s="49">
        <v>0</v>
      </c>
      <c r="R1021" s="49">
        <v>0</v>
      </c>
      <c r="S1021" s="49">
        <v>0</v>
      </c>
    </row>
    <row r="1022" spans="1:19" ht="18">
      <c r="A1022" s="49">
        <v>4807</v>
      </c>
      <c r="B1022" s="49" t="s">
        <v>954</v>
      </c>
      <c r="C1022" s="49">
        <v>0</v>
      </c>
      <c r="D1022" s="49">
        <v>0</v>
      </c>
      <c r="E1022" s="49">
        <v>0</v>
      </c>
      <c r="F1022" s="49">
        <v>0</v>
      </c>
      <c r="G1022" s="49">
        <v>0</v>
      </c>
      <c r="H1022" s="49">
        <v>0</v>
      </c>
      <c r="I1022" s="49">
        <v>0</v>
      </c>
      <c r="J1022" s="49">
        <v>0</v>
      </c>
      <c r="K1022" s="49">
        <v>0</v>
      </c>
      <c r="L1022" s="49">
        <v>0</v>
      </c>
      <c r="M1022" s="49">
        <v>16.829999999999998</v>
      </c>
      <c r="N1022" s="49">
        <v>9.44</v>
      </c>
      <c r="O1022" s="49">
        <v>0</v>
      </c>
      <c r="P1022" s="49">
        <v>9.91</v>
      </c>
      <c r="Q1022" s="49">
        <v>10.71</v>
      </c>
      <c r="R1022" s="49">
        <v>8.94</v>
      </c>
      <c r="S1022" s="49">
        <v>0</v>
      </c>
    </row>
    <row r="1023" spans="1:19" ht="18">
      <c r="A1023" s="49">
        <v>4903</v>
      </c>
      <c r="B1023" s="49" t="s">
        <v>1576</v>
      </c>
      <c r="C1023" s="49">
        <v>0</v>
      </c>
      <c r="D1023" s="49">
        <v>6.18</v>
      </c>
      <c r="E1023" s="49">
        <v>48.67</v>
      </c>
      <c r="F1023" s="49">
        <v>18.54</v>
      </c>
      <c r="G1023" s="49">
        <v>9.49</v>
      </c>
      <c r="H1023" s="49">
        <v>13.26</v>
      </c>
      <c r="I1023" s="49">
        <v>0</v>
      </c>
      <c r="J1023" s="49">
        <v>94.62</v>
      </c>
      <c r="K1023" s="49">
        <v>15.68</v>
      </c>
      <c r="L1023" s="49">
        <v>0</v>
      </c>
      <c r="M1023" s="49">
        <v>0</v>
      </c>
      <c r="N1023" s="49">
        <v>0</v>
      </c>
      <c r="O1023" s="49">
        <v>0</v>
      </c>
      <c r="P1023" s="49">
        <v>0</v>
      </c>
      <c r="Q1023" s="49">
        <v>0</v>
      </c>
      <c r="R1023" s="49">
        <v>0</v>
      </c>
      <c r="S1023" s="49">
        <v>0</v>
      </c>
    </row>
    <row r="1024" spans="1:19" ht="18">
      <c r="A1024" s="49">
        <v>4904</v>
      </c>
      <c r="B1024" s="49" t="s">
        <v>955</v>
      </c>
      <c r="C1024" s="49">
        <v>13.14</v>
      </c>
      <c r="D1024" s="49">
        <v>11.55</v>
      </c>
      <c r="E1024" s="49">
        <v>13.39</v>
      </c>
      <c r="F1024" s="49">
        <v>15.55</v>
      </c>
      <c r="G1024" s="49">
        <v>21.31</v>
      </c>
      <c r="H1024" s="49">
        <v>22.8</v>
      </c>
      <c r="I1024" s="49">
        <v>18.5</v>
      </c>
      <c r="J1024" s="49">
        <v>19.62</v>
      </c>
      <c r="K1024" s="49">
        <v>19.309999999999999</v>
      </c>
      <c r="L1024" s="49">
        <v>20.83</v>
      </c>
      <c r="M1024" s="49">
        <v>22.21</v>
      </c>
      <c r="N1024" s="49">
        <v>24.89</v>
      </c>
      <c r="O1024" s="49">
        <v>28.5</v>
      </c>
      <c r="P1024" s="49">
        <v>23.18</v>
      </c>
      <c r="Q1024" s="49">
        <v>23.32</v>
      </c>
      <c r="R1024" s="49">
        <v>23.79</v>
      </c>
      <c r="S1024" s="49">
        <v>23.89</v>
      </c>
    </row>
    <row r="1025" spans="1:19" ht="18">
      <c r="A1025" s="49">
        <v>4905</v>
      </c>
      <c r="B1025" s="49" t="s">
        <v>1577</v>
      </c>
      <c r="C1025" s="49">
        <v>14.12</v>
      </c>
      <c r="D1025" s="49">
        <v>8.94</v>
      </c>
      <c r="E1025" s="49">
        <v>0</v>
      </c>
      <c r="F1025" s="49">
        <v>13.27</v>
      </c>
      <c r="G1025" s="49">
        <v>8.6</v>
      </c>
      <c r="H1025" s="49">
        <v>10.58</v>
      </c>
      <c r="I1025" s="49">
        <v>55.56</v>
      </c>
      <c r="J1025" s="49">
        <v>80.61</v>
      </c>
      <c r="K1025" s="49">
        <v>40.56</v>
      </c>
      <c r="L1025" s="49">
        <v>5.98</v>
      </c>
      <c r="M1025" s="49">
        <v>4.71</v>
      </c>
      <c r="N1025" s="49">
        <v>20.99</v>
      </c>
      <c r="O1025" s="49">
        <v>0</v>
      </c>
      <c r="P1025" s="49">
        <v>0</v>
      </c>
      <c r="Q1025" s="49">
        <v>17.7</v>
      </c>
      <c r="R1025" s="49">
        <v>0</v>
      </c>
      <c r="S1025" s="49">
        <v>12.93</v>
      </c>
    </row>
    <row r="1026" spans="1:19" ht="18">
      <c r="A1026" s="49">
        <v>4906</v>
      </c>
      <c r="B1026" s="49" t="s">
        <v>956</v>
      </c>
      <c r="C1026" s="49">
        <v>13.14</v>
      </c>
      <c r="D1026" s="49">
        <v>11.7</v>
      </c>
      <c r="E1026" s="49">
        <v>23.69</v>
      </c>
      <c r="F1026" s="49">
        <v>23.14</v>
      </c>
      <c r="G1026" s="49">
        <v>340</v>
      </c>
      <c r="H1026" s="49">
        <v>12.77</v>
      </c>
      <c r="I1026" s="49">
        <v>15.84</v>
      </c>
      <c r="J1026" s="49">
        <v>68.290000000000006</v>
      </c>
      <c r="K1026" s="49">
        <v>25.48</v>
      </c>
      <c r="L1026" s="49">
        <v>17.190000000000001</v>
      </c>
      <c r="M1026" s="49">
        <v>14.68</v>
      </c>
      <c r="N1026" s="49">
        <v>0</v>
      </c>
      <c r="O1026" s="49">
        <v>31.08</v>
      </c>
      <c r="P1026" s="49">
        <v>9.26</v>
      </c>
      <c r="Q1026" s="49">
        <v>22.75</v>
      </c>
      <c r="R1026" s="49">
        <v>17.559999999999999</v>
      </c>
      <c r="S1026" s="49">
        <v>13.17</v>
      </c>
    </row>
    <row r="1027" spans="1:19" ht="18">
      <c r="A1027" s="49">
        <v>4907</v>
      </c>
      <c r="B1027" s="49" t="s">
        <v>1578</v>
      </c>
      <c r="C1027" s="49">
        <v>0</v>
      </c>
      <c r="D1027" s="49">
        <v>0</v>
      </c>
      <c r="E1027" s="49">
        <v>0</v>
      </c>
      <c r="F1027" s="49">
        <v>0</v>
      </c>
      <c r="G1027" s="49">
        <v>0</v>
      </c>
      <c r="H1027" s="49">
        <v>0</v>
      </c>
      <c r="I1027" s="49">
        <v>14.61</v>
      </c>
      <c r="J1027" s="49">
        <v>14.61</v>
      </c>
      <c r="K1027" s="49">
        <v>8.01</v>
      </c>
      <c r="L1027" s="49">
        <v>15.58</v>
      </c>
      <c r="M1027" s="49">
        <v>5.82</v>
      </c>
      <c r="N1027" s="49">
        <v>5.65</v>
      </c>
      <c r="O1027" s="49">
        <v>79.430000000000007</v>
      </c>
      <c r="P1027" s="49">
        <v>20.37</v>
      </c>
      <c r="Q1027" s="49">
        <v>16.850000000000001</v>
      </c>
      <c r="R1027" s="49">
        <v>20.2</v>
      </c>
      <c r="S1027" s="49">
        <v>181.82</v>
      </c>
    </row>
    <row r="1028" spans="1:19" ht="18">
      <c r="A1028" s="49">
        <v>4908</v>
      </c>
      <c r="B1028" s="49" t="s">
        <v>1579</v>
      </c>
      <c r="C1028" s="49">
        <v>11.92</v>
      </c>
      <c r="D1028" s="49">
        <v>5.76</v>
      </c>
      <c r="E1028" s="49">
        <v>29.41</v>
      </c>
      <c r="F1028" s="49">
        <v>12.88</v>
      </c>
      <c r="G1028" s="49">
        <v>11.8</v>
      </c>
      <c r="H1028" s="49">
        <v>10.57</v>
      </c>
      <c r="I1028" s="49">
        <v>15.96</v>
      </c>
      <c r="J1028" s="49">
        <v>11.65</v>
      </c>
      <c r="K1028" s="49">
        <v>14.8</v>
      </c>
      <c r="L1028" s="49">
        <v>16.41</v>
      </c>
      <c r="M1028" s="49">
        <v>17.95</v>
      </c>
      <c r="N1028" s="49">
        <v>10.16</v>
      </c>
      <c r="O1028" s="49">
        <v>25.83</v>
      </c>
      <c r="P1028" s="49">
        <v>19.63</v>
      </c>
      <c r="Q1028" s="49">
        <v>23.63</v>
      </c>
      <c r="R1028" s="49">
        <v>8.6300000000000008</v>
      </c>
      <c r="S1028" s="49">
        <v>33.590000000000003</v>
      </c>
    </row>
    <row r="1029" spans="1:19" ht="18">
      <c r="A1029" s="49">
        <v>4909</v>
      </c>
      <c r="B1029" s="49" t="s">
        <v>1580</v>
      </c>
      <c r="C1029" s="49">
        <v>10.57</v>
      </c>
      <c r="D1029" s="49">
        <v>8.91</v>
      </c>
      <c r="E1029" s="49">
        <v>17.920000000000002</v>
      </c>
      <c r="F1029" s="49">
        <v>16.04</v>
      </c>
      <c r="G1029" s="49">
        <v>11.55</v>
      </c>
      <c r="H1029" s="49">
        <v>14.17</v>
      </c>
      <c r="I1029" s="49">
        <v>13.46</v>
      </c>
      <c r="J1029" s="49">
        <v>11.06</v>
      </c>
      <c r="K1029" s="49">
        <v>9.1199999999999992</v>
      </c>
      <c r="L1029" s="49">
        <v>9.82</v>
      </c>
      <c r="M1029" s="49">
        <v>13.35</v>
      </c>
      <c r="N1029" s="49">
        <v>19.39</v>
      </c>
      <c r="O1029" s="49">
        <v>32.799999999999997</v>
      </c>
      <c r="P1029" s="49">
        <v>140</v>
      </c>
      <c r="Q1029" s="49">
        <v>0</v>
      </c>
      <c r="R1029" s="49">
        <v>0</v>
      </c>
      <c r="S1029" s="49">
        <v>0</v>
      </c>
    </row>
    <row r="1030" spans="1:19" ht="18">
      <c r="A1030" s="49">
        <v>4911</v>
      </c>
      <c r="B1030" s="49" t="s">
        <v>1581</v>
      </c>
      <c r="C1030" s="49">
        <v>0</v>
      </c>
      <c r="D1030" s="49">
        <v>0</v>
      </c>
      <c r="E1030" s="49">
        <v>0</v>
      </c>
      <c r="F1030" s="49">
        <v>0</v>
      </c>
      <c r="G1030" s="49">
        <v>0</v>
      </c>
      <c r="H1030" s="49">
        <v>564.54999999999995</v>
      </c>
      <c r="I1030" s="49">
        <v>0</v>
      </c>
      <c r="J1030" s="49">
        <v>688.46</v>
      </c>
      <c r="K1030" s="49">
        <v>0</v>
      </c>
      <c r="L1030" s="49">
        <v>0</v>
      </c>
      <c r="M1030" s="49">
        <v>0</v>
      </c>
      <c r="N1030" s="49">
        <v>0</v>
      </c>
      <c r="O1030" s="49">
        <v>0</v>
      </c>
      <c r="P1030" s="49">
        <v>0</v>
      </c>
      <c r="Q1030" s="49">
        <v>0</v>
      </c>
      <c r="R1030" s="49">
        <v>0</v>
      </c>
      <c r="S1030" s="49">
        <v>54.21</v>
      </c>
    </row>
    <row r="1031" spans="1:19" ht="18">
      <c r="A1031" s="49">
        <v>4912</v>
      </c>
      <c r="B1031" s="49" t="s">
        <v>957</v>
      </c>
      <c r="C1031" s="49">
        <v>0</v>
      </c>
      <c r="D1031" s="49">
        <v>0</v>
      </c>
      <c r="E1031" s="49">
        <v>0</v>
      </c>
      <c r="F1031" s="49">
        <v>0</v>
      </c>
      <c r="G1031" s="49">
        <v>8.4499999999999993</v>
      </c>
      <c r="H1031" s="49">
        <v>7.69</v>
      </c>
      <c r="I1031" s="49">
        <v>13.89</v>
      </c>
      <c r="J1031" s="49">
        <v>14.46</v>
      </c>
      <c r="K1031" s="49">
        <v>14.63</v>
      </c>
      <c r="L1031" s="49">
        <v>28.86</v>
      </c>
      <c r="M1031" s="49">
        <v>24.69</v>
      </c>
      <c r="N1031" s="49">
        <v>20.87</v>
      </c>
      <c r="O1031" s="49">
        <v>15.96</v>
      </c>
      <c r="P1031" s="49">
        <v>13.18</v>
      </c>
      <c r="Q1031" s="49">
        <v>14.75</v>
      </c>
      <c r="R1031" s="49">
        <v>11.74</v>
      </c>
      <c r="S1031" s="49">
        <v>29.53</v>
      </c>
    </row>
    <row r="1032" spans="1:19" ht="18">
      <c r="A1032" s="49">
        <v>4915</v>
      </c>
      <c r="B1032" s="49" t="s">
        <v>958</v>
      </c>
      <c r="C1032" s="49">
        <v>0</v>
      </c>
      <c r="D1032" s="49">
        <v>0</v>
      </c>
      <c r="E1032" s="49">
        <v>0</v>
      </c>
      <c r="F1032" s="49">
        <v>0</v>
      </c>
      <c r="G1032" s="49">
        <v>0</v>
      </c>
      <c r="H1032" s="49">
        <v>10.06</v>
      </c>
      <c r="I1032" s="49">
        <v>11.65</v>
      </c>
      <c r="J1032" s="49">
        <v>14.13</v>
      </c>
      <c r="K1032" s="49">
        <v>11.53</v>
      </c>
      <c r="L1032" s="49">
        <v>10.18</v>
      </c>
      <c r="M1032" s="49">
        <v>17.399999999999999</v>
      </c>
      <c r="N1032" s="49">
        <v>10.15</v>
      </c>
      <c r="O1032" s="49">
        <v>14.12</v>
      </c>
      <c r="P1032" s="49">
        <v>10.199999999999999</v>
      </c>
      <c r="Q1032" s="49">
        <v>11.89</v>
      </c>
      <c r="R1032" s="49">
        <v>9.6</v>
      </c>
      <c r="S1032" s="49">
        <v>12.09</v>
      </c>
    </row>
    <row r="1033" spans="1:19" ht="18">
      <c r="A1033" s="49">
        <v>4916</v>
      </c>
      <c r="B1033" s="49" t="s">
        <v>959</v>
      </c>
      <c r="C1033" s="49">
        <v>0</v>
      </c>
      <c r="D1033" s="49">
        <v>0</v>
      </c>
      <c r="E1033" s="49">
        <v>0</v>
      </c>
      <c r="F1033" s="49">
        <v>0</v>
      </c>
      <c r="G1033" s="49">
        <v>0</v>
      </c>
      <c r="H1033" s="49">
        <v>0</v>
      </c>
      <c r="I1033" s="49">
        <v>18.07</v>
      </c>
      <c r="J1033" s="49">
        <v>63</v>
      </c>
      <c r="K1033" s="49">
        <v>0</v>
      </c>
      <c r="L1033" s="49">
        <v>23.44</v>
      </c>
      <c r="M1033" s="49">
        <v>29.06</v>
      </c>
      <c r="N1033" s="49">
        <v>11.32</v>
      </c>
      <c r="O1033" s="49">
        <v>8.17</v>
      </c>
      <c r="P1033" s="49">
        <v>0</v>
      </c>
      <c r="Q1033" s="49">
        <v>124.62</v>
      </c>
      <c r="R1033" s="49">
        <v>42.38</v>
      </c>
      <c r="S1033" s="49">
        <v>19.59</v>
      </c>
    </row>
    <row r="1034" spans="1:19" ht="18">
      <c r="A1034" s="49">
        <v>4919</v>
      </c>
      <c r="B1034" s="49" t="s">
        <v>960</v>
      </c>
      <c r="C1034" s="49">
        <v>0</v>
      </c>
      <c r="D1034" s="49">
        <v>0</v>
      </c>
      <c r="E1034" s="49">
        <v>0</v>
      </c>
      <c r="F1034" s="49">
        <v>26.6</v>
      </c>
      <c r="G1034" s="49">
        <v>9.19</v>
      </c>
      <c r="H1034" s="49">
        <v>10.36</v>
      </c>
      <c r="I1034" s="49">
        <v>19.690000000000001</v>
      </c>
      <c r="J1034" s="49">
        <v>17.59</v>
      </c>
      <c r="K1034" s="49">
        <v>14.71</v>
      </c>
      <c r="L1034" s="49">
        <v>14.66</v>
      </c>
      <c r="M1034" s="49">
        <v>19.690000000000001</v>
      </c>
      <c r="N1034" s="49">
        <v>11.78</v>
      </c>
      <c r="O1034" s="49">
        <v>17.98</v>
      </c>
      <c r="P1034" s="49">
        <v>21.57</v>
      </c>
      <c r="Q1034" s="49">
        <v>30.06</v>
      </c>
      <c r="R1034" s="49">
        <v>10.5</v>
      </c>
      <c r="S1034" s="49">
        <v>24.57</v>
      </c>
    </row>
    <row r="1035" spans="1:19" ht="18">
      <c r="A1035" s="49">
        <v>4923</v>
      </c>
      <c r="B1035" s="49" t="s">
        <v>1582</v>
      </c>
      <c r="C1035" s="49">
        <v>0</v>
      </c>
      <c r="D1035" s="49">
        <v>0</v>
      </c>
      <c r="E1035" s="49">
        <v>0</v>
      </c>
      <c r="F1035" s="49">
        <v>0</v>
      </c>
      <c r="G1035" s="49">
        <v>0</v>
      </c>
      <c r="H1035" s="49">
        <v>0</v>
      </c>
      <c r="I1035" s="49">
        <v>0</v>
      </c>
      <c r="J1035" s="49">
        <v>0</v>
      </c>
      <c r="K1035" s="49">
        <v>0</v>
      </c>
      <c r="L1035" s="49">
        <v>0</v>
      </c>
      <c r="M1035" s="49">
        <v>0</v>
      </c>
      <c r="N1035" s="49">
        <v>0</v>
      </c>
      <c r="O1035" s="49">
        <v>0</v>
      </c>
      <c r="P1035" s="49">
        <v>0</v>
      </c>
      <c r="Q1035" s="49">
        <v>0</v>
      </c>
      <c r="R1035" s="49">
        <v>6.85</v>
      </c>
      <c r="S1035" s="49">
        <v>93.4</v>
      </c>
    </row>
    <row r="1036" spans="1:19" ht="18">
      <c r="A1036" s="49">
        <v>4924</v>
      </c>
      <c r="B1036" s="49" t="s">
        <v>1583</v>
      </c>
      <c r="C1036" s="49">
        <v>0</v>
      </c>
      <c r="D1036" s="49">
        <v>0</v>
      </c>
      <c r="E1036" s="49">
        <v>0</v>
      </c>
      <c r="F1036" s="49">
        <v>0</v>
      </c>
      <c r="G1036" s="49">
        <v>16.25</v>
      </c>
      <c r="H1036" s="49">
        <v>0</v>
      </c>
      <c r="I1036" s="49">
        <v>0</v>
      </c>
      <c r="J1036" s="49">
        <v>0</v>
      </c>
      <c r="K1036" s="49">
        <v>0</v>
      </c>
      <c r="L1036" s="49">
        <v>0</v>
      </c>
      <c r="M1036" s="49">
        <v>0</v>
      </c>
      <c r="N1036" s="49">
        <v>0</v>
      </c>
      <c r="O1036" s="49">
        <v>64.290000000000006</v>
      </c>
      <c r="P1036" s="49">
        <v>17.600000000000001</v>
      </c>
      <c r="Q1036" s="49">
        <v>23.41</v>
      </c>
      <c r="R1036" s="49">
        <v>11.99</v>
      </c>
      <c r="S1036" s="49">
        <v>0</v>
      </c>
    </row>
    <row r="1037" spans="1:19" ht="18">
      <c r="A1037" s="49">
        <v>4927</v>
      </c>
      <c r="B1037" s="49" t="s">
        <v>961</v>
      </c>
      <c r="C1037" s="49">
        <v>0</v>
      </c>
      <c r="D1037" s="49">
        <v>0</v>
      </c>
      <c r="E1037" s="49">
        <v>0</v>
      </c>
      <c r="F1037" s="49">
        <v>0</v>
      </c>
      <c r="G1037" s="49">
        <v>6.06</v>
      </c>
      <c r="H1037" s="49">
        <v>6.38</v>
      </c>
      <c r="I1037" s="49">
        <v>8.9700000000000006</v>
      </c>
      <c r="J1037" s="49">
        <v>12.61</v>
      </c>
      <c r="K1037" s="49">
        <v>9.9499999999999993</v>
      </c>
      <c r="L1037" s="49">
        <v>7.78</v>
      </c>
      <c r="M1037" s="49">
        <v>251.25</v>
      </c>
      <c r="N1037" s="49">
        <v>9.7100000000000009</v>
      </c>
      <c r="O1037" s="49">
        <v>8.39</v>
      </c>
      <c r="P1037" s="49">
        <v>12.56</v>
      </c>
      <c r="Q1037" s="49">
        <v>23.94</v>
      </c>
      <c r="R1037" s="49">
        <v>7.31</v>
      </c>
      <c r="S1037" s="49">
        <v>0</v>
      </c>
    </row>
    <row r="1038" spans="1:19" ht="18">
      <c r="A1038" s="49">
        <v>4930</v>
      </c>
      <c r="B1038" s="49" t="s">
        <v>962</v>
      </c>
      <c r="C1038" s="49">
        <v>0</v>
      </c>
      <c r="D1038" s="49">
        <v>0</v>
      </c>
      <c r="E1038" s="49">
        <v>0</v>
      </c>
      <c r="F1038" s="49">
        <v>36.67</v>
      </c>
      <c r="G1038" s="49">
        <v>30.4</v>
      </c>
      <c r="H1038" s="49">
        <v>0</v>
      </c>
      <c r="I1038" s="49">
        <v>0</v>
      </c>
      <c r="J1038" s="49">
        <v>0</v>
      </c>
      <c r="K1038" s="49">
        <v>2.73</v>
      </c>
      <c r="L1038" s="49">
        <v>46.43</v>
      </c>
      <c r="M1038" s="49">
        <v>0</v>
      </c>
      <c r="N1038" s="49">
        <v>0</v>
      </c>
      <c r="O1038" s="49">
        <v>41.73</v>
      </c>
      <c r="P1038" s="49">
        <v>14.68</v>
      </c>
      <c r="Q1038" s="49">
        <v>7.57</v>
      </c>
      <c r="R1038" s="49">
        <v>7.14</v>
      </c>
      <c r="S1038" s="49">
        <v>9.57</v>
      </c>
    </row>
    <row r="1039" spans="1:19" ht="18">
      <c r="A1039" s="49">
        <v>4931</v>
      </c>
      <c r="B1039" s="49" t="s">
        <v>1584</v>
      </c>
      <c r="C1039" s="49">
        <v>0</v>
      </c>
      <c r="D1039" s="49">
        <v>0</v>
      </c>
      <c r="E1039" s="49">
        <v>0</v>
      </c>
      <c r="F1039" s="49">
        <v>0</v>
      </c>
      <c r="G1039" s="49">
        <v>0</v>
      </c>
      <c r="H1039" s="49">
        <v>0</v>
      </c>
      <c r="I1039" s="49">
        <v>0</v>
      </c>
      <c r="J1039" s="49">
        <v>0</v>
      </c>
      <c r="K1039" s="49">
        <v>0</v>
      </c>
      <c r="L1039" s="49">
        <v>0</v>
      </c>
      <c r="M1039" s="49">
        <v>0</v>
      </c>
      <c r="N1039" s="49">
        <v>0</v>
      </c>
      <c r="O1039" s="49">
        <v>15.09</v>
      </c>
      <c r="P1039" s="49">
        <v>16.73</v>
      </c>
      <c r="Q1039" s="49">
        <v>0</v>
      </c>
      <c r="R1039" s="49">
        <v>18.29</v>
      </c>
      <c r="S1039" s="49">
        <v>32.42</v>
      </c>
    </row>
    <row r="1040" spans="1:19" ht="18">
      <c r="A1040" s="49">
        <v>4933</v>
      </c>
      <c r="B1040" s="49" t="s">
        <v>1585</v>
      </c>
      <c r="C1040" s="49">
        <v>0</v>
      </c>
      <c r="D1040" s="49">
        <v>0</v>
      </c>
      <c r="E1040" s="49">
        <v>0</v>
      </c>
      <c r="F1040" s="49">
        <v>0</v>
      </c>
      <c r="G1040" s="49">
        <v>7.44</v>
      </c>
      <c r="H1040" s="49">
        <v>16.100000000000001</v>
      </c>
      <c r="I1040" s="49">
        <v>10.48</v>
      </c>
      <c r="J1040" s="49">
        <v>12.79</v>
      </c>
      <c r="K1040" s="49">
        <v>14.43</v>
      </c>
      <c r="L1040" s="49">
        <v>9.5299999999999994</v>
      </c>
      <c r="M1040" s="49">
        <v>19.37</v>
      </c>
      <c r="N1040" s="49">
        <v>14.16</v>
      </c>
      <c r="O1040" s="49">
        <v>16.13</v>
      </c>
      <c r="P1040" s="49">
        <v>27.01</v>
      </c>
      <c r="Q1040" s="49">
        <v>10.11</v>
      </c>
      <c r="R1040" s="49">
        <v>7</v>
      </c>
      <c r="S1040" s="49">
        <v>16.149999999999999</v>
      </c>
    </row>
    <row r="1041" spans="1:19" ht="18">
      <c r="A1041" s="49">
        <v>4934</v>
      </c>
      <c r="B1041" s="49" t="s">
        <v>963</v>
      </c>
      <c r="C1041" s="49">
        <v>0</v>
      </c>
      <c r="D1041" s="49">
        <v>0</v>
      </c>
      <c r="E1041" s="49">
        <v>0</v>
      </c>
      <c r="F1041" s="49">
        <v>0</v>
      </c>
      <c r="G1041" s="49">
        <v>0</v>
      </c>
      <c r="H1041" s="49">
        <v>0</v>
      </c>
      <c r="I1041" s="49">
        <v>0</v>
      </c>
      <c r="J1041" s="49">
        <v>21</v>
      </c>
      <c r="K1041" s="49">
        <v>54.5</v>
      </c>
      <c r="L1041" s="49">
        <v>46.61</v>
      </c>
      <c r="M1041" s="49">
        <v>0</v>
      </c>
      <c r="N1041" s="49">
        <v>0</v>
      </c>
      <c r="O1041" s="49">
        <v>0</v>
      </c>
      <c r="P1041" s="49">
        <v>0</v>
      </c>
      <c r="Q1041" s="49">
        <v>0</v>
      </c>
      <c r="R1041" s="49">
        <v>0</v>
      </c>
      <c r="S1041" s="49">
        <v>15.99</v>
      </c>
    </row>
    <row r="1042" spans="1:19" ht="18">
      <c r="A1042" s="49">
        <v>4935</v>
      </c>
      <c r="B1042" s="49" t="s">
        <v>964</v>
      </c>
      <c r="C1042" s="49">
        <v>0</v>
      </c>
      <c r="D1042" s="49">
        <v>0</v>
      </c>
      <c r="E1042" s="49">
        <v>0</v>
      </c>
      <c r="F1042" s="49">
        <v>0</v>
      </c>
      <c r="G1042" s="49">
        <v>19.489999999999998</v>
      </c>
      <c r="H1042" s="49">
        <v>13.77</v>
      </c>
      <c r="I1042" s="49">
        <v>18.670000000000002</v>
      </c>
      <c r="J1042" s="49">
        <v>11.52</v>
      </c>
      <c r="K1042" s="49">
        <v>12.4</v>
      </c>
      <c r="L1042" s="49">
        <v>9.9</v>
      </c>
      <c r="M1042" s="49">
        <v>16.850000000000001</v>
      </c>
      <c r="N1042" s="49">
        <v>24.15</v>
      </c>
      <c r="O1042" s="49">
        <v>62.05</v>
      </c>
      <c r="P1042" s="49">
        <v>13.9</v>
      </c>
      <c r="Q1042" s="49">
        <v>7.8</v>
      </c>
      <c r="R1042" s="49">
        <v>6.43</v>
      </c>
      <c r="S1042" s="49">
        <v>12.64</v>
      </c>
    </row>
    <row r="1043" spans="1:19" ht="18">
      <c r="A1043" s="49">
        <v>4938</v>
      </c>
      <c r="B1043" s="49" t="s">
        <v>965</v>
      </c>
      <c r="C1043" s="49">
        <v>0</v>
      </c>
      <c r="D1043" s="49">
        <v>0</v>
      </c>
      <c r="E1043" s="49">
        <v>0</v>
      </c>
      <c r="F1043" s="49">
        <v>14.05</v>
      </c>
      <c r="G1043" s="49">
        <v>173.42</v>
      </c>
      <c r="H1043" s="49">
        <v>19.16</v>
      </c>
      <c r="I1043" s="49">
        <v>10.11</v>
      </c>
      <c r="J1043" s="49">
        <v>14.23</v>
      </c>
      <c r="K1043" s="49">
        <v>8.27</v>
      </c>
      <c r="L1043" s="49">
        <v>9.77</v>
      </c>
      <c r="M1043" s="49">
        <v>11.18</v>
      </c>
      <c r="N1043" s="49">
        <v>11.6</v>
      </c>
      <c r="O1043" s="49">
        <v>12.44</v>
      </c>
      <c r="P1043" s="49">
        <v>7.43</v>
      </c>
      <c r="Q1043" s="49">
        <v>10.57</v>
      </c>
      <c r="R1043" s="49">
        <v>9.4600000000000009</v>
      </c>
      <c r="S1043" s="49">
        <v>14.75</v>
      </c>
    </row>
    <row r="1044" spans="1:19" ht="18">
      <c r="A1044" s="49">
        <v>4939</v>
      </c>
      <c r="B1044" s="49" t="s">
        <v>1586</v>
      </c>
      <c r="C1044" s="49">
        <v>0</v>
      </c>
      <c r="D1044" s="49">
        <v>0</v>
      </c>
      <c r="E1044" s="49">
        <v>0</v>
      </c>
      <c r="F1044" s="49">
        <v>0</v>
      </c>
      <c r="G1044" s="49">
        <v>10.99</v>
      </c>
      <c r="H1044" s="49">
        <v>18.850000000000001</v>
      </c>
      <c r="I1044" s="49">
        <v>15.66</v>
      </c>
      <c r="J1044" s="49">
        <v>19.510000000000002</v>
      </c>
      <c r="K1044" s="49">
        <v>0</v>
      </c>
      <c r="L1044" s="49">
        <v>0</v>
      </c>
      <c r="M1044" s="49">
        <v>13.75</v>
      </c>
      <c r="N1044" s="49">
        <v>14.26</v>
      </c>
      <c r="O1044" s="49">
        <v>68.27</v>
      </c>
      <c r="P1044" s="49">
        <v>18.75</v>
      </c>
      <c r="Q1044" s="49">
        <v>11.34</v>
      </c>
      <c r="R1044" s="49">
        <v>17.989999999999998</v>
      </c>
      <c r="S1044" s="49">
        <v>79.44</v>
      </c>
    </row>
    <row r="1045" spans="1:19" ht="18">
      <c r="A1045" s="49">
        <v>4942</v>
      </c>
      <c r="B1045" s="49" t="s">
        <v>966</v>
      </c>
      <c r="C1045" s="49">
        <v>0</v>
      </c>
      <c r="D1045" s="49">
        <v>0</v>
      </c>
      <c r="E1045" s="49">
        <v>0</v>
      </c>
      <c r="F1045" s="49">
        <v>0</v>
      </c>
      <c r="G1045" s="49">
        <v>8.76</v>
      </c>
      <c r="H1045" s="49">
        <v>13.37</v>
      </c>
      <c r="I1045" s="49">
        <v>10.55</v>
      </c>
      <c r="J1045" s="49">
        <v>9.9700000000000006</v>
      </c>
      <c r="K1045" s="49">
        <v>0</v>
      </c>
      <c r="L1045" s="49">
        <v>20.11</v>
      </c>
      <c r="M1045" s="49">
        <v>16.82</v>
      </c>
      <c r="N1045" s="49">
        <v>8.2899999999999991</v>
      </c>
      <c r="O1045" s="49">
        <v>9.31</v>
      </c>
      <c r="P1045" s="49">
        <v>8.61</v>
      </c>
      <c r="Q1045" s="49">
        <v>7.77</v>
      </c>
      <c r="R1045" s="49">
        <v>6.22</v>
      </c>
      <c r="S1045" s="49">
        <v>11.1</v>
      </c>
    </row>
    <row r="1046" spans="1:19" ht="18">
      <c r="A1046" s="49">
        <v>4943</v>
      </c>
      <c r="B1046" s="49" t="s">
        <v>967</v>
      </c>
      <c r="C1046" s="49">
        <v>0</v>
      </c>
      <c r="D1046" s="49">
        <v>0</v>
      </c>
      <c r="E1046" s="49">
        <v>0</v>
      </c>
      <c r="F1046" s="49">
        <v>0</v>
      </c>
      <c r="G1046" s="49">
        <v>0</v>
      </c>
      <c r="H1046" s="49">
        <v>0</v>
      </c>
      <c r="I1046" s="49">
        <v>0</v>
      </c>
      <c r="J1046" s="49">
        <v>0</v>
      </c>
      <c r="K1046" s="49">
        <v>0</v>
      </c>
      <c r="L1046" s="49">
        <v>38.369999999999997</v>
      </c>
      <c r="M1046" s="49">
        <v>61.83</v>
      </c>
      <c r="N1046" s="49">
        <v>9.39</v>
      </c>
      <c r="O1046" s="49">
        <v>49.16</v>
      </c>
      <c r="P1046" s="49">
        <v>116.89</v>
      </c>
      <c r="Q1046" s="49">
        <v>0</v>
      </c>
      <c r="R1046" s="49">
        <v>0</v>
      </c>
      <c r="S1046" s="49">
        <v>0</v>
      </c>
    </row>
    <row r="1047" spans="1:19" ht="18">
      <c r="A1047" s="49">
        <v>4944</v>
      </c>
      <c r="B1047" s="49" t="s">
        <v>1587</v>
      </c>
      <c r="C1047" s="49">
        <v>0</v>
      </c>
      <c r="D1047" s="49">
        <v>0</v>
      </c>
      <c r="E1047" s="49">
        <v>0</v>
      </c>
      <c r="F1047" s="49">
        <v>0</v>
      </c>
      <c r="G1047" s="49">
        <v>0</v>
      </c>
      <c r="H1047" s="49">
        <v>0</v>
      </c>
      <c r="I1047" s="49">
        <v>0</v>
      </c>
      <c r="J1047" s="49">
        <v>0</v>
      </c>
      <c r="K1047" s="49">
        <v>0</v>
      </c>
      <c r="L1047" s="49">
        <v>0</v>
      </c>
      <c r="M1047" s="49">
        <v>0</v>
      </c>
      <c r="N1047" s="49">
        <v>0</v>
      </c>
      <c r="O1047" s="49">
        <v>0</v>
      </c>
      <c r="P1047" s="49">
        <v>0</v>
      </c>
      <c r="Q1047" s="49">
        <v>0</v>
      </c>
      <c r="R1047" s="49">
        <v>0</v>
      </c>
      <c r="S1047" s="49">
        <v>0</v>
      </c>
    </row>
    <row r="1048" spans="1:19" ht="18">
      <c r="A1048" s="49">
        <v>4945</v>
      </c>
      <c r="B1048" s="49" t="s">
        <v>1588</v>
      </c>
      <c r="C1048" s="49">
        <v>0</v>
      </c>
      <c r="D1048" s="49">
        <v>0</v>
      </c>
      <c r="E1048" s="49">
        <v>0</v>
      </c>
      <c r="F1048" s="49">
        <v>0</v>
      </c>
      <c r="G1048" s="49">
        <v>0</v>
      </c>
      <c r="H1048" s="49">
        <v>0</v>
      </c>
      <c r="I1048" s="49">
        <v>0</v>
      </c>
      <c r="J1048" s="49">
        <v>0</v>
      </c>
      <c r="K1048" s="49">
        <v>0</v>
      </c>
      <c r="L1048" s="49">
        <v>0</v>
      </c>
      <c r="M1048" s="49">
        <v>0</v>
      </c>
      <c r="N1048" s="49">
        <v>0</v>
      </c>
      <c r="O1048" s="49">
        <v>0</v>
      </c>
      <c r="P1048" s="49">
        <v>24.26</v>
      </c>
      <c r="Q1048" s="49">
        <v>27.75</v>
      </c>
      <c r="R1048" s="49">
        <v>9.36</v>
      </c>
      <c r="S1048" s="49">
        <v>93.74</v>
      </c>
    </row>
    <row r="1049" spans="1:19" ht="18">
      <c r="A1049" s="49">
        <v>4946</v>
      </c>
      <c r="B1049" s="49" t="s">
        <v>1589</v>
      </c>
      <c r="C1049" s="49">
        <v>0</v>
      </c>
      <c r="D1049" s="49">
        <v>0</v>
      </c>
      <c r="E1049" s="49">
        <v>0</v>
      </c>
      <c r="F1049" s="49">
        <v>0</v>
      </c>
      <c r="G1049" s="49">
        <v>0</v>
      </c>
      <c r="H1049" s="49">
        <v>55.83</v>
      </c>
      <c r="I1049" s="49">
        <v>0</v>
      </c>
      <c r="J1049" s="49">
        <v>164.8</v>
      </c>
      <c r="K1049" s="49">
        <v>0</v>
      </c>
      <c r="L1049" s="49">
        <v>0</v>
      </c>
      <c r="M1049" s="49">
        <v>18.22</v>
      </c>
      <c r="N1049" s="49">
        <v>57.33</v>
      </c>
      <c r="O1049" s="49">
        <v>0</v>
      </c>
      <c r="P1049" s="49">
        <v>0</v>
      </c>
      <c r="Q1049" s="49">
        <v>65.22</v>
      </c>
      <c r="R1049" s="49">
        <v>0</v>
      </c>
      <c r="S1049" s="49">
        <v>0</v>
      </c>
    </row>
    <row r="1050" spans="1:19" ht="18">
      <c r="A1050" s="49">
        <v>4950</v>
      </c>
      <c r="B1050" s="49" t="s">
        <v>1590</v>
      </c>
      <c r="C1050" s="49">
        <v>0</v>
      </c>
      <c r="D1050" s="49">
        <v>0</v>
      </c>
      <c r="E1050" s="49">
        <v>0</v>
      </c>
      <c r="F1050" s="49">
        <v>0</v>
      </c>
      <c r="G1050" s="49">
        <v>0</v>
      </c>
      <c r="H1050" s="49">
        <v>0</v>
      </c>
      <c r="I1050" s="49">
        <v>0</v>
      </c>
      <c r="J1050" s="49">
        <v>4.75</v>
      </c>
      <c r="K1050" s="49">
        <v>0</v>
      </c>
      <c r="L1050" s="49">
        <v>24.74</v>
      </c>
      <c r="M1050" s="49">
        <v>0</v>
      </c>
      <c r="N1050" s="49">
        <v>0</v>
      </c>
      <c r="O1050" s="49">
        <v>0</v>
      </c>
      <c r="P1050" s="49">
        <v>0</v>
      </c>
      <c r="Q1050" s="49">
        <v>0</v>
      </c>
      <c r="R1050" s="49">
        <v>0</v>
      </c>
      <c r="S1050" s="49">
        <v>0</v>
      </c>
    </row>
    <row r="1051" spans="1:19" ht="18">
      <c r="A1051" s="49">
        <v>4951</v>
      </c>
      <c r="B1051" s="49" t="s">
        <v>1591</v>
      </c>
      <c r="C1051" s="49">
        <v>0</v>
      </c>
      <c r="D1051" s="49">
        <v>0</v>
      </c>
      <c r="E1051" s="49">
        <v>0</v>
      </c>
      <c r="F1051" s="49">
        <v>0</v>
      </c>
      <c r="G1051" s="49">
        <v>0</v>
      </c>
      <c r="H1051" s="49">
        <v>0</v>
      </c>
      <c r="I1051" s="49">
        <v>0</v>
      </c>
      <c r="J1051" s="49">
        <v>0</v>
      </c>
      <c r="K1051" s="49">
        <v>0</v>
      </c>
      <c r="L1051" s="49">
        <v>0</v>
      </c>
      <c r="M1051" s="49">
        <v>0</v>
      </c>
      <c r="N1051" s="49">
        <v>0</v>
      </c>
      <c r="O1051" s="49">
        <v>0</v>
      </c>
      <c r="P1051" s="49">
        <v>0</v>
      </c>
      <c r="Q1051" s="49">
        <v>0</v>
      </c>
      <c r="R1051" s="49">
        <v>9.92</v>
      </c>
      <c r="S1051" s="49">
        <v>23.87</v>
      </c>
    </row>
    <row r="1052" spans="1:19" ht="18">
      <c r="A1052" s="49">
        <v>4952</v>
      </c>
      <c r="B1052" s="49" t="s">
        <v>968</v>
      </c>
      <c r="C1052" s="49">
        <v>0</v>
      </c>
      <c r="D1052" s="49">
        <v>0</v>
      </c>
      <c r="E1052" s="49">
        <v>0</v>
      </c>
      <c r="F1052" s="49">
        <v>0</v>
      </c>
      <c r="G1052" s="49">
        <v>7.77</v>
      </c>
      <c r="H1052" s="49">
        <v>18.57</v>
      </c>
      <c r="I1052" s="49">
        <v>17.71</v>
      </c>
      <c r="J1052" s="49">
        <v>15.45</v>
      </c>
      <c r="K1052" s="49">
        <v>11.57</v>
      </c>
      <c r="L1052" s="49">
        <v>9.6</v>
      </c>
      <c r="M1052" s="49">
        <v>16.899999999999999</v>
      </c>
      <c r="N1052" s="49">
        <v>10.54</v>
      </c>
      <c r="O1052" s="49">
        <v>14.69</v>
      </c>
      <c r="P1052" s="49">
        <v>20.05</v>
      </c>
      <c r="Q1052" s="49">
        <v>12.77</v>
      </c>
      <c r="R1052" s="49">
        <v>6.98</v>
      </c>
      <c r="S1052" s="49">
        <v>33.89</v>
      </c>
    </row>
    <row r="1053" spans="1:19" ht="18">
      <c r="A1053" s="49">
        <v>4953</v>
      </c>
      <c r="B1053" s="49" t="s">
        <v>1592</v>
      </c>
      <c r="C1053" s="49">
        <v>0</v>
      </c>
      <c r="D1053" s="49">
        <v>0</v>
      </c>
      <c r="E1053" s="49">
        <v>0</v>
      </c>
      <c r="F1053" s="49">
        <v>0</v>
      </c>
      <c r="G1053" s="49">
        <v>0</v>
      </c>
      <c r="H1053" s="49">
        <v>0</v>
      </c>
      <c r="I1053" s="49">
        <v>0</v>
      </c>
      <c r="J1053" s="49">
        <v>15.39</v>
      </c>
      <c r="K1053" s="49">
        <v>9.57</v>
      </c>
      <c r="L1053" s="49">
        <v>0</v>
      </c>
      <c r="M1053" s="49">
        <v>13.03</v>
      </c>
      <c r="N1053" s="49">
        <v>13.45</v>
      </c>
      <c r="O1053" s="49">
        <v>17.670000000000002</v>
      </c>
      <c r="P1053" s="49">
        <v>14.59</v>
      </c>
      <c r="Q1053" s="49">
        <v>13.47</v>
      </c>
      <c r="R1053" s="49">
        <v>11.01</v>
      </c>
      <c r="S1053" s="49">
        <v>16.54</v>
      </c>
    </row>
    <row r="1054" spans="1:19" ht="18">
      <c r="A1054" s="49">
        <v>4956</v>
      </c>
      <c r="B1054" s="49" t="s">
        <v>969</v>
      </c>
      <c r="C1054" s="49">
        <v>0</v>
      </c>
      <c r="D1054" s="49">
        <v>0</v>
      </c>
      <c r="E1054" s="49">
        <v>0</v>
      </c>
      <c r="F1054" s="49">
        <v>0</v>
      </c>
      <c r="G1054" s="49">
        <v>9.5500000000000007</v>
      </c>
      <c r="H1054" s="49">
        <v>23.42</v>
      </c>
      <c r="I1054" s="49">
        <v>72.58</v>
      </c>
      <c r="J1054" s="49">
        <v>19.09</v>
      </c>
      <c r="K1054" s="49">
        <v>16.54</v>
      </c>
      <c r="L1054" s="49">
        <v>0</v>
      </c>
      <c r="M1054" s="49">
        <v>32.06</v>
      </c>
      <c r="N1054" s="49">
        <v>67.83</v>
      </c>
      <c r="O1054" s="49">
        <v>0</v>
      </c>
      <c r="P1054" s="49">
        <v>0</v>
      </c>
      <c r="Q1054" s="49">
        <v>18.32</v>
      </c>
      <c r="R1054" s="49">
        <v>56.8</v>
      </c>
      <c r="S1054" s="49">
        <v>0</v>
      </c>
    </row>
    <row r="1055" spans="1:19" ht="18">
      <c r="A1055" s="49">
        <v>4958</v>
      </c>
      <c r="B1055" s="49" t="s">
        <v>970</v>
      </c>
      <c r="C1055" s="49">
        <v>0</v>
      </c>
      <c r="D1055" s="49">
        <v>0</v>
      </c>
      <c r="E1055" s="49">
        <v>0</v>
      </c>
      <c r="F1055" s="49">
        <v>0</v>
      </c>
      <c r="G1055" s="49">
        <v>49.25</v>
      </c>
      <c r="H1055" s="49">
        <v>14.07</v>
      </c>
      <c r="I1055" s="49">
        <v>11.29</v>
      </c>
      <c r="J1055" s="49">
        <v>11.1</v>
      </c>
      <c r="K1055" s="49">
        <v>7.34</v>
      </c>
      <c r="L1055" s="49">
        <v>10.87</v>
      </c>
      <c r="M1055" s="49">
        <v>14.4</v>
      </c>
      <c r="N1055" s="49">
        <v>8.27</v>
      </c>
      <c r="O1055" s="49">
        <v>15.05</v>
      </c>
      <c r="P1055" s="49">
        <v>13.78</v>
      </c>
      <c r="Q1055" s="49">
        <v>10.44</v>
      </c>
      <c r="R1055" s="49">
        <v>6.91</v>
      </c>
      <c r="S1055" s="49">
        <v>13.94</v>
      </c>
    </row>
    <row r="1056" spans="1:19" ht="18">
      <c r="A1056" s="49">
        <v>4960</v>
      </c>
      <c r="B1056" s="49" t="s">
        <v>971</v>
      </c>
      <c r="C1056" s="49">
        <v>0</v>
      </c>
      <c r="D1056" s="49">
        <v>0</v>
      </c>
      <c r="E1056" s="49">
        <v>0</v>
      </c>
      <c r="F1056" s="49">
        <v>0</v>
      </c>
      <c r="G1056" s="49">
        <v>6.02</v>
      </c>
      <c r="H1056" s="49">
        <v>9.1199999999999992</v>
      </c>
      <c r="I1056" s="49">
        <v>7.55</v>
      </c>
      <c r="J1056" s="49">
        <v>8.2799999999999994</v>
      </c>
      <c r="K1056" s="49">
        <v>6.4</v>
      </c>
      <c r="L1056" s="49">
        <v>0</v>
      </c>
      <c r="M1056" s="49">
        <v>0</v>
      </c>
      <c r="N1056" s="49">
        <v>0</v>
      </c>
      <c r="O1056" s="49">
        <v>0</v>
      </c>
      <c r="P1056" s="49">
        <v>0</v>
      </c>
      <c r="Q1056" s="49">
        <v>11.07</v>
      </c>
      <c r="R1056" s="49">
        <v>10.72</v>
      </c>
      <c r="S1056" s="49">
        <v>0</v>
      </c>
    </row>
    <row r="1057" spans="1:19" ht="18">
      <c r="A1057" s="49">
        <v>4961</v>
      </c>
      <c r="B1057" s="49" t="s">
        <v>972</v>
      </c>
      <c r="C1057" s="49">
        <v>0</v>
      </c>
      <c r="D1057" s="49">
        <v>0</v>
      </c>
      <c r="E1057" s="49">
        <v>0</v>
      </c>
      <c r="F1057" s="49">
        <v>0</v>
      </c>
      <c r="G1057" s="49">
        <v>0</v>
      </c>
      <c r="H1057" s="49">
        <v>0</v>
      </c>
      <c r="I1057" s="49">
        <v>0</v>
      </c>
      <c r="J1057" s="49">
        <v>0</v>
      </c>
      <c r="K1057" s="49">
        <v>0</v>
      </c>
      <c r="L1057" s="49">
        <v>0</v>
      </c>
      <c r="M1057" s="49">
        <v>0</v>
      </c>
      <c r="N1057" s="49">
        <v>20.16</v>
      </c>
      <c r="O1057" s="49">
        <v>18.8</v>
      </c>
      <c r="P1057" s="49">
        <v>74.55</v>
      </c>
      <c r="Q1057" s="49">
        <v>10.73</v>
      </c>
      <c r="R1057" s="49">
        <v>5.22</v>
      </c>
      <c r="S1057" s="49">
        <v>15.88</v>
      </c>
    </row>
    <row r="1058" spans="1:19" ht="18">
      <c r="A1058" s="49">
        <v>4966</v>
      </c>
      <c r="B1058" s="49" t="s">
        <v>1593</v>
      </c>
      <c r="C1058" s="49">
        <v>0</v>
      </c>
      <c r="D1058" s="49">
        <v>0</v>
      </c>
      <c r="E1058" s="49">
        <v>0</v>
      </c>
      <c r="F1058" s="49">
        <v>0</v>
      </c>
      <c r="G1058" s="49">
        <v>63.47</v>
      </c>
      <c r="H1058" s="49">
        <v>8.93</v>
      </c>
      <c r="I1058" s="49">
        <v>30.94</v>
      </c>
      <c r="J1058" s="49">
        <v>17.72</v>
      </c>
      <c r="K1058" s="49">
        <v>14.52</v>
      </c>
      <c r="L1058" s="49">
        <v>18.809999999999999</v>
      </c>
      <c r="M1058" s="49">
        <v>25.06</v>
      </c>
      <c r="N1058" s="49">
        <v>19.82</v>
      </c>
      <c r="O1058" s="49">
        <v>19.71</v>
      </c>
      <c r="P1058" s="49">
        <v>28.19</v>
      </c>
      <c r="Q1058" s="49">
        <v>36.1</v>
      </c>
      <c r="R1058" s="49">
        <v>10.62</v>
      </c>
      <c r="S1058" s="49">
        <v>52.68</v>
      </c>
    </row>
    <row r="1059" spans="1:19" ht="18">
      <c r="A1059" s="49">
        <v>4967</v>
      </c>
      <c r="B1059" s="49" t="s">
        <v>973</v>
      </c>
      <c r="C1059" s="49">
        <v>0</v>
      </c>
      <c r="D1059" s="49">
        <v>0</v>
      </c>
      <c r="E1059" s="49">
        <v>0</v>
      </c>
      <c r="F1059" s="49">
        <v>0</v>
      </c>
      <c r="G1059" s="49">
        <v>0</v>
      </c>
      <c r="H1059" s="49">
        <v>0</v>
      </c>
      <c r="I1059" s="49">
        <v>0</v>
      </c>
      <c r="J1059" s="49">
        <v>0</v>
      </c>
      <c r="K1059" s="49">
        <v>0</v>
      </c>
      <c r="L1059" s="49">
        <v>0</v>
      </c>
      <c r="M1059" s="49">
        <v>0</v>
      </c>
      <c r="N1059" s="49">
        <v>0</v>
      </c>
      <c r="O1059" s="49">
        <v>38.29</v>
      </c>
      <c r="P1059" s="49">
        <v>39.380000000000003</v>
      </c>
      <c r="Q1059" s="49">
        <v>37.020000000000003</v>
      </c>
      <c r="R1059" s="49">
        <v>0</v>
      </c>
      <c r="S1059" s="49">
        <v>55.09</v>
      </c>
    </row>
    <row r="1060" spans="1:19" ht="18">
      <c r="A1060" s="49">
        <v>4968</v>
      </c>
      <c r="B1060" s="49" t="s">
        <v>974</v>
      </c>
      <c r="C1060" s="49">
        <v>0</v>
      </c>
      <c r="D1060" s="49">
        <v>0</v>
      </c>
      <c r="E1060" s="49">
        <v>0</v>
      </c>
      <c r="F1060" s="49">
        <v>0</v>
      </c>
      <c r="G1060" s="49">
        <v>0</v>
      </c>
      <c r="H1060" s="49">
        <v>0</v>
      </c>
      <c r="I1060" s="49">
        <v>0</v>
      </c>
      <c r="J1060" s="49">
        <v>0</v>
      </c>
      <c r="K1060" s="49">
        <v>37.51</v>
      </c>
      <c r="L1060" s="49">
        <v>25.51</v>
      </c>
      <c r="M1060" s="49">
        <v>35.97</v>
      </c>
      <c r="N1060" s="49">
        <v>14.31</v>
      </c>
      <c r="O1060" s="49">
        <v>56.67</v>
      </c>
      <c r="P1060" s="49">
        <v>42.83</v>
      </c>
      <c r="Q1060" s="49">
        <v>27.89</v>
      </c>
      <c r="R1060" s="49">
        <v>152.03</v>
      </c>
      <c r="S1060" s="49">
        <v>0</v>
      </c>
    </row>
    <row r="1061" spans="1:19" ht="18">
      <c r="A1061" s="49">
        <v>4971</v>
      </c>
      <c r="B1061" s="49" t="s">
        <v>1594</v>
      </c>
      <c r="C1061" s="49">
        <v>0</v>
      </c>
      <c r="D1061" s="49">
        <v>0</v>
      </c>
      <c r="E1061" s="49">
        <v>0</v>
      </c>
      <c r="F1061" s="49">
        <v>0</v>
      </c>
      <c r="G1061" s="49">
        <v>0</v>
      </c>
      <c r="H1061" s="49">
        <v>0</v>
      </c>
      <c r="I1061" s="49">
        <v>18.899999999999999</v>
      </c>
      <c r="J1061" s="49">
        <v>14.96</v>
      </c>
      <c r="K1061" s="49">
        <v>31.4</v>
      </c>
      <c r="L1061" s="49">
        <v>30.83</v>
      </c>
      <c r="M1061" s="49">
        <v>34.11</v>
      </c>
      <c r="N1061" s="49">
        <v>24.29</v>
      </c>
      <c r="O1061" s="49">
        <v>39.33</v>
      </c>
      <c r="P1061" s="49">
        <v>61.65</v>
      </c>
      <c r="Q1061" s="49">
        <v>23.49</v>
      </c>
      <c r="R1061" s="49">
        <v>12.69</v>
      </c>
      <c r="S1061" s="49">
        <v>40.32</v>
      </c>
    </row>
    <row r="1062" spans="1:19" ht="18">
      <c r="A1062" s="49">
        <v>4972</v>
      </c>
      <c r="B1062" s="49" t="s">
        <v>1595</v>
      </c>
      <c r="C1062" s="49">
        <v>0</v>
      </c>
      <c r="D1062" s="49">
        <v>0</v>
      </c>
      <c r="E1062" s="49">
        <v>0</v>
      </c>
      <c r="F1062" s="49">
        <v>0</v>
      </c>
      <c r="G1062" s="49">
        <v>0</v>
      </c>
      <c r="H1062" s="49">
        <v>0</v>
      </c>
      <c r="I1062" s="49">
        <v>20.92</v>
      </c>
      <c r="J1062" s="49">
        <v>10.68</v>
      </c>
      <c r="K1062" s="49">
        <v>9.64</v>
      </c>
      <c r="L1062" s="49">
        <v>9.1</v>
      </c>
      <c r="M1062" s="49">
        <v>12.77</v>
      </c>
      <c r="N1062" s="49">
        <v>5.18</v>
      </c>
      <c r="O1062" s="49">
        <v>0</v>
      </c>
      <c r="P1062" s="49">
        <v>14.22</v>
      </c>
      <c r="Q1062" s="49">
        <v>14.68</v>
      </c>
      <c r="R1062" s="49">
        <v>15.53</v>
      </c>
      <c r="S1062" s="49">
        <v>54.81</v>
      </c>
    </row>
    <row r="1063" spans="1:19" ht="18">
      <c r="A1063" s="49">
        <v>4973</v>
      </c>
      <c r="B1063" s="49" t="s">
        <v>1596</v>
      </c>
      <c r="C1063" s="49">
        <v>0</v>
      </c>
      <c r="D1063" s="49">
        <v>0</v>
      </c>
      <c r="E1063" s="49">
        <v>0</v>
      </c>
      <c r="F1063" s="49">
        <v>0</v>
      </c>
      <c r="G1063" s="49">
        <v>0</v>
      </c>
      <c r="H1063" s="49">
        <v>10.38</v>
      </c>
      <c r="I1063" s="49">
        <v>10.08</v>
      </c>
      <c r="J1063" s="49">
        <v>8.52</v>
      </c>
      <c r="K1063" s="49">
        <v>0</v>
      </c>
      <c r="L1063" s="49">
        <v>7.93</v>
      </c>
      <c r="M1063" s="49">
        <v>15.83</v>
      </c>
      <c r="N1063" s="49">
        <v>250</v>
      </c>
      <c r="O1063" s="49">
        <v>11.05</v>
      </c>
      <c r="P1063" s="49">
        <v>27.61</v>
      </c>
      <c r="Q1063" s="49">
        <v>28.06</v>
      </c>
      <c r="R1063" s="49">
        <v>10.26</v>
      </c>
      <c r="S1063" s="49">
        <v>13.42</v>
      </c>
    </row>
    <row r="1064" spans="1:19" ht="18">
      <c r="A1064" s="49">
        <v>4974</v>
      </c>
      <c r="B1064" s="49" t="s">
        <v>1597</v>
      </c>
      <c r="C1064" s="49">
        <v>0</v>
      </c>
      <c r="D1064" s="49">
        <v>0</v>
      </c>
      <c r="E1064" s="49">
        <v>0</v>
      </c>
      <c r="F1064" s="49">
        <v>0</v>
      </c>
      <c r="G1064" s="49">
        <v>6.88</v>
      </c>
      <c r="H1064" s="49">
        <v>7.74</v>
      </c>
      <c r="I1064" s="49">
        <v>13.84</v>
      </c>
      <c r="J1064" s="49">
        <v>9.64</v>
      </c>
      <c r="K1064" s="49">
        <v>8.59</v>
      </c>
      <c r="L1064" s="49">
        <v>9.26</v>
      </c>
      <c r="M1064" s="49">
        <v>11.04</v>
      </c>
      <c r="N1064" s="49">
        <v>7.87</v>
      </c>
      <c r="O1064" s="49">
        <v>12</v>
      </c>
      <c r="P1064" s="49">
        <v>11.06</v>
      </c>
      <c r="Q1064" s="49">
        <v>9.5399999999999991</v>
      </c>
      <c r="R1064" s="49">
        <v>7.49</v>
      </c>
      <c r="S1064" s="49">
        <v>10.41</v>
      </c>
    </row>
    <row r="1065" spans="1:19" ht="18">
      <c r="A1065" s="49">
        <v>4976</v>
      </c>
      <c r="B1065" s="49" t="s">
        <v>975</v>
      </c>
      <c r="C1065" s="49">
        <v>0</v>
      </c>
      <c r="D1065" s="49">
        <v>0</v>
      </c>
      <c r="E1065" s="49">
        <v>0</v>
      </c>
      <c r="F1065" s="49">
        <v>0</v>
      </c>
      <c r="G1065" s="49">
        <v>0</v>
      </c>
      <c r="H1065" s="49">
        <v>16.329999999999998</v>
      </c>
      <c r="I1065" s="49">
        <v>12.99</v>
      </c>
      <c r="J1065" s="49">
        <v>208.18</v>
      </c>
      <c r="K1065" s="49">
        <v>0</v>
      </c>
      <c r="L1065" s="49">
        <v>0</v>
      </c>
      <c r="M1065" s="49">
        <v>0</v>
      </c>
      <c r="N1065" s="49">
        <v>69.33</v>
      </c>
      <c r="O1065" s="49">
        <v>0</v>
      </c>
      <c r="P1065" s="49">
        <v>0</v>
      </c>
      <c r="Q1065" s="49">
        <v>275.2</v>
      </c>
      <c r="R1065" s="49">
        <v>0</v>
      </c>
      <c r="S1065" s="49">
        <v>0</v>
      </c>
    </row>
    <row r="1066" spans="1:19" ht="18">
      <c r="A1066" s="49">
        <v>4977</v>
      </c>
      <c r="B1066" s="49" t="s">
        <v>976</v>
      </c>
      <c r="C1066" s="49">
        <v>0</v>
      </c>
      <c r="D1066" s="49">
        <v>0</v>
      </c>
      <c r="E1066" s="49">
        <v>0</v>
      </c>
      <c r="F1066" s="49">
        <v>0</v>
      </c>
      <c r="G1066" s="49">
        <v>0</v>
      </c>
      <c r="H1066" s="49">
        <v>0</v>
      </c>
      <c r="I1066" s="49">
        <v>30.65</v>
      </c>
      <c r="J1066" s="49">
        <v>16.420000000000002</v>
      </c>
      <c r="K1066" s="49">
        <v>11.61</v>
      </c>
      <c r="L1066" s="49">
        <v>15.71</v>
      </c>
      <c r="M1066" s="49">
        <v>25.32</v>
      </c>
      <c r="N1066" s="49">
        <v>14.58</v>
      </c>
      <c r="O1066" s="49">
        <v>27.58</v>
      </c>
      <c r="P1066" s="49">
        <v>16.96</v>
      </c>
      <c r="Q1066" s="49">
        <v>16.510000000000002</v>
      </c>
      <c r="R1066" s="49">
        <v>24.06</v>
      </c>
      <c r="S1066" s="49">
        <v>11.03</v>
      </c>
    </row>
    <row r="1067" spans="1:19" ht="18">
      <c r="A1067" s="49">
        <v>4979</v>
      </c>
      <c r="B1067" s="49" t="s">
        <v>1598</v>
      </c>
      <c r="C1067" s="49">
        <v>0</v>
      </c>
      <c r="D1067" s="49">
        <v>0</v>
      </c>
      <c r="E1067" s="49">
        <v>0</v>
      </c>
      <c r="F1067" s="49">
        <v>0</v>
      </c>
      <c r="G1067" s="49">
        <v>24.85</v>
      </c>
      <c r="H1067" s="49">
        <v>14.08</v>
      </c>
      <c r="I1067" s="49">
        <v>22.3</v>
      </c>
      <c r="J1067" s="49">
        <v>23.19</v>
      </c>
      <c r="K1067" s="49">
        <v>12.39</v>
      </c>
      <c r="L1067" s="49">
        <v>20.29</v>
      </c>
      <c r="M1067" s="49">
        <v>0</v>
      </c>
      <c r="N1067" s="49">
        <v>0</v>
      </c>
      <c r="O1067" s="49">
        <v>0</v>
      </c>
      <c r="P1067" s="49">
        <v>0</v>
      </c>
      <c r="Q1067" s="49">
        <v>0</v>
      </c>
      <c r="R1067" s="49">
        <v>64.19</v>
      </c>
      <c r="S1067" s="49">
        <v>50.35</v>
      </c>
    </row>
    <row r="1068" spans="1:19" ht="18">
      <c r="A1068" s="49">
        <v>4987</v>
      </c>
      <c r="B1068" s="49" t="s">
        <v>1599</v>
      </c>
      <c r="C1068" s="49">
        <v>0</v>
      </c>
      <c r="D1068" s="49">
        <v>0</v>
      </c>
      <c r="E1068" s="49">
        <v>0</v>
      </c>
      <c r="F1068" s="49">
        <v>0</v>
      </c>
      <c r="G1068" s="49">
        <v>0</v>
      </c>
      <c r="H1068" s="49">
        <v>9.16</v>
      </c>
      <c r="I1068" s="49">
        <v>15</v>
      </c>
      <c r="J1068" s="49">
        <v>12.14</v>
      </c>
      <c r="K1068" s="49">
        <v>8.76</v>
      </c>
      <c r="L1068" s="49">
        <v>12.23</v>
      </c>
      <c r="M1068" s="49">
        <v>11.95</v>
      </c>
      <c r="N1068" s="49">
        <v>10.58</v>
      </c>
      <c r="O1068" s="49">
        <v>12.55</v>
      </c>
      <c r="P1068" s="49">
        <v>12.25</v>
      </c>
      <c r="Q1068" s="49">
        <v>11.78</v>
      </c>
      <c r="R1068" s="49">
        <v>10.29</v>
      </c>
      <c r="S1068" s="49">
        <v>12.6</v>
      </c>
    </row>
    <row r="1069" spans="1:19" ht="18">
      <c r="A1069" s="49">
        <v>4989</v>
      </c>
      <c r="B1069" s="49" t="s">
        <v>977</v>
      </c>
      <c r="C1069" s="49">
        <v>0</v>
      </c>
      <c r="D1069" s="49">
        <v>0</v>
      </c>
      <c r="E1069" s="49">
        <v>0</v>
      </c>
      <c r="F1069" s="49">
        <v>0</v>
      </c>
      <c r="G1069" s="49">
        <v>0</v>
      </c>
      <c r="H1069" s="49">
        <v>0</v>
      </c>
      <c r="I1069" s="49">
        <v>0</v>
      </c>
      <c r="J1069" s="49">
        <v>0</v>
      </c>
      <c r="K1069" s="49">
        <v>0</v>
      </c>
      <c r="L1069" s="49">
        <v>0</v>
      </c>
      <c r="M1069" s="49">
        <v>0</v>
      </c>
      <c r="N1069" s="49">
        <v>11.43</v>
      </c>
      <c r="O1069" s="49">
        <v>32.909999999999997</v>
      </c>
      <c r="P1069" s="49">
        <v>350</v>
      </c>
      <c r="Q1069" s="49">
        <v>16.37</v>
      </c>
      <c r="R1069" s="49">
        <v>9.3800000000000008</v>
      </c>
      <c r="S1069" s="49">
        <v>0</v>
      </c>
    </row>
    <row r="1070" spans="1:19" ht="18">
      <c r="A1070" s="49">
        <v>4991</v>
      </c>
      <c r="B1070" s="49" t="s">
        <v>1600</v>
      </c>
      <c r="C1070" s="49">
        <v>0</v>
      </c>
      <c r="D1070" s="49">
        <v>0</v>
      </c>
      <c r="E1070" s="49">
        <v>0</v>
      </c>
      <c r="F1070" s="49">
        <v>0</v>
      </c>
      <c r="G1070" s="49">
        <v>0</v>
      </c>
      <c r="H1070" s="49">
        <v>0</v>
      </c>
      <c r="I1070" s="49">
        <v>0</v>
      </c>
      <c r="J1070" s="49">
        <v>13.86</v>
      </c>
      <c r="K1070" s="49">
        <v>16.010000000000002</v>
      </c>
      <c r="L1070" s="49">
        <v>15.86</v>
      </c>
      <c r="M1070" s="49">
        <v>19.32</v>
      </c>
      <c r="N1070" s="49">
        <v>12.41</v>
      </c>
      <c r="O1070" s="49">
        <v>28.95</v>
      </c>
      <c r="P1070" s="49">
        <v>59.06</v>
      </c>
      <c r="Q1070" s="49">
        <v>0</v>
      </c>
      <c r="R1070" s="49">
        <v>0</v>
      </c>
      <c r="S1070" s="49">
        <v>0</v>
      </c>
    </row>
    <row r="1071" spans="1:19" ht="18">
      <c r="A1071" s="49">
        <v>4994</v>
      </c>
      <c r="B1071" s="49" t="s">
        <v>978</v>
      </c>
      <c r="C1071" s="49">
        <v>0</v>
      </c>
      <c r="D1071" s="49">
        <v>0</v>
      </c>
      <c r="E1071" s="49">
        <v>0</v>
      </c>
      <c r="F1071" s="49">
        <v>0</v>
      </c>
      <c r="G1071" s="49">
        <v>14.57</v>
      </c>
      <c r="H1071" s="49">
        <v>29.45</v>
      </c>
      <c r="I1071" s="49">
        <v>48.2</v>
      </c>
      <c r="J1071" s="49">
        <v>32.5</v>
      </c>
      <c r="K1071" s="49">
        <v>83.76</v>
      </c>
      <c r="L1071" s="49">
        <v>0</v>
      </c>
      <c r="M1071" s="49">
        <v>0</v>
      </c>
      <c r="N1071" s="49">
        <v>0</v>
      </c>
      <c r="O1071" s="49">
        <v>35.71</v>
      </c>
      <c r="P1071" s="49">
        <v>20.67</v>
      </c>
      <c r="Q1071" s="49">
        <v>26.1</v>
      </c>
      <c r="R1071" s="49">
        <v>61.97</v>
      </c>
      <c r="S1071" s="49">
        <v>29.42</v>
      </c>
    </row>
    <row r="1072" spans="1:19" ht="18">
      <c r="A1072" s="49">
        <v>4995</v>
      </c>
      <c r="B1072" s="49" t="s">
        <v>1601</v>
      </c>
      <c r="C1072" s="49">
        <v>0</v>
      </c>
      <c r="D1072" s="49">
        <v>0</v>
      </c>
      <c r="E1072" s="49">
        <v>0</v>
      </c>
      <c r="F1072" s="49">
        <v>0</v>
      </c>
      <c r="G1072" s="49">
        <v>0</v>
      </c>
      <c r="H1072" s="49">
        <v>15.52</v>
      </c>
      <c r="I1072" s="49">
        <v>18.059999999999999</v>
      </c>
      <c r="J1072" s="49">
        <v>19.190000000000001</v>
      </c>
      <c r="K1072" s="49">
        <v>11.65</v>
      </c>
      <c r="L1072" s="49">
        <v>15.45</v>
      </c>
      <c r="M1072" s="49">
        <v>14.81</v>
      </c>
      <c r="N1072" s="49">
        <v>18.559999999999999</v>
      </c>
      <c r="O1072" s="49">
        <v>11.57</v>
      </c>
      <c r="P1072" s="49">
        <v>14.82</v>
      </c>
      <c r="Q1072" s="49">
        <v>22.05</v>
      </c>
      <c r="R1072" s="49">
        <v>7.26</v>
      </c>
      <c r="S1072" s="49">
        <v>12.81</v>
      </c>
    </row>
    <row r="1073" spans="1:19" ht="18">
      <c r="A1073" s="49">
        <v>4999</v>
      </c>
      <c r="B1073" s="49" t="s">
        <v>979</v>
      </c>
      <c r="C1073" s="49">
        <v>0</v>
      </c>
      <c r="D1073" s="49">
        <v>0</v>
      </c>
      <c r="E1073" s="49">
        <v>0</v>
      </c>
      <c r="F1073" s="49">
        <v>0</v>
      </c>
      <c r="G1073" s="49">
        <v>0</v>
      </c>
      <c r="H1073" s="49">
        <v>0</v>
      </c>
      <c r="I1073" s="49">
        <v>11.78</v>
      </c>
      <c r="J1073" s="49">
        <v>9.42</v>
      </c>
      <c r="K1073" s="49">
        <v>6.79</v>
      </c>
      <c r="L1073" s="49">
        <v>9.0399999999999991</v>
      </c>
      <c r="M1073" s="49">
        <v>8.81</v>
      </c>
      <c r="N1073" s="49">
        <v>7.17</v>
      </c>
      <c r="O1073" s="49">
        <v>11.98</v>
      </c>
      <c r="P1073" s="49">
        <v>10.61</v>
      </c>
      <c r="Q1073" s="49">
        <v>11.78</v>
      </c>
      <c r="R1073" s="49">
        <v>8.6999999999999993</v>
      </c>
      <c r="S1073" s="49">
        <v>507.14</v>
      </c>
    </row>
    <row r="1074" spans="1:19" ht="18">
      <c r="A1074" s="49">
        <v>5007</v>
      </c>
      <c r="B1074" s="49" t="s">
        <v>980</v>
      </c>
      <c r="C1074" s="49">
        <v>10.64</v>
      </c>
      <c r="D1074" s="49">
        <v>6.87</v>
      </c>
      <c r="E1074" s="49">
        <v>137.5</v>
      </c>
      <c r="F1074" s="49">
        <v>17.57</v>
      </c>
      <c r="G1074" s="49">
        <v>11.75</v>
      </c>
      <c r="H1074" s="49">
        <v>15.6</v>
      </c>
      <c r="I1074" s="49">
        <v>21.44</v>
      </c>
      <c r="J1074" s="49">
        <v>19.53</v>
      </c>
      <c r="K1074" s="49">
        <v>21.29</v>
      </c>
      <c r="L1074" s="49">
        <v>15.25</v>
      </c>
      <c r="M1074" s="49">
        <v>15.61</v>
      </c>
      <c r="N1074" s="49">
        <v>13.92</v>
      </c>
      <c r="O1074" s="49">
        <v>18.75</v>
      </c>
      <c r="P1074" s="49">
        <v>25.82</v>
      </c>
      <c r="Q1074" s="49">
        <v>17.32</v>
      </c>
      <c r="R1074" s="49">
        <v>14.53</v>
      </c>
      <c r="S1074" s="49">
        <v>16.75</v>
      </c>
    </row>
    <row r="1075" spans="1:19" ht="18">
      <c r="A1075" s="49">
        <v>5009</v>
      </c>
      <c r="B1075" s="49" t="s">
        <v>1602</v>
      </c>
      <c r="C1075" s="49">
        <v>10.48</v>
      </c>
      <c r="D1075" s="49">
        <v>4.7300000000000004</v>
      </c>
      <c r="E1075" s="49">
        <v>0</v>
      </c>
      <c r="F1075" s="49">
        <v>246.82</v>
      </c>
      <c r="G1075" s="49">
        <v>11.96</v>
      </c>
      <c r="H1075" s="49">
        <v>11.07</v>
      </c>
      <c r="I1075" s="49">
        <v>51.9</v>
      </c>
      <c r="J1075" s="49">
        <v>19.25</v>
      </c>
      <c r="K1075" s="49">
        <v>9.2100000000000009</v>
      </c>
      <c r="L1075" s="49">
        <v>41.78</v>
      </c>
      <c r="M1075" s="49">
        <v>32.54</v>
      </c>
      <c r="N1075" s="49">
        <v>46.11</v>
      </c>
      <c r="O1075" s="49">
        <v>24.54</v>
      </c>
      <c r="P1075" s="49">
        <v>63.7</v>
      </c>
      <c r="Q1075" s="49">
        <v>16.63</v>
      </c>
      <c r="R1075" s="49">
        <v>9.9600000000000009</v>
      </c>
      <c r="S1075" s="49">
        <v>11.55</v>
      </c>
    </row>
    <row r="1076" spans="1:19" ht="18">
      <c r="A1076" s="49">
        <v>5011</v>
      </c>
      <c r="B1076" s="49" t="s">
        <v>1603</v>
      </c>
      <c r="C1076" s="49">
        <v>0</v>
      </c>
      <c r="D1076" s="49">
        <v>0</v>
      </c>
      <c r="E1076" s="49">
        <v>0</v>
      </c>
      <c r="F1076" s="49">
        <v>49.38</v>
      </c>
      <c r="G1076" s="49">
        <v>12.36</v>
      </c>
      <c r="H1076" s="49">
        <v>7.43</v>
      </c>
      <c r="I1076" s="49">
        <v>27.36</v>
      </c>
      <c r="J1076" s="49">
        <v>17.059999999999999</v>
      </c>
      <c r="K1076" s="49">
        <v>58.81</v>
      </c>
      <c r="L1076" s="49">
        <v>14.32</v>
      </c>
      <c r="M1076" s="49">
        <v>0</v>
      </c>
      <c r="N1076" s="49">
        <v>12.41</v>
      </c>
      <c r="O1076" s="49">
        <v>30.39</v>
      </c>
      <c r="P1076" s="49">
        <v>0</v>
      </c>
      <c r="Q1076" s="49">
        <v>44.05</v>
      </c>
      <c r="R1076" s="49">
        <v>8.8699999999999992</v>
      </c>
      <c r="S1076" s="49">
        <v>25.9</v>
      </c>
    </row>
    <row r="1077" spans="1:19" ht="18">
      <c r="A1077" s="49">
        <v>5013</v>
      </c>
      <c r="B1077" s="49" t="s">
        <v>1604</v>
      </c>
      <c r="C1077" s="49">
        <v>7.55</v>
      </c>
      <c r="D1077" s="49">
        <v>2.75</v>
      </c>
      <c r="E1077" s="49">
        <v>0</v>
      </c>
      <c r="F1077" s="49">
        <v>7.99</v>
      </c>
      <c r="G1077" s="49">
        <v>6.07</v>
      </c>
      <c r="H1077" s="49">
        <v>23</v>
      </c>
      <c r="I1077" s="49">
        <v>25.07</v>
      </c>
      <c r="J1077" s="49">
        <v>9.52</v>
      </c>
      <c r="K1077" s="49">
        <v>9.5</v>
      </c>
      <c r="L1077" s="49">
        <v>11.09</v>
      </c>
      <c r="M1077" s="49">
        <v>13.3</v>
      </c>
      <c r="N1077" s="49">
        <v>11.33</v>
      </c>
      <c r="O1077" s="49">
        <v>21.64</v>
      </c>
      <c r="P1077" s="49">
        <v>20.47</v>
      </c>
      <c r="Q1077" s="49">
        <v>9.8699999999999992</v>
      </c>
      <c r="R1077" s="49">
        <v>7.95</v>
      </c>
      <c r="S1077" s="49">
        <v>15.15</v>
      </c>
    </row>
    <row r="1078" spans="1:19" ht="18">
      <c r="A1078" s="49">
        <v>5014</v>
      </c>
      <c r="B1078" s="49" t="s">
        <v>1605</v>
      </c>
      <c r="C1078" s="49">
        <v>13.47</v>
      </c>
      <c r="D1078" s="49">
        <v>0</v>
      </c>
      <c r="E1078" s="49">
        <v>0</v>
      </c>
      <c r="F1078" s="49">
        <v>187.5</v>
      </c>
      <c r="G1078" s="49">
        <v>30.04</v>
      </c>
      <c r="H1078" s="49">
        <v>0</v>
      </c>
      <c r="I1078" s="49">
        <v>0</v>
      </c>
      <c r="J1078" s="49">
        <v>11.9</v>
      </c>
      <c r="K1078" s="49">
        <v>0</v>
      </c>
      <c r="L1078" s="49">
        <v>0</v>
      </c>
      <c r="M1078" s="49">
        <v>6.35</v>
      </c>
      <c r="N1078" s="49">
        <v>0</v>
      </c>
      <c r="O1078" s="49">
        <v>0</v>
      </c>
      <c r="P1078" s="49">
        <v>19.07</v>
      </c>
      <c r="Q1078" s="49">
        <v>7.48</v>
      </c>
      <c r="R1078" s="49">
        <v>6.37</v>
      </c>
      <c r="S1078" s="49">
        <v>55</v>
      </c>
    </row>
    <row r="1079" spans="1:19" ht="18">
      <c r="A1079" s="49">
        <v>5015</v>
      </c>
      <c r="B1079" s="49" t="s">
        <v>1606</v>
      </c>
      <c r="C1079" s="49">
        <v>5.0999999999999996</v>
      </c>
      <c r="D1079" s="49">
        <v>7.3</v>
      </c>
      <c r="E1079" s="49">
        <v>50.29</v>
      </c>
      <c r="F1079" s="49">
        <v>29.5</v>
      </c>
      <c r="G1079" s="49">
        <v>7.46</v>
      </c>
      <c r="H1079" s="49">
        <v>0</v>
      </c>
      <c r="I1079" s="49">
        <v>11.59</v>
      </c>
      <c r="J1079" s="49">
        <v>7.96</v>
      </c>
      <c r="K1079" s="49">
        <v>6.91</v>
      </c>
      <c r="L1079" s="49">
        <v>7.95</v>
      </c>
      <c r="M1079" s="49">
        <v>8.8000000000000007</v>
      </c>
      <c r="N1079" s="49">
        <v>8.42</v>
      </c>
      <c r="O1079" s="49">
        <v>11.7</v>
      </c>
      <c r="P1079" s="49">
        <v>20.190000000000001</v>
      </c>
      <c r="Q1079" s="49">
        <v>10.83</v>
      </c>
      <c r="R1079" s="49">
        <v>5.6</v>
      </c>
      <c r="S1079" s="49">
        <v>16.7</v>
      </c>
    </row>
    <row r="1080" spans="1:19" ht="18">
      <c r="A1080" s="49">
        <v>5016</v>
      </c>
      <c r="B1080" s="49" t="s">
        <v>1607</v>
      </c>
      <c r="C1080" s="49">
        <v>11.88</v>
      </c>
      <c r="D1080" s="49">
        <v>3.19</v>
      </c>
      <c r="E1080" s="49">
        <v>0</v>
      </c>
      <c r="F1080" s="49">
        <v>9.69</v>
      </c>
      <c r="G1080" s="49">
        <v>8.24</v>
      </c>
      <c r="H1080" s="49">
        <v>13.99</v>
      </c>
      <c r="I1080" s="49">
        <v>23.38</v>
      </c>
      <c r="J1080" s="49">
        <v>9.4700000000000006</v>
      </c>
      <c r="K1080" s="49">
        <v>13.27</v>
      </c>
      <c r="L1080" s="49">
        <v>10.210000000000001</v>
      </c>
      <c r="M1080" s="49">
        <v>8.57</v>
      </c>
      <c r="N1080" s="49">
        <v>8.3000000000000007</v>
      </c>
      <c r="O1080" s="49">
        <v>16.55</v>
      </c>
      <c r="P1080" s="49">
        <v>10.56</v>
      </c>
      <c r="Q1080" s="49">
        <v>8.27</v>
      </c>
      <c r="R1080" s="49">
        <v>12.85</v>
      </c>
      <c r="S1080" s="49">
        <v>22.58</v>
      </c>
    </row>
    <row r="1081" spans="1:19" ht="18">
      <c r="A1081" s="49">
        <v>5201</v>
      </c>
      <c r="B1081" s="49" t="s">
        <v>1608</v>
      </c>
      <c r="C1081" s="49">
        <v>53.3</v>
      </c>
      <c r="D1081" s="49">
        <v>0</v>
      </c>
      <c r="E1081" s="49">
        <v>36.33</v>
      </c>
      <c r="F1081" s="49">
        <v>13.5</v>
      </c>
      <c r="G1081" s="49">
        <v>22.41</v>
      </c>
      <c r="H1081" s="49">
        <v>21.67</v>
      </c>
      <c r="I1081" s="49">
        <v>7.75</v>
      </c>
      <c r="J1081" s="49">
        <v>30.87</v>
      </c>
      <c r="K1081" s="49">
        <v>8.89</v>
      </c>
      <c r="L1081" s="49">
        <v>3070</v>
      </c>
      <c r="M1081" s="49">
        <v>123.33</v>
      </c>
      <c r="N1081" s="49">
        <v>20.399999999999999</v>
      </c>
      <c r="O1081" s="49">
        <v>26.72</v>
      </c>
      <c r="P1081" s="49">
        <v>12.46</v>
      </c>
      <c r="Q1081" s="49">
        <v>15.87</v>
      </c>
      <c r="R1081" s="49">
        <v>28.32</v>
      </c>
      <c r="S1081" s="49">
        <v>12.39</v>
      </c>
    </row>
    <row r="1082" spans="1:19" ht="18">
      <c r="A1082" s="49">
        <v>5202</v>
      </c>
      <c r="B1082" s="49" t="s">
        <v>1609</v>
      </c>
      <c r="C1082" s="49">
        <v>0</v>
      </c>
      <c r="D1082" s="49">
        <v>0</v>
      </c>
      <c r="E1082" s="49">
        <v>225</v>
      </c>
      <c r="F1082" s="49">
        <v>23.27</v>
      </c>
      <c r="G1082" s="49">
        <v>53</v>
      </c>
      <c r="H1082" s="49">
        <v>0</v>
      </c>
      <c r="I1082" s="49">
        <v>0</v>
      </c>
      <c r="J1082" s="49">
        <v>0</v>
      </c>
      <c r="K1082" s="49">
        <v>51.03</v>
      </c>
      <c r="L1082" s="49">
        <v>51.35</v>
      </c>
      <c r="M1082" s="49">
        <v>74.17</v>
      </c>
      <c r="N1082" s="49">
        <v>0</v>
      </c>
      <c r="O1082" s="49">
        <v>0</v>
      </c>
      <c r="P1082" s="49">
        <v>0</v>
      </c>
      <c r="Q1082" s="49">
        <v>59.22</v>
      </c>
      <c r="R1082" s="49">
        <v>0</v>
      </c>
      <c r="S1082" s="49">
        <v>1650</v>
      </c>
    </row>
    <row r="1083" spans="1:19" ht="18">
      <c r="A1083" s="49">
        <v>5203</v>
      </c>
      <c r="B1083" s="49" t="s">
        <v>981</v>
      </c>
      <c r="C1083" s="49">
        <v>14.25</v>
      </c>
      <c r="D1083" s="49">
        <v>11.69</v>
      </c>
      <c r="E1083" s="49">
        <v>17.559999999999999</v>
      </c>
      <c r="F1083" s="49">
        <v>13.72</v>
      </c>
      <c r="G1083" s="49">
        <v>8.93</v>
      </c>
      <c r="H1083" s="49">
        <v>14.13</v>
      </c>
      <c r="I1083" s="49">
        <v>11.77</v>
      </c>
      <c r="J1083" s="49">
        <v>13.4</v>
      </c>
      <c r="K1083" s="49">
        <v>10.62</v>
      </c>
      <c r="L1083" s="49">
        <v>21.92</v>
      </c>
      <c r="M1083" s="49">
        <v>20.18</v>
      </c>
      <c r="N1083" s="49">
        <v>18.57</v>
      </c>
      <c r="O1083" s="49">
        <v>25.63</v>
      </c>
      <c r="P1083" s="49">
        <v>31.71</v>
      </c>
      <c r="Q1083" s="49">
        <v>44.06</v>
      </c>
      <c r="R1083" s="49">
        <v>0</v>
      </c>
      <c r="S1083" s="49">
        <v>47.12</v>
      </c>
    </row>
    <row r="1084" spans="1:19" ht="18">
      <c r="A1084" s="49">
        <v>5205</v>
      </c>
      <c r="B1084" s="49" t="s">
        <v>1610</v>
      </c>
      <c r="C1084" s="49">
        <v>0</v>
      </c>
      <c r="D1084" s="49">
        <v>5.75</v>
      </c>
      <c r="E1084" s="49">
        <v>39.15</v>
      </c>
      <c r="F1084" s="49">
        <v>24.04</v>
      </c>
      <c r="G1084" s="49">
        <v>0</v>
      </c>
      <c r="H1084" s="49">
        <v>0</v>
      </c>
      <c r="I1084" s="49">
        <v>0</v>
      </c>
      <c r="J1084" s="49">
        <v>0</v>
      </c>
      <c r="K1084" s="49">
        <v>0</v>
      </c>
      <c r="L1084" s="49">
        <v>0</v>
      </c>
      <c r="M1084" s="49">
        <v>0</v>
      </c>
      <c r="N1084" s="49">
        <v>1220</v>
      </c>
      <c r="O1084" s="49">
        <v>0</v>
      </c>
      <c r="P1084" s="49">
        <v>0</v>
      </c>
      <c r="Q1084" s="49">
        <v>0</v>
      </c>
      <c r="R1084" s="49">
        <v>43.73</v>
      </c>
      <c r="S1084" s="49">
        <v>0</v>
      </c>
    </row>
    <row r="1085" spans="1:19" ht="18">
      <c r="A1085" s="49">
        <v>5206</v>
      </c>
      <c r="B1085" s="49" t="s">
        <v>1611</v>
      </c>
      <c r="C1085" s="49">
        <v>0</v>
      </c>
      <c r="D1085" s="49">
        <v>0</v>
      </c>
      <c r="E1085" s="49">
        <v>0</v>
      </c>
      <c r="F1085" s="49">
        <v>0</v>
      </c>
      <c r="G1085" s="49">
        <v>225.71</v>
      </c>
      <c r="H1085" s="49">
        <v>12.2</v>
      </c>
      <c r="I1085" s="49">
        <v>8.39</v>
      </c>
      <c r="J1085" s="49">
        <v>108.33</v>
      </c>
      <c r="K1085" s="49">
        <v>9.23</v>
      </c>
      <c r="L1085" s="49">
        <v>3.07</v>
      </c>
      <c r="M1085" s="49">
        <v>9.75</v>
      </c>
      <c r="N1085" s="49">
        <v>16.28</v>
      </c>
      <c r="O1085" s="49">
        <v>5.49</v>
      </c>
      <c r="P1085" s="49">
        <v>7.7</v>
      </c>
      <c r="Q1085" s="49">
        <v>9.42</v>
      </c>
      <c r="R1085" s="49">
        <v>0</v>
      </c>
      <c r="S1085" s="49">
        <v>28.14</v>
      </c>
    </row>
    <row r="1086" spans="1:19" ht="18">
      <c r="A1086" s="49">
        <v>5209</v>
      </c>
      <c r="B1086" s="49" t="s">
        <v>1612</v>
      </c>
      <c r="C1086" s="49">
        <v>11.56</v>
      </c>
      <c r="D1086" s="49">
        <v>7.72</v>
      </c>
      <c r="E1086" s="49">
        <v>24.2</v>
      </c>
      <c r="F1086" s="49">
        <v>14.39</v>
      </c>
      <c r="G1086" s="49">
        <v>8.5</v>
      </c>
      <c r="H1086" s="49">
        <v>11.12</v>
      </c>
      <c r="I1086" s="49">
        <v>14.16</v>
      </c>
      <c r="J1086" s="49">
        <v>15.5</v>
      </c>
      <c r="K1086" s="49">
        <v>12.25</v>
      </c>
      <c r="L1086" s="49">
        <v>13.01</v>
      </c>
      <c r="M1086" s="49">
        <v>13.96</v>
      </c>
      <c r="N1086" s="49">
        <v>13.39</v>
      </c>
      <c r="O1086" s="49">
        <v>14.47</v>
      </c>
      <c r="P1086" s="49">
        <v>12.27</v>
      </c>
      <c r="Q1086" s="49">
        <v>11.42</v>
      </c>
      <c r="R1086" s="49">
        <v>7.42</v>
      </c>
      <c r="S1086" s="49">
        <v>13.36</v>
      </c>
    </row>
    <row r="1087" spans="1:19" ht="18">
      <c r="A1087" s="49">
        <v>5210</v>
      </c>
      <c r="B1087" s="49" t="s">
        <v>1613</v>
      </c>
      <c r="C1087" s="49">
        <v>22.33</v>
      </c>
      <c r="D1087" s="49">
        <v>4.78</v>
      </c>
      <c r="E1087" s="49">
        <v>0</v>
      </c>
      <c r="F1087" s="49">
        <v>29.2</v>
      </c>
      <c r="G1087" s="49">
        <v>21.11</v>
      </c>
      <c r="H1087" s="49">
        <v>0</v>
      </c>
      <c r="I1087" s="49">
        <v>224</v>
      </c>
      <c r="J1087" s="49">
        <v>50.28</v>
      </c>
      <c r="K1087" s="49">
        <v>35.74</v>
      </c>
      <c r="L1087" s="49">
        <v>162.75</v>
      </c>
      <c r="M1087" s="49">
        <v>0</v>
      </c>
      <c r="N1087" s="49">
        <v>0</v>
      </c>
      <c r="O1087" s="49">
        <v>0</v>
      </c>
      <c r="P1087" s="49">
        <v>0</v>
      </c>
      <c r="Q1087" s="49">
        <v>0</v>
      </c>
      <c r="R1087" s="49">
        <v>35</v>
      </c>
      <c r="S1087" s="49">
        <v>0</v>
      </c>
    </row>
    <row r="1088" spans="1:19" ht="18">
      <c r="A1088" s="49">
        <v>5211</v>
      </c>
      <c r="B1088" s="49" t="s">
        <v>1614</v>
      </c>
      <c r="C1088" s="49">
        <v>18.7</v>
      </c>
      <c r="D1088" s="49">
        <v>6.54</v>
      </c>
      <c r="E1088" s="49">
        <v>26.38</v>
      </c>
      <c r="F1088" s="49">
        <v>24.26</v>
      </c>
      <c r="G1088" s="49">
        <v>17.02</v>
      </c>
      <c r="H1088" s="49">
        <v>15.37</v>
      </c>
      <c r="I1088" s="49">
        <v>27.29</v>
      </c>
      <c r="J1088" s="49">
        <v>32.5</v>
      </c>
      <c r="K1088" s="49">
        <v>34.31</v>
      </c>
      <c r="L1088" s="49">
        <v>25.78</v>
      </c>
      <c r="M1088" s="49">
        <v>32.86</v>
      </c>
      <c r="N1088" s="49">
        <v>129.16999999999999</v>
      </c>
      <c r="O1088" s="49">
        <v>20.97</v>
      </c>
      <c r="P1088" s="49">
        <v>0</v>
      </c>
      <c r="Q1088" s="49">
        <v>12.8</v>
      </c>
      <c r="R1088" s="49">
        <v>18.73</v>
      </c>
      <c r="S1088" s="49">
        <v>0</v>
      </c>
    </row>
    <row r="1089" spans="1:19" ht="18">
      <c r="A1089" s="49">
        <v>5212</v>
      </c>
      <c r="B1089" s="49" t="s">
        <v>1615</v>
      </c>
      <c r="C1089" s="49">
        <v>18.22</v>
      </c>
      <c r="D1089" s="49">
        <v>12.41</v>
      </c>
      <c r="E1089" s="49">
        <v>16.03</v>
      </c>
      <c r="F1089" s="49">
        <v>0</v>
      </c>
      <c r="G1089" s="49">
        <v>10.44</v>
      </c>
      <c r="H1089" s="49">
        <v>0</v>
      </c>
      <c r="I1089" s="49">
        <v>38.68</v>
      </c>
      <c r="J1089" s="49">
        <v>49.15</v>
      </c>
      <c r="K1089" s="49">
        <v>21.21</v>
      </c>
      <c r="L1089" s="49">
        <v>21.92</v>
      </c>
      <c r="M1089" s="49">
        <v>20.56</v>
      </c>
      <c r="N1089" s="49">
        <v>19.170000000000002</v>
      </c>
      <c r="O1089" s="49">
        <v>13.48</v>
      </c>
      <c r="P1089" s="49">
        <v>19.05</v>
      </c>
      <c r="Q1089" s="49">
        <v>16.2</v>
      </c>
      <c r="R1089" s="49">
        <v>12.72</v>
      </c>
      <c r="S1089" s="49">
        <v>16.62</v>
      </c>
    </row>
    <row r="1090" spans="1:19" ht="18">
      <c r="A1090" s="49">
        <v>5213</v>
      </c>
      <c r="B1090" s="49" t="s">
        <v>1616</v>
      </c>
      <c r="C1090" s="49">
        <v>13.78</v>
      </c>
      <c r="D1090" s="49">
        <v>3.16</v>
      </c>
      <c r="E1090" s="49">
        <v>13.63</v>
      </c>
      <c r="F1090" s="49">
        <v>5.49</v>
      </c>
      <c r="G1090" s="49">
        <v>5.48</v>
      </c>
      <c r="H1090" s="49">
        <v>12.67</v>
      </c>
      <c r="I1090" s="49">
        <v>4.76</v>
      </c>
      <c r="J1090" s="49">
        <v>53.71</v>
      </c>
      <c r="K1090" s="49">
        <v>4.84</v>
      </c>
      <c r="L1090" s="49">
        <v>20.89</v>
      </c>
      <c r="M1090" s="49">
        <v>17.86</v>
      </c>
      <c r="N1090" s="49">
        <v>3.05</v>
      </c>
      <c r="O1090" s="49">
        <v>0</v>
      </c>
      <c r="P1090" s="49">
        <v>75.91</v>
      </c>
      <c r="Q1090" s="49">
        <v>9.4700000000000006</v>
      </c>
      <c r="R1090" s="49">
        <v>52.74</v>
      </c>
      <c r="S1090" s="49">
        <v>31.85</v>
      </c>
    </row>
    <row r="1091" spans="1:19" ht="18">
      <c r="A1091" s="49">
        <v>5215</v>
      </c>
      <c r="B1091" s="49" t="s">
        <v>982</v>
      </c>
      <c r="C1091" s="49">
        <v>0</v>
      </c>
      <c r="D1091" s="49">
        <v>0</v>
      </c>
      <c r="E1091" s="49">
        <v>0</v>
      </c>
      <c r="F1091" s="49">
        <v>0</v>
      </c>
      <c r="G1091" s="49">
        <v>5.97</v>
      </c>
      <c r="H1091" s="49">
        <v>8.89</v>
      </c>
      <c r="I1091" s="49">
        <v>14.16</v>
      </c>
      <c r="J1091" s="49">
        <v>13.33</v>
      </c>
      <c r="K1091" s="49">
        <v>9.2799999999999994</v>
      </c>
      <c r="L1091" s="49">
        <v>14.54</v>
      </c>
      <c r="M1091" s="49">
        <v>21.12</v>
      </c>
      <c r="N1091" s="49">
        <v>8.83</v>
      </c>
      <c r="O1091" s="49">
        <v>14.83</v>
      </c>
      <c r="P1091" s="49">
        <v>13.68</v>
      </c>
      <c r="Q1091" s="49">
        <v>7.06</v>
      </c>
      <c r="R1091" s="49">
        <v>8.14</v>
      </c>
      <c r="S1091" s="49">
        <v>21.85</v>
      </c>
    </row>
    <row r="1092" spans="1:19" ht="18">
      <c r="A1092" s="49">
        <v>5220</v>
      </c>
      <c r="B1092" s="49" t="s">
        <v>1617</v>
      </c>
      <c r="C1092" s="49">
        <v>0</v>
      </c>
      <c r="D1092" s="49">
        <v>0</v>
      </c>
      <c r="E1092" s="49">
        <v>0</v>
      </c>
      <c r="F1092" s="49">
        <v>0</v>
      </c>
      <c r="G1092" s="49">
        <v>0</v>
      </c>
      <c r="H1092" s="49">
        <v>0</v>
      </c>
      <c r="I1092" s="49">
        <v>0</v>
      </c>
      <c r="J1092" s="49">
        <v>0</v>
      </c>
      <c r="K1092" s="49">
        <v>0</v>
      </c>
      <c r="L1092" s="49">
        <v>0</v>
      </c>
      <c r="M1092" s="49">
        <v>0</v>
      </c>
      <c r="N1092" s="49">
        <v>9.89</v>
      </c>
      <c r="O1092" s="49">
        <v>8.82</v>
      </c>
      <c r="P1092" s="49">
        <v>11.17</v>
      </c>
      <c r="Q1092" s="49">
        <v>10.14</v>
      </c>
      <c r="R1092" s="49">
        <v>8.1</v>
      </c>
      <c r="S1092" s="49">
        <v>29.83</v>
      </c>
    </row>
    <row r="1093" spans="1:19" ht="18">
      <c r="A1093" s="49">
        <v>5222</v>
      </c>
      <c r="B1093" s="49" t="s">
        <v>983</v>
      </c>
      <c r="C1093" s="49">
        <v>0</v>
      </c>
      <c r="D1093" s="49">
        <v>0</v>
      </c>
      <c r="E1093" s="49">
        <v>0</v>
      </c>
      <c r="F1093" s="49">
        <v>0</v>
      </c>
      <c r="G1093" s="49">
        <v>0</v>
      </c>
      <c r="H1093" s="49">
        <v>0</v>
      </c>
      <c r="I1093" s="49">
        <v>0</v>
      </c>
      <c r="J1093" s="49">
        <v>0</v>
      </c>
      <c r="K1093" s="49">
        <v>0</v>
      </c>
      <c r="L1093" s="49">
        <v>0</v>
      </c>
      <c r="M1093" s="49">
        <v>0</v>
      </c>
      <c r="N1093" s="49">
        <v>0</v>
      </c>
      <c r="O1093" s="49">
        <v>0</v>
      </c>
      <c r="P1093" s="49">
        <v>0</v>
      </c>
      <c r="Q1093" s="49">
        <v>52.59</v>
      </c>
      <c r="R1093" s="49">
        <v>43.17</v>
      </c>
      <c r="S1093" s="49">
        <v>30.09</v>
      </c>
    </row>
    <row r="1094" spans="1:19" ht="18">
      <c r="A1094" s="49">
        <v>5223</v>
      </c>
      <c r="B1094" s="49" t="s">
        <v>1618</v>
      </c>
      <c r="C1094" s="49">
        <v>0</v>
      </c>
      <c r="D1094" s="49">
        <v>0</v>
      </c>
      <c r="E1094" s="49">
        <v>0</v>
      </c>
      <c r="F1094" s="49">
        <v>0</v>
      </c>
      <c r="G1094" s="49">
        <v>0</v>
      </c>
      <c r="H1094" s="49">
        <v>0</v>
      </c>
      <c r="I1094" s="49">
        <v>0</v>
      </c>
      <c r="J1094" s="49">
        <v>0</v>
      </c>
      <c r="K1094" s="49">
        <v>0</v>
      </c>
      <c r="L1094" s="49">
        <v>0</v>
      </c>
      <c r="M1094" s="49">
        <v>0</v>
      </c>
      <c r="N1094" s="49">
        <v>12.69</v>
      </c>
      <c r="O1094" s="49">
        <v>10.42</v>
      </c>
      <c r="P1094" s="49">
        <v>12.57</v>
      </c>
      <c r="Q1094" s="49">
        <v>10.77</v>
      </c>
      <c r="R1094" s="49">
        <v>6.35</v>
      </c>
      <c r="S1094" s="49">
        <v>0</v>
      </c>
    </row>
    <row r="1095" spans="1:19" ht="18">
      <c r="A1095" s="49">
        <v>5225</v>
      </c>
      <c r="B1095" s="49" t="s">
        <v>984</v>
      </c>
      <c r="C1095" s="49">
        <v>0</v>
      </c>
      <c r="D1095" s="49">
        <v>0</v>
      </c>
      <c r="E1095" s="49">
        <v>0</v>
      </c>
      <c r="F1095" s="49">
        <v>0</v>
      </c>
      <c r="G1095" s="49">
        <v>0</v>
      </c>
      <c r="H1095" s="49">
        <v>90.85</v>
      </c>
      <c r="I1095" s="49">
        <v>13.61</v>
      </c>
      <c r="J1095" s="49">
        <v>12.84</v>
      </c>
      <c r="K1095" s="49">
        <v>11.7</v>
      </c>
      <c r="L1095" s="49">
        <v>12.52</v>
      </c>
      <c r="M1095" s="49">
        <v>27.22</v>
      </c>
      <c r="N1095" s="49">
        <v>6.86</v>
      </c>
      <c r="O1095" s="49">
        <v>7.52</v>
      </c>
      <c r="P1095" s="49">
        <v>0</v>
      </c>
      <c r="Q1095" s="49">
        <v>0</v>
      </c>
      <c r="R1095" s="49">
        <v>3.32</v>
      </c>
      <c r="S1095" s="49">
        <v>8.74</v>
      </c>
    </row>
    <row r="1096" spans="1:19" ht="18">
      <c r="A1096" s="49">
        <v>5227</v>
      </c>
      <c r="B1096" s="49" t="s">
        <v>1619</v>
      </c>
      <c r="C1096" s="49">
        <v>0</v>
      </c>
      <c r="D1096" s="49">
        <v>0</v>
      </c>
      <c r="E1096" s="49">
        <v>0</v>
      </c>
      <c r="F1096" s="49">
        <v>0</v>
      </c>
      <c r="G1096" s="49">
        <v>0</v>
      </c>
      <c r="H1096" s="49">
        <v>0</v>
      </c>
      <c r="I1096" s="49">
        <v>0</v>
      </c>
      <c r="J1096" s="49">
        <v>0</v>
      </c>
      <c r="K1096" s="49">
        <v>0</v>
      </c>
      <c r="L1096" s="49">
        <v>0</v>
      </c>
      <c r="M1096" s="49">
        <v>0</v>
      </c>
      <c r="N1096" s="49">
        <v>0</v>
      </c>
      <c r="O1096" s="49">
        <v>0</v>
      </c>
      <c r="P1096" s="49">
        <v>0</v>
      </c>
      <c r="Q1096" s="49">
        <v>0</v>
      </c>
      <c r="R1096" s="49">
        <v>0</v>
      </c>
      <c r="S1096" s="49">
        <v>0</v>
      </c>
    </row>
    <row r="1097" spans="1:19" ht="18">
      <c r="A1097" s="49">
        <v>5228</v>
      </c>
      <c r="B1097" s="49" t="s">
        <v>1620</v>
      </c>
      <c r="C1097" s="49">
        <v>0</v>
      </c>
      <c r="D1097" s="49">
        <v>0</v>
      </c>
      <c r="E1097" s="49">
        <v>0</v>
      </c>
      <c r="F1097" s="49">
        <v>0</v>
      </c>
      <c r="G1097" s="49">
        <v>0</v>
      </c>
      <c r="H1097" s="49">
        <v>0</v>
      </c>
      <c r="I1097" s="49">
        <v>0</v>
      </c>
      <c r="J1097" s="49">
        <v>0</v>
      </c>
      <c r="K1097" s="49">
        <v>0</v>
      </c>
      <c r="L1097" s="49">
        <v>0</v>
      </c>
      <c r="M1097" s="49">
        <v>0</v>
      </c>
      <c r="N1097" s="49">
        <v>0</v>
      </c>
      <c r="O1097" s="49">
        <v>0</v>
      </c>
      <c r="P1097" s="49">
        <v>0</v>
      </c>
      <c r="Q1097" s="49">
        <v>0</v>
      </c>
      <c r="R1097" s="49">
        <v>14.86</v>
      </c>
      <c r="S1097" s="49">
        <v>0</v>
      </c>
    </row>
    <row r="1098" spans="1:19" ht="18">
      <c r="A1098" s="49">
        <v>5230</v>
      </c>
      <c r="B1098" s="49" t="s">
        <v>1621</v>
      </c>
      <c r="C1098" s="49">
        <v>0</v>
      </c>
      <c r="D1098" s="49">
        <v>0</v>
      </c>
      <c r="E1098" s="49">
        <v>0</v>
      </c>
      <c r="F1098" s="49">
        <v>0</v>
      </c>
      <c r="G1098" s="49">
        <v>0</v>
      </c>
      <c r="H1098" s="49">
        <v>22.15</v>
      </c>
      <c r="I1098" s="49">
        <v>27.04</v>
      </c>
      <c r="J1098" s="49">
        <v>25.3</v>
      </c>
      <c r="K1098" s="49">
        <v>19.64</v>
      </c>
      <c r="L1098" s="49">
        <v>20.72</v>
      </c>
      <c r="M1098" s="49">
        <v>13.34</v>
      </c>
      <c r="N1098" s="49">
        <v>11.64</v>
      </c>
      <c r="O1098" s="49">
        <v>28.93</v>
      </c>
      <c r="P1098" s="49">
        <v>925</v>
      </c>
      <c r="Q1098" s="49">
        <v>34.729999999999997</v>
      </c>
      <c r="R1098" s="49">
        <v>18.440000000000001</v>
      </c>
      <c r="S1098" s="49">
        <v>0</v>
      </c>
    </row>
    <row r="1099" spans="1:19" ht="18">
      <c r="A1099" s="49">
        <v>5234</v>
      </c>
      <c r="B1099" s="49" t="s">
        <v>985</v>
      </c>
      <c r="C1099" s="49">
        <v>0</v>
      </c>
      <c r="D1099" s="49">
        <v>0</v>
      </c>
      <c r="E1099" s="49">
        <v>0</v>
      </c>
      <c r="F1099" s="49">
        <v>0</v>
      </c>
      <c r="G1099" s="49">
        <v>0</v>
      </c>
      <c r="H1099" s="49">
        <v>18.93</v>
      </c>
      <c r="I1099" s="49">
        <v>15</v>
      </c>
      <c r="J1099" s="49">
        <v>13.48</v>
      </c>
      <c r="K1099" s="49">
        <v>9.2799999999999994</v>
      </c>
      <c r="L1099" s="49">
        <v>11.52</v>
      </c>
      <c r="M1099" s="49">
        <v>14.39</v>
      </c>
      <c r="N1099" s="49">
        <v>15.66</v>
      </c>
      <c r="O1099" s="49">
        <v>13.85</v>
      </c>
      <c r="P1099" s="49">
        <v>13.4</v>
      </c>
      <c r="Q1099" s="49">
        <v>23.95</v>
      </c>
      <c r="R1099" s="49">
        <v>13.18</v>
      </c>
      <c r="S1099" s="49">
        <v>20.309999999999999</v>
      </c>
    </row>
    <row r="1100" spans="1:19" ht="18">
      <c r="A1100" s="49">
        <v>5236</v>
      </c>
      <c r="B1100" s="49" t="s">
        <v>1622</v>
      </c>
      <c r="C1100" s="49">
        <v>0</v>
      </c>
      <c r="D1100" s="49">
        <v>0</v>
      </c>
      <c r="E1100" s="49">
        <v>0</v>
      </c>
      <c r="F1100" s="49">
        <v>0</v>
      </c>
      <c r="G1100" s="49">
        <v>0</v>
      </c>
      <c r="H1100" s="49">
        <v>0</v>
      </c>
      <c r="I1100" s="49">
        <v>0</v>
      </c>
      <c r="J1100" s="49">
        <v>0</v>
      </c>
      <c r="K1100" s="49">
        <v>0</v>
      </c>
      <c r="L1100" s="49">
        <v>0</v>
      </c>
      <c r="M1100" s="49">
        <v>0</v>
      </c>
      <c r="N1100" s="49">
        <v>0</v>
      </c>
      <c r="O1100" s="49">
        <v>0</v>
      </c>
      <c r="P1100" s="49">
        <v>0</v>
      </c>
      <c r="Q1100" s="49">
        <v>13.58</v>
      </c>
      <c r="R1100" s="49">
        <v>9</v>
      </c>
      <c r="S1100" s="49">
        <v>29.7</v>
      </c>
    </row>
    <row r="1101" spans="1:19" ht="18">
      <c r="A1101" s="49">
        <v>5243</v>
      </c>
      <c r="B1101" s="49" t="s">
        <v>986</v>
      </c>
      <c r="C1101" s="49">
        <v>0</v>
      </c>
      <c r="D1101" s="49">
        <v>0</v>
      </c>
      <c r="E1101" s="49">
        <v>0</v>
      </c>
      <c r="F1101" s="49">
        <v>0</v>
      </c>
      <c r="G1101" s="49">
        <v>0</v>
      </c>
      <c r="H1101" s="49">
        <v>0</v>
      </c>
      <c r="I1101" s="49">
        <v>30.75</v>
      </c>
      <c r="J1101" s="49">
        <v>15.64</v>
      </c>
      <c r="K1101" s="49">
        <v>13.15</v>
      </c>
      <c r="L1101" s="49">
        <v>18.739999999999998</v>
      </c>
      <c r="M1101" s="49">
        <v>18.739999999999998</v>
      </c>
      <c r="N1101" s="49">
        <v>14.95</v>
      </c>
      <c r="O1101" s="49">
        <v>11.82</v>
      </c>
      <c r="P1101" s="49">
        <v>24.25</v>
      </c>
      <c r="Q1101" s="49">
        <v>23.24</v>
      </c>
      <c r="R1101" s="49">
        <v>14.16</v>
      </c>
      <c r="S1101" s="49">
        <v>14.13</v>
      </c>
    </row>
    <row r="1102" spans="1:19" ht="18">
      <c r="A1102" s="49">
        <v>5244</v>
      </c>
      <c r="B1102" s="49" t="s">
        <v>987</v>
      </c>
      <c r="C1102" s="49">
        <v>0</v>
      </c>
      <c r="D1102" s="49">
        <v>0</v>
      </c>
      <c r="E1102" s="49">
        <v>0</v>
      </c>
      <c r="F1102" s="49">
        <v>0</v>
      </c>
      <c r="G1102" s="49">
        <v>0</v>
      </c>
      <c r="H1102" s="49">
        <v>0</v>
      </c>
      <c r="I1102" s="49">
        <v>0</v>
      </c>
      <c r="J1102" s="49">
        <v>0</v>
      </c>
      <c r="K1102" s="49">
        <v>0</v>
      </c>
      <c r="L1102" s="49">
        <v>0</v>
      </c>
      <c r="M1102" s="49">
        <v>0</v>
      </c>
      <c r="N1102" s="49">
        <v>0</v>
      </c>
      <c r="O1102" s="49">
        <v>0</v>
      </c>
      <c r="P1102" s="49">
        <v>0</v>
      </c>
      <c r="Q1102" s="49">
        <v>0</v>
      </c>
      <c r="R1102" s="49">
        <v>8.69</v>
      </c>
      <c r="S1102" s="49">
        <v>17.100000000000001</v>
      </c>
    </row>
    <row r="1103" spans="1:19" ht="18">
      <c r="A1103" s="49">
        <v>5245</v>
      </c>
      <c r="B1103" s="49" t="s">
        <v>1623</v>
      </c>
      <c r="C1103" s="49">
        <v>0</v>
      </c>
      <c r="D1103" s="49">
        <v>0</v>
      </c>
      <c r="E1103" s="49">
        <v>0</v>
      </c>
      <c r="F1103" s="49">
        <v>0</v>
      </c>
      <c r="G1103" s="49">
        <v>0</v>
      </c>
      <c r="H1103" s="49">
        <v>0</v>
      </c>
      <c r="I1103" s="49">
        <v>0</v>
      </c>
      <c r="J1103" s="49">
        <v>0</v>
      </c>
      <c r="K1103" s="49">
        <v>31.5</v>
      </c>
      <c r="L1103" s="49">
        <v>21.8</v>
      </c>
      <c r="M1103" s="49">
        <v>18.059999999999999</v>
      </c>
      <c r="N1103" s="49">
        <v>11.14</v>
      </c>
      <c r="O1103" s="49">
        <v>36.01</v>
      </c>
      <c r="P1103" s="49">
        <v>32.07</v>
      </c>
      <c r="Q1103" s="49">
        <v>22.02</v>
      </c>
      <c r="R1103" s="49">
        <v>10.36</v>
      </c>
      <c r="S1103" s="49">
        <v>0</v>
      </c>
    </row>
    <row r="1104" spans="1:19" ht="18">
      <c r="A1104" s="49">
        <v>5251</v>
      </c>
      <c r="B1104" s="49" t="s">
        <v>1624</v>
      </c>
      <c r="C1104" s="49">
        <v>0</v>
      </c>
      <c r="D1104" s="49">
        <v>0</v>
      </c>
      <c r="E1104" s="49">
        <v>0</v>
      </c>
      <c r="F1104" s="49">
        <v>0</v>
      </c>
      <c r="G1104" s="49">
        <v>0</v>
      </c>
      <c r="H1104" s="49">
        <v>11.21</v>
      </c>
      <c r="I1104" s="49">
        <v>9.4700000000000006</v>
      </c>
      <c r="J1104" s="49">
        <v>12.46</v>
      </c>
      <c r="K1104" s="49">
        <v>11.79</v>
      </c>
      <c r="L1104" s="49">
        <v>16.52</v>
      </c>
      <c r="M1104" s="49">
        <v>0</v>
      </c>
      <c r="N1104" s="49">
        <v>0</v>
      </c>
      <c r="O1104" s="49">
        <v>0</v>
      </c>
      <c r="P1104" s="49">
        <v>0</v>
      </c>
      <c r="Q1104" s="49">
        <v>0</v>
      </c>
      <c r="R1104" s="49">
        <v>0</v>
      </c>
      <c r="S1104" s="49">
        <v>0</v>
      </c>
    </row>
    <row r="1105" spans="1:19" ht="18">
      <c r="A1105" s="49">
        <v>5258</v>
      </c>
      <c r="B1105" s="49" t="s">
        <v>988</v>
      </c>
      <c r="C1105" s="49">
        <v>0</v>
      </c>
      <c r="D1105" s="49">
        <v>0</v>
      </c>
      <c r="E1105" s="49">
        <v>0</v>
      </c>
      <c r="F1105" s="49">
        <v>0</v>
      </c>
      <c r="G1105" s="49">
        <v>0</v>
      </c>
      <c r="H1105" s="49">
        <v>0</v>
      </c>
      <c r="I1105" s="49">
        <v>0</v>
      </c>
      <c r="J1105" s="49">
        <v>0</v>
      </c>
      <c r="K1105" s="49">
        <v>0</v>
      </c>
      <c r="L1105" s="49">
        <v>9.73</v>
      </c>
      <c r="M1105" s="49">
        <v>35.21</v>
      </c>
      <c r="N1105" s="49">
        <v>55.83</v>
      </c>
      <c r="O1105" s="49">
        <v>0</v>
      </c>
      <c r="P1105" s="49">
        <v>6.17</v>
      </c>
      <c r="Q1105" s="49">
        <v>19.850000000000001</v>
      </c>
      <c r="R1105" s="49">
        <v>9.74</v>
      </c>
      <c r="S1105" s="49">
        <v>13.54</v>
      </c>
    </row>
    <row r="1106" spans="1:19" ht="18">
      <c r="A1106" s="49">
        <v>5263</v>
      </c>
      <c r="B1106" s="49" t="s">
        <v>1625</v>
      </c>
      <c r="C1106" s="49">
        <v>0</v>
      </c>
      <c r="D1106" s="49">
        <v>0</v>
      </c>
      <c r="E1106" s="49">
        <v>0</v>
      </c>
      <c r="F1106" s="49">
        <v>0</v>
      </c>
      <c r="G1106" s="49">
        <v>0</v>
      </c>
      <c r="H1106" s="49">
        <v>36.729999999999997</v>
      </c>
      <c r="I1106" s="49">
        <v>0</v>
      </c>
      <c r="J1106" s="49">
        <v>52.87</v>
      </c>
      <c r="K1106" s="49">
        <v>136.80000000000001</v>
      </c>
      <c r="L1106" s="49">
        <v>303.62</v>
      </c>
      <c r="M1106" s="49">
        <v>48.98</v>
      </c>
      <c r="N1106" s="49">
        <v>39.94</v>
      </c>
      <c r="O1106" s="49">
        <v>24.17</v>
      </c>
      <c r="P1106" s="49">
        <v>141.25</v>
      </c>
      <c r="Q1106" s="49">
        <v>0</v>
      </c>
      <c r="R1106" s="49">
        <v>0</v>
      </c>
      <c r="S1106" s="49">
        <v>0</v>
      </c>
    </row>
    <row r="1107" spans="1:19" ht="18">
      <c r="A1107" s="49">
        <v>5269</v>
      </c>
      <c r="B1107" s="49" t="s">
        <v>989</v>
      </c>
      <c r="C1107" s="49">
        <v>0</v>
      </c>
      <c r="D1107" s="49">
        <v>0</v>
      </c>
      <c r="E1107" s="49">
        <v>0</v>
      </c>
      <c r="F1107" s="49">
        <v>0</v>
      </c>
      <c r="G1107" s="49">
        <v>0</v>
      </c>
      <c r="H1107" s="49">
        <v>18.23</v>
      </c>
      <c r="I1107" s="49">
        <v>27.18</v>
      </c>
      <c r="J1107" s="49">
        <v>50.89</v>
      </c>
      <c r="K1107" s="49">
        <v>63.88</v>
      </c>
      <c r="L1107" s="49">
        <v>51.23</v>
      </c>
      <c r="M1107" s="49">
        <v>50.77</v>
      </c>
      <c r="N1107" s="49">
        <v>39.46</v>
      </c>
      <c r="O1107" s="49">
        <v>37.85</v>
      </c>
      <c r="P1107" s="49">
        <v>44.63</v>
      </c>
      <c r="Q1107" s="49">
        <v>39.17</v>
      </c>
      <c r="R1107" s="49">
        <v>15.42</v>
      </c>
      <c r="S1107" s="49">
        <v>67.37</v>
      </c>
    </row>
    <row r="1108" spans="1:19" ht="18">
      <c r="A1108" s="49">
        <v>5272</v>
      </c>
      <c r="B1108" s="49" t="s">
        <v>1626</v>
      </c>
      <c r="C1108" s="49">
        <v>0</v>
      </c>
      <c r="D1108" s="49">
        <v>0</v>
      </c>
      <c r="E1108" s="49">
        <v>0</v>
      </c>
      <c r="F1108" s="49">
        <v>0</v>
      </c>
      <c r="G1108" s="49">
        <v>0</v>
      </c>
      <c r="H1108" s="49">
        <v>0</v>
      </c>
      <c r="I1108" s="49">
        <v>19.53</v>
      </c>
      <c r="J1108" s="49">
        <v>32.35</v>
      </c>
      <c r="K1108" s="49">
        <v>23.48</v>
      </c>
      <c r="L1108" s="49">
        <v>33.729999999999997</v>
      </c>
      <c r="M1108" s="49">
        <v>23.6</v>
      </c>
      <c r="N1108" s="49">
        <v>74.62</v>
      </c>
      <c r="O1108" s="49">
        <v>0</v>
      </c>
      <c r="P1108" s="49">
        <v>0</v>
      </c>
      <c r="Q1108" s="49">
        <v>69.11</v>
      </c>
      <c r="R1108" s="49">
        <v>19.010000000000002</v>
      </c>
      <c r="S1108" s="49">
        <v>0</v>
      </c>
    </row>
    <row r="1109" spans="1:19" ht="18">
      <c r="A1109" s="49">
        <v>5274</v>
      </c>
      <c r="B1109" s="49" t="s">
        <v>1627</v>
      </c>
      <c r="C1109" s="49">
        <v>0</v>
      </c>
      <c r="D1109" s="49">
        <v>0</v>
      </c>
      <c r="E1109" s="49">
        <v>0</v>
      </c>
      <c r="F1109" s="49">
        <v>0</v>
      </c>
      <c r="G1109" s="49">
        <v>0</v>
      </c>
      <c r="H1109" s="49">
        <v>0</v>
      </c>
      <c r="I1109" s="49">
        <v>27.58</v>
      </c>
      <c r="J1109" s="49">
        <v>29.07</v>
      </c>
      <c r="K1109" s="49">
        <v>31.3</v>
      </c>
      <c r="L1109" s="49">
        <v>39.75</v>
      </c>
      <c r="M1109" s="49">
        <v>45.62</v>
      </c>
      <c r="N1109" s="49">
        <v>30.28</v>
      </c>
      <c r="O1109" s="49">
        <v>42.66</v>
      </c>
      <c r="P1109" s="49">
        <v>58.45</v>
      </c>
      <c r="Q1109" s="49">
        <v>109.09</v>
      </c>
      <c r="R1109" s="49">
        <v>31.14</v>
      </c>
      <c r="S1109" s="49">
        <v>100.61</v>
      </c>
    </row>
    <row r="1110" spans="1:19" ht="18">
      <c r="A1110" s="49">
        <v>5276</v>
      </c>
      <c r="B1110" s="49" t="s">
        <v>1628</v>
      </c>
      <c r="C1110" s="49">
        <v>0</v>
      </c>
      <c r="D1110" s="49">
        <v>0</v>
      </c>
      <c r="E1110" s="49">
        <v>0</v>
      </c>
      <c r="F1110" s="49">
        <v>0</v>
      </c>
      <c r="G1110" s="49">
        <v>0</v>
      </c>
      <c r="H1110" s="49">
        <v>0</v>
      </c>
      <c r="I1110" s="49">
        <v>0</v>
      </c>
      <c r="J1110" s="49">
        <v>12.01</v>
      </c>
      <c r="K1110" s="49">
        <v>10.09</v>
      </c>
      <c r="L1110" s="49">
        <v>14.75</v>
      </c>
      <c r="M1110" s="49">
        <v>12.78</v>
      </c>
      <c r="N1110" s="49">
        <v>0</v>
      </c>
      <c r="O1110" s="49">
        <v>0</v>
      </c>
      <c r="P1110" s="49">
        <v>0</v>
      </c>
      <c r="Q1110" s="49">
        <v>18.84</v>
      </c>
      <c r="R1110" s="49">
        <v>7</v>
      </c>
      <c r="S1110" s="49">
        <v>0</v>
      </c>
    </row>
    <row r="1111" spans="1:19" ht="18">
      <c r="A1111" s="49">
        <v>5278</v>
      </c>
      <c r="B1111" s="49" t="s">
        <v>1629</v>
      </c>
      <c r="C1111" s="49">
        <v>0</v>
      </c>
      <c r="D1111" s="49">
        <v>0</v>
      </c>
      <c r="E1111" s="49">
        <v>0</v>
      </c>
      <c r="F1111" s="49">
        <v>0</v>
      </c>
      <c r="G1111" s="49">
        <v>0</v>
      </c>
      <c r="H1111" s="49">
        <v>0</v>
      </c>
      <c r="I1111" s="49">
        <v>17.21</v>
      </c>
      <c r="J1111" s="49">
        <v>22.4</v>
      </c>
      <c r="K1111" s="49">
        <v>0</v>
      </c>
      <c r="L1111" s="49">
        <v>0</v>
      </c>
      <c r="M1111" s="49">
        <v>0</v>
      </c>
      <c r="N1111" s="49">
        <v>18.170000000000002</v>
      </c>
      <c r="O1111" s="49">
        <v>7.45</v>
      </c>
      <c r="P1111" s="49">
        <v>12.65</v>
      </c>
      <c r="Q1111" s="49">
        <v>13.88</v>
      </c>
      <c r="R1111" s="49">
        <v>17.5</v>
      </c>
      <c r="S1111" s="49">
        <v>17.489999999999998</v>
      </c>
    </row>
    <row r="1112" spans="1:19" ht="18">
      <c r="A1112" s="49">
        <v>5281</v>
      </c>
      <c r="B1112" s="49" t="s">
        <v>1630</v>
      </c>
      <c r="C1112" s="49">
        <v>0</v>
      </c>
      <c r="D1112" s="49">
        <v>0</v>
      </c>
      <c r="E1112" s="49">
        <v>0</v>
      </c>
      <c r="F1112" s="49">
        <v>0</v>
      </c>
      <c r="G1112" s="49">
        <v>0</v>
      </c>
      <c r="H1112" s="49">
        <v>0</v>
      </c>
      <c r="I1112" s="49">
        <v>0</v>
      </c>
      <c r="J1112" s="49">
        <v>0</v>
      </c>
      <c r="K1112" s="49">
        <v>0</v>
      </c>
      <c r="L1112" s="49">
        <v>14.09</v>
      </c>
      <c r="M1112" s="49">
        <v>14.13</v>
      </c>
      <c r="N1112" s="49">
        <v>7.36</v>
      </c>
      <c r="O1112" s="49">
        <v>0</v>
      </c>
      <c r="P1112" s="49">
        <v>16.77</v>
      </c>
      <c r="Q1112" s="49">
        <v>0</v>
      </c>
      <c r="R1112" s="49">
        <v>0</v>
      </c>
      <c r="S1112" s="49">
        <v>0</v>
      </c>
    </row>
    <row r="1113" spans="1:19" ht="18">
      <c r="A1113" s="49">
        <v>5283</v>
      </c>
      <c r="B1113" s="49" t="s">
        <v>990</v>
      </c>
      <c r="C1113" s="49">
        <v>0</v>
      </c>
      <c r="D1113" s="49">
        <v>0</v>
      </c>
      <c r="E1113" s="49">
        <v>0</v>
      </c>
      <c r="F1113" s="49">
        <v>0</v>
      </c>
      <c r="G1113" s="49">
        <v>0</v>
      </c>
      <c r="H1113" s="49">
        <v>0</v>
      </c>
      <c r="I1113" s="49">
        <v>0</v>
      </c>
      <c r="J1113" s="49">
        <v>0</v>
      </c>
      <c r="K1113" s="49">
        <v>0</v>
      </c>
      <c r="L1113" s="49">
        <v>0</v>
      </c>
      <c r="M1113" s="49">
        <v>0</v>
      </c>
      <c r="N1113" s="49">
        <v>0</v>
      </c>
      <c r="O1113" s="49">
        <v>10.54</v>
      </c>
      <c r="P1113" s="49">
        <v>9.76</v>
      </c>
      <c r="Q1113" s="49">
        <v>10.67</v>
      </c>
      <c r="R1113" s="49">
        <v>10.33</v>
      </c>
      <c r="S1113" s="49">
        <v>13.73</v>
      </c>
    </row>
    <row r="1114" spans="1:19" ht="18">
      <c r="A1114" s="49">
        <v>5284</v>
      </c>
      <c r="B1114" s="49" t="s">
        <v>991</v>
      </c>
      <c r="C1114" s="49">
        <v>0</v>
      </c>
      <c r="D1114" s="49">
        <v>0</v>
      </c>
      <c r="E1114" s="49">
        <v>0</v>
      </c>
      <c r="F1114" s="49">
        <v>0</v>
      </c>
      <c r="G1114" s="49">
        <v>0</v>
      </c>
      <c r="H1114" s="49">
        <v>0</v>
      </c>
      <c r="I1114" s="49">
        <v>0</v>
      </c>
      <c r="J1114" s="49">
        <v>10.84</v>
      </c>
      <c r="K1114" s="49">
        <v>13.26</v>
      </c>
      <c r="L1114" s="49">
        <v>14.82</v>
      </c>
      <c r="M1114" s="49">
        <v>11.83</v>
      </c>
      <c r="N1114" s="49">
        <v>12.62</v>
      </c>
      <c r="O1114" s="49">
        <v>17.22</v>
      </c>
      <c r="P1114" s="49">
        <v>16.38</v>
      </c>
      <c r="Q1114" s="49">
        <v>13.08</v>
      </c>
      <c r="R1114" s="49">
        <v>16.920000000000002</v>
      </c>
      <c r="S1114" s="49">
        <v>12.33</v>
      </c>
    </row>
    <row r="1115" spans="1:19" ht="18">
      <c r="A1115" s="49">
        <v>5285</v>
      </c>
      <c r="B1115" s="49" t="s">
        <v>992</v>
      </c>
      <c r="C1115" s="49">
        <v>0</v>
      </c>
      <c r="D1115" s="49">
        <v>0</v>
      </c>
      <c r="E1115" s="49">
        <v>0</v>
      </c>
      <c r="F1115" s="49">
        <v>0</v>
      </c>
      <c r="G1115" s="49">
        <v>0</v>
      </c>
      <c r="H1115" s="49">
        <v>0</v>
      </c>
      <c r="I1115" s="49">
        <v>0</v>
      </c>
      <c r="J1115" s="49">
        <v>16.91</v>
      </c>
      <c r="K1115" s="49">
        <v>11.38</v>
      </c>
      <c r="L1115" s="49">
        <v>22.25</v>
      </c>
      <c r="M1115" s="49">
        <v>28.23</v>
      </c>
      <c r="N1115" s="49">
        <v>13.28</v>
      </c>
      <c r="O1115" s="49">
        <v>21</v>
      </c>
      <c r="P1115" s="49">
        <v>87.13</v>
      </c>
      <c r="Q1115" s="49">
        <v>23.38</v>
      </c>
      <c r="R1115" s="49">
        <v>12.52</v>
      </c>
      <c r="S1115" s="49">
        <v>40.22</v>
      </c>
    </row>
    <row r="1116" spans="1:19" ht="18">
      <c r="A1116" s="49">
        <v>5287</v>
      </c>
      <c r="B1116" s="49" t="s">
        <v>1631</v>
      </c>
      <c r="C1116" s="49">
        <v>0</v>
      </c>
      <c r="D1116" s="49">
        <v>0</v>
      </c>
      <c r="E1116" s="49">
        <v>0</v>
      </c>
      <c r="F1116" s="49">
        <v>0</v>
      </c>
      <c r="G1116" s="49">
        <v>0</v>
      </c>
      <c r="H1116" s="49">
        <v>0</v>
      </c>
      <c r="I1116" s="49">
        <v>0</v>
      </c>
      <c r="J1116" s="49">
        <v>23.38</v>
      </c>
      <c r="K1116" s="49">
        <v>24.03</v>
      </c>
      <c r="L1116" s="49">
        <v>15.3</v>
      </c>
      <c r="M1116" s="49">
        <v>15.39</v>
      </c>
      <c r="N1116" s="49">
        <v>17.170000000000002</v>
      </c>
      <c r="O1116" s="49">
        <v>17.62</v>
      </c>
      <c r="P1116" s="49">
        <v>14.36</v>
      </c>
      <c r="Q1116" s="49">
        <v>19.77</v>
      </c>
      <c r="R1116" s="49">
        <v>14.45</v>
      </c>
      <c r="S1116" s="49">
        <v>15.43</v>
      </c>
    </row>
    <row r="1117" spans="1:19" ht="18">
      <c r="A1117" s="49">
        <v>5288</v>
      </c>
      <c r="B1117" s="49" t="s">
        <v>993</v>
      </c>
      <c r="C1117" s="49">
        <v>0</v>
      </c>
      <c r="D1117" s="49">
        <v>0</v>
      </c>
      <c r="E1117" s="49">
        <v>0</v>
      </c>
      <c r="F1117" s="49">
        <v>0</v>
      </c>
      <c r="G1117" s="49">
        <v>0</v>
      </c>
      <c r="H1117" s="49">
        <v>0</v>
      </c>
      <c r="I1117" s="49">
        <v>0</v>
      </c>
      <c r="J1117" s="49">
        <v>12.58</v>
      </c>
      <c r="K1117" s="49">
        <v>14.59</v>
      </c>
      <c r="L1117" s="49">
        <v>11.1</v>
      </c>
      <c r="M1117" s="49">
        <v>12.21</v>
      </c>
      <c r="N1117" s="49">
        <v>14.05</v>
      </c>
      <c r="O1117" s="49">
        <v>12.77</v>
      </c>
      <c r="P1117" s="49">
        <v>14.61</v>
      </c>
      <c r="Q1117" s="49">
        <v>13.77</v>
      </c>
      <c r="R1117" s="49">
        <v>13.91</v>
      </c>
      <c r="S1117" s="49">
        <v>11.76</v>
      </c>
    </row>
    <row r="1118" spans="1:19" ht="18">
      <c r="A1118" s="49">
        <v>5289</v>
      </c>
      <c r="B1118" s="49" t="s">
        <v>1632</v>
      </c>
      <c r="C1118" s="49">
        <v>0</v>
      </c>
      <c r="D1118" s="49">
        <v>0</v>
      </c>
      <c r="E1118" s="49">
        <v>0</v>
      </c>
      <c r="F1118" s="49">
        <v>0</v>
      </c>
      <c r="G1118" s="49">
        <v>0</v>
      </c>
      <c r="H1118" s="49">
        <v>0</v>
      </c>
      <c r="I1118" s="49">
        <v>11.99</v>
      </c>
      <c r="J1118" s="49">
        <v>14.02</v>
      </c>
      <c r="K1118" s="49">
        <v>9.91</v>
      </c>
      <c r="L1118" s="49">
        <v>11.56</v>
      </c>
      <c r="M1118" s="49">
        <v>13.09</v>
      </c>
      <c r="N1118" s="49">
        <v>8.69</v>
      </c>
      <c r="O1118" s="49">
        <v>14.51</v>
      </c>
      <c r="P1118" s="49">
        <v>13.7</v>
      </c>
      <c r="Q1118" s="49">
        <v>11.66</v>
      </c>
      <c r="R1118" s="49">
        <v>9.14</v>
      </c>
      <c r="S1118" s="49">
        <v>21.71</v>
      </c>
    </row>
    <row r="1119" spans="1:19" ht="18">
      <c r="A1119" s="49">
        <v>5291</v>
      </c>
      <c r="B1119" s="49" t="s">
        <v>1633</v>
      </c>
      <c r="C1119" s="49">
        <v>0</v>
      </c>
      <c r="D1119" s="49">
        <v>0</v>
      </c>
      <c r="E1119" s="49">
        <v>0</v>
      </c>
      <c r="F1119" s="49">
        <v>0</v>
      </c>
      <c r="G1119" s="49">
        <v>0</v>
      </c>
      <c r="H1119" s="49">
        <v>0</v>
      </c>
      <c r="I1119" s="49">
        <v>0</v>
      </c>
      <c r="J1119" s="49">
        <v>9.77</v>
      </c>
      <c r="K1119" s="49">
        <v>34.4</v>
      </c>
      <c r="L1119" s="49">
        <v>0</v>
      </c>
      <c r="M1119" s="49">
        <v>0</v>
      </c>
      <c r="N1119" s="49">
        <v>113.93</v>
      </c>
      <c r="O1119" s="49">
        <v>16.75</v>
      </c>
      <c r="P1119" s="49">
        <v>14.84</v>
      </c>
      <c r="Q1119" s="49">
        <v>9.99</v>
      </c>
      <c r="R1119" s="49">
        <v>6.6</v>
      </c>
      <c r="S1119" s="49">
        <v>30.96</v>
      </c>
    </row>
    <row r="1120" spans="1:19" ht="18">
      <c r="A1120" s="49">
        <v>5299</v>
      </c>
      <c r="B1120" s="49" t="s">
        <v>1634</v>
      </c>
      <c r="C1120" s="49">
        <v>0</v>
      </c>
      <c r="D1120" s="49">
        <v>0</v>
      </c>
      <c r="E1120" s="49">
        <v>0</v>
      </c>
      <c r="F1120" s="49">
        <v>0</v>
      </c>
      <c r="G1120" s="49">
        <v>0</v>
      </c>
      <c r="H1120" s="49">
        <v>0</v>
      </c>
      <c r="I1120" s="49">
        <v>0</v>
      </c>
      <c r="J1120" s="49">
        <v>0</v>
      </c>
      <c r="K1120" s="49">
        <v>0</v>
      </c>
      <c r="L1120" s="49">
        <v>0</v>
      </c>
      <c r="M1120" s="49">
        <v>0</v>
      </c>
      <c r="N1120" s="49">
        <v>16.690000000000001</v>
      </c>
      <c r="O1120" s="49">
        <v>14.43</v>
      </c>
      <c r="P1120" s="49">
        <v>14.89</v>
      </c>
      <c r="Q1120" s="49">
        <v>12.17</v>
      </c>
      <c r="R1120" s="49">
        <v>5.85</v>
      </c>
      <c r="S1120" s="49">
        <v>22.15</v>
      </c>
    </row>
    <row r="1121" spans="1:19" ht="18">
      <c r="A1121" s="49">
        <v>5301</v>
      </c>
      <c r="B1121" s="49" t="s">
        <v>1635</v>
      </c>
      <c r="C1121" s="49">
        <v>0</v>
      </c>
      <c r="D1121" s="49">
        <v>6.76</v>
      </c>
      <c r="E1121" s="49">
        <v>0</v>
      </c>
      <c r="F1121" s="49">
        <v>0</v>
      </c>
      <c r="G1121" s="49">
        <v>0</v>
      </c>
      <c r="H1121" s="49">
        <v>0</v>
      </c>
      <c r="I1121" s="49">
        <v>23.73</v>
      </c>
      <c r="J1121" s="49">
        <v>34.43</v>
      </c>
      <c r="K1121" s="49">
        <v>58.75</v>
      </c>
      <c r="L1121" s="49">
        <v>0</v>
      </c>
      <c r="M1121" s="49">
        <v>0</v>
      </c>
      <c r="N1121" s="49">
        <v>0</v>
      </c>
      <c r="O1121" s="49">
        <v>0</v>
      </c>
      <c r="P1121" s="49">
        <v>0</v>
      </c>
      <c r="Q1121" s="49">
        <v>0</v>
      </c>
      <c r="R1121" s="49">
        <v>0</v>
      </c>
      <c r="S1121" s="49">
        <v>0</v>
      </c>
    </row>
    <row r="1122" spans="1:19" ht="18">
      <c r="A1122" s="49">
        <v>5302</v>
      </c>
      <c r="B1122" s="49" t="s">
        <v>1636</v>
      </c>
      <c r="C1122" s="49">
        <v>0</v>
      </c>
      <c r="D1122" s="49">
        <v>0</v>
      </c>
      <c r="E1122" s="49">
        <v>0</v>
      </c>
      <c r="F1122" s="49">
        <v>0</v>
      </c>
      <c r="G1122" s="49">
        <v>0</v>
      </c>
      <c r="H1122" s="49">
        <v>0</v>
      </c>
      <c r="I1122" s="49">
        <v>0</v>
      </c>
      <c r="J1122" s="49">
        <v>0</v>
      </c>
      <c r="K1122" s="49">
        <v>0</v>
      </c>
      <c r="L1122" s="49">
        <v>0</v>
      </c>
      <c r="M1122" s="49">
        <v>0</v>
      </c>
      <c r="N1122" s="49">
        <v>0</v>
      </c>
      <c r="O1122" s="49">
        <v>0</v>
      </c>
      <c r="P1122" s="49">
        <v>0</v>
      </c>
      <c r="Q1122" s="49">
        <v>0</v>
      </c>
      <c r="R1122" s="49">
        <v>0</v>
      </c>
      <c r="S1122" s="49">
        <v>0</v>
      </c>
    </row>
    <row r="1123" spans="1:19" ht="18">
      <c r="A1123" s="49">
        <v>5306</v>
      </c>
      <c r="B1123" s="49" t="s">
        <v>994</v>
      </c>
      <c r="C1123" s="49">
        <v>0</v>
      </c>
      <c r="D1123" s="49">
        <v>0</v>
      </c>
      <c r="E1123" s="49">
        <v>0</v>
      </c>
      <c r="F1123" s="49">
        <v>0</v>
      </c>
      <c r="G1123" s="49">
        <v>0</v>
      </c>
      <c r="H1123" s="49">
        <v>34.86</v>
      </c>
      <c r="I1123" s="49">
        <v>31.22</v>
      </c>
      <c r="J1123" s="49">
        <v>30.32</v>
      </c>
      <c r="K1123" s="49">
        <v>24.67</v>
      </c>
      <c r="L1123" s="49">
        <v>17.71</v>
      </c>
      <c r="M1123" s="49">
        <v>14.98</v>
      </c>
      <c r="N1123" s="49">
        <v>12.66</v>
      </c>
      <c r="O1123" s="49">
        <v>13.54</v>
      </c>
      <c r="P1123" s="49">
        <v>16.559999999999999</v>
      </c>
      <c r="Q1123" s="49">
        <v>12.84</v>
      </c>
      <c r="R1123" s="49">
        <v>8.23</v>
      </c>
      <c r="S1123" s="49">
        <v>18.010000000000002</v>
      </c>
    </row>
    <row r="1124" spans="1:19" ht="18">
      <c r="A1124" s="49">
        <v>5309</v>
      </c>
      <c r="B1124" s="49" t="s">
        <v>1637</v>
      </c>
      <c r="C1124" s="49">
        <v>0</v>
      </c>
      <c r="D1124" s="49">
        <v>0</v>
      </c>
      <c r="E1124" s="49">
        <v>0</v>
      </c>
      <c r="F1124" s="49">
        <v>21.67</v>
      </c>
      <c r="G1124" s="49">
        <v>0</v>
      </c>
      <c r="H1124" s="49">
        <v>17.88</v>
      </c>
      <c r="I1124" s="49">
        <v>0</v>
      </c>
      <c r="J1124" s="49">
        <v>0</v>
      </c>
      <c r="K1124" s="49">
        <v>5.1100000000000003</v>
      </c>
      <c r="L1124" s="49">
        <v>0</v>
      </c>
      <c r="M1124" s="49">
        <v>0</v>
      </c>
      <c r="N1124" s="49">
        <v>0</v>
      </c>
      <c r="O1124" s="49">
        <v>0</v>
      </c>
      <c r="P1124" s="49">
        <v>0</v>
      </c>
      <c r="Q1124" s="49">
        <v>173.7</v>
      </c>
      <c r="R1124" s="49">
        <v>19.25</v>
      </c>
      <c r="S1124" s="49">
        <v>24.66</v>
      </c>
    </row>
    <row r="1125" spans="1:19" ht="18">
      <c r="A1125" s="49">
        <v>5310</v>
      </c>
      <c r="B1125" s="49" t="s">
        <v>1638</v>
      </c>
      <c r="C1125" s="49">
        <v>0</v>
      </c>
      <c r="D1125" s="49">
        <v>13.24</v>
      </c>
      <c r="E1125" s="49">
        <v>22.42</v>
      </c>
      <c r="F1125" s="49">
        <v>129.47</v>
      </c>
      <c r="G1125" s="49">
        <v>14.44</v>
      </c>
      <c r="H1125" s="49">
        <v>0</v>
      </c>
      <c r="I1125" s="49">
        <v>6.89</v>
      </c>
      <c r="J1125" s="49">
        <v>0</v>
      </c>
      <c r="K1125" s="49">
        <v>0</v>
      </c>
      <c r="L1125" s="49">
        <v>0</v>
      </c>
      <c r="M1125" s="49">
        <v>0</v>
      </c>
      <c r="N1125" s="49">
        <v>0</v>
      </c>
      <c r="O1125" s="49">
        <v>0</v>
      </c>
      <c r="P1125" s="49">
        <v>0</v>
      </c>
      <c r="Q1125" s="49">
        <v>0</v>
      </c>
      <c r="R1125" s="49">
        <v>0</v>
      </c>
      <c r="S1125" s="49">
        <v>0</v>
      </c>
    </row>
    <row r="1126" spans="1:19" ht="18">
      <c r="A1126" s="49">
        <v>5312</v>
      </c>
      <c r="B1126" s="49" t="s">
        <v>1639</v>
      </c>
      <c r="C1126" s="49">
        <v>13.67</v>
      </c>
      <c r="D1126" s="49">
        <v>9.9600000000000009</v>
      </c>
      <c r="E1126" s="49">
        <v>23.6</v>
      </c>
      <c r="F1126" s="49">
        <v>23.26</v>
      </c>
      <c r="G1126" s="49">
        <v>18.43</v>
      </c>
      <c r="H1126" s="49">
        <v>16.45</v>
      </c>
      <c r="I1126" s="49">
        <v>19.53</v>
      </c>
      <c r="J1126" s="49">
        <v>13.39</v>
      </c>
      <c r="K1126" s="49">
        <v>13.45</v>
      </c>
      <c r="L1126" s="49">
        <v>11.8</v>
      </c>
      <c r="M1126" s="49">
        <v>13.29</v>
      </c>
      <c r="N1126" s="49">
        <v>14.99</v>
      </c>
      <c r="O1126" s="49">
        <v>12.45</v>
      </c>
      <c r="P1126" s="49">
        <v>10.82</v>
      </c>
      <c r="Q1126" s="49">
        <v>12.79</v>
      </c>
      <c r="R1126" s="49">
        <v>13.52</v>
      </c>
      <c r="S1126" s="49">
        <v>14.33</v>
      </c>
    </row>
    <row r="1127" spans="1:19" ht="18">
      <c r="A1127" s="49">
        <v>5314</v>
      </c>
      <c r="B1127" s="49" t="s">
        <v>1640</v>
      </c>
      <c r="C1127" s="49">
        <v>0</v>
      </c>
      <c r="D1127" s="49">
        <v>0</v>
      </c>
      <c r="E1127" s="49">
        <v>0</v>
      </c>
      <c r="F1127" s="49">
        <v>72.67</v>
      </c>
      <c r="G1127" s="49">
        <v>6.83</v>
      </c>
      <c r="H1127" s="49">
        <v>0</v>
      </c>
      <c r="I1127" s="49">
        <v>0</v>
      </c>
      <c r="J1127" s="49">
        <v>0</v>
      </c>
      <c r="K1127" s="49">
        <v>0</v>
      </c>
      <c r="L1127" s="49">
        <v>0</v>
      </c>
      <c r="M1127" s="49">
        <v>0</v>
      </c>
      <c r="N1127" s="49">
        <v>2.46</v>
      </c>
      <c r="O1127" s="49">
        <v>0</v>
      </c>
      <c r="P1127" s="49">
        <v>0</v>
      </c>
      <c r="Q1127" s="49">
        <v>0</v>
      </c>
      <c r="R1127" s="49">
        <v>0</v>
      </c>
      <c r="S1127" s="49">
        <v>37.75</v>
      </c>
    </row>
    <row r="1128" spans="1:19" ht="18">
      <c r="A1128" s="49">
        <v>5315</v>
      </c>
      <c r="B1128" s="49" t="s">
        <v>1641</v>
      </c>
      <c r="C1128" s="49">
        <v>0</v>
      </c>
      <c r="D1128" s="49">
        <v>0</v>
      </c>
      <c r="E1128" s="49">
        <v>0</v>
      </c>
      <c r="F1128" s="49">
        <v>0</v>
      </c>
      <c r="G1128" s="49">
        <v>0</v>
      </c>
      <c r="H1128" s="49">
        <v>0</v>
      </c>
      <c r="I1128" s="49">
        <v>0</v>
      </c>
      <c r="J1128" s="49">
        <v>0</v>
      </c>
      <c r="K1128" s="49">
        <v>9.59</v>
      </c>
      <c r="L1128" s="49">
        <v>6.29</v>
      </c>
      <c r="M1128" s="49">
        <v>8.98</v>
      </c>
      <c r="N1128" s="49">
        <v>10.029999999999999</v>
      </c>
      <c r="O1128" s="49">
        <v>14.7</v>
      </c>
      <c r="P1128" s="49">
        <v>23.36</v>
      </c>
      <c r="Q1128" s="49">
        <v>12.39</v>
      </c>
      <c r="R1128" s="49">
        <v>7.49</v>
      </c>
      <c r="S1128" s="49">
        <v>13.25</v>
      </c>
    </row>
    <row r="1129" spans="1:19" ht="18">
      <c r="A1129" s="49">
        <v>5321</v>
      </c>
      <c r="B1129" s="49" t="s">
        <v>1642</v>
      </c>
      <c r="C1129" s="49">
        <v>6</v>
      </c>
      <c r="D1129" s="49">
        <v>0</v>
      </c>
      <c r="E1129" s="49">
        <v>0</v>
      </c>
      <c r="F1129" s="49">
        <v>0</v>
      </c>
      <c r="G1129" s="49">
        <v>0</v>
      </c>
      <c r="H1129" s="49">
        <v>0</v>
      </c>
      <c r="I1129" s="49">
        <v>0</v>
      </c>
      <c r="J1129" s="49">
        <v>0</v>
      </c>
      <c r="K1129" s="49">
        <v>9.3000000000000007</v>
      </c>
      <c r="L1129" s="49">
        <v>29.48</v>
      </c>
      <c r="M1129" s="49">
        <v>51.41</v>
      </c>
      <c r="N1129" s="49">
        <v>0</v>
      </c>
      <c r="O1129" s="49">
        <v>18.2</v>
      </c>
      <c r="P1129" s="49">
        <v>0</v>
      </c>
      <c r="Q1129" s="49">
        <v>60.67</v>
      </c>
      <c r="R1129" s="49">
        <v>13.32</v>
      </c>
      <c r="S1129" s="49">
        <v>28.41</v>
      </c>
    </row>
    <row r="1130" spans="1:19" ht="18">
      <c r="A1130" s="49">
        <v>5324</v>
      </c>
      <c r="B1130" s="49" t="s">
        <v>1643</v>
      </c>
      <c r="C1130" s="49">
        <v>0</v>
      </c>
      <c r="D1130" s="49">
        <v>0</v>
      </c>
      <c r="E1130" s="49">
        <v>0</v>
      </c>
      <c r="F1130" s="49">
        <v>16.809999999999999</v>
      </c>
      <c r="G1130" s="49">
        <v>8.94</v>
      </c>
      <c r="H1130" s="49">
        <v>5.71</v>
      </c>
      <c r="I1130" s="49">
        <v>3.09</v>
      </c>
      <c r="J1130" s="49">
        <v>0</v>
      </c>
      <c r="K1130" s="49">
        <v>0</v>
      </c>
      <c r="L1130" s="49">
        <v>25.74</v>
      </c>
      <c r="M1130" s="49">
        <v>0</v>
      </c>
      <c r="N1130" s="49">
        <v>11.22</v>
      </c>
      <c r="O1130" s="49">
        <v>0</v>
      </c>
      <c r="P1130" s="49">
        <v>27.8</v>
      </c>
      <c r="Q1130" s="49">
        <v>0</v>
      </c>
      <c r="R1130" s="49">
        <v>0</v>
      </c>
      <c r="S1130" s="49">
        <v>0</v>
      </c>
    </row>
    <row r="1131" spans="1:19" ht="18">
      <c r="A1131" s="49">
        <v>5328</v>
      </c>
      <c r="B1131" s="49" t="s">
        <v>1644</v>
      </c>
      <c r="C1131" s="49">
        <v>0</v>
      </c>
      <c r="D1131" s="49">
        <v>14.94</v>
      </c>
      <c r="E1131" s="49">
        <v>0</v>
      </c>
      <c r="F1131" s="49">
        <v>24.26</v>
      </c>
      <c r="G1131" s="49">
        <v>13.06</v>
      </c>
      <c r="H1131" s="49">
        <v>0</v>
      </c>
      <c r="I1131" s="49">
        <v>0</v>
      </c>
      <c r="J1131" s="49">
        <v>51.14</v>
      </c>
      <c r="K1131" s="49">
        <v>0</v>
      </c>
      <c r="L1131" s="49">
        <v>16.07</v>
      </c>
      <c r="M1131" s="49">
        <v>48.1</v>
      </c>
      <c r="N1131" s="49">
        <v>74.08</v>
      </c>
      <c r="O1131" s="49">
        <v>0</v>
      </c>
      <c r="P1131" s="49">
        <v>220</v>
      </c>
      <c r="Q1131" s="49">
        <v>56.92</v>
      </c>
      <c r="R1131" s="49">
        <v>30.61</v>
      </c>
      <c r="S1131" s="49">
        <v>28.3</v>
      </c>
    </row>
    <row r="1132" spans="1:19" ht="18">
      <c r="A1132" s="49">
        <v>5340</v>
      </c>
      <c r="B1132" s="49" t="s">
        <v>1645</v>
      </c>
      <c r="C1132" s="49">
        <v>34.450000000000003</v>
      </c>
      <c r="D1132" s="49">
        <v>0</v>
      </c>
      <c r="E1132" s="49">
        <v>0</v>
      </c>
      <c r="F1132" s="49">
        <v>16.96</v>
      </c>
      <c r="G1132" s="49">
        <v>277</v>
      </c>
      <c r="H1132" s="49">
        <v>0</v>
      </c>
      <c r="I1132" s="49">
        <v>0</v>
      </c>
      <c r="J1132" s="49">
        <v>0</v>
      </c>
      <c r="K1132" s="49">
        <v>0</v>
      </c>
      <c r="L1132" s="49">
        <v>0</v>
      </c>
      <c r="M1132" s="49">
        <v>22</v>
      </c>
      <c r="N1132" s="49">
        <v>15.47</v>
      </c>
      <c r="O1132" s="49">
        <v>84.06</v>
      </c>
      <c r="P1132" s="49">
        <v>68.33</v>
      </c>
      <c r="Q1132" s="49">
        <v>127.24</v>
      </c>
      <c r="R1132" s="49">
        <v>53.3</v>
      </c>
      <c r="S1132" s="49">
        <v>737.5</v>
      </c>
    </row>
    <row r="1133" spans="1:19" ht="18">
      <c r="A1133" s="49">
        <v>5344</v>
      </c>
      <c r="B1133" s="49" t="s">
        <v>1646</v>
      </c>
      <c r="C1133" s="49">
        <v>24.14</v>
      </c>
      <c r="D1133" s="49">
        <v>8.0299999999999994</v>
      </c>
      <c r="E1133" s="49">
        <v>17.52</v>
      </c>
      <c r="F1133" s="49">
        <v>17.7</v>
      </c>
      <c r="G1133" s="49">
        <v>12.19</v>
      </c>
      <c r="H1133" s="49">
        <v>9.15</v>
      </c>
      <c r="I1133" s="49">
        <v>0</v>
      </c>
      <c r="J1133" s="49">
        <v>0</v>
      </c>
      <c r="K1133" s="49">
        <v>0</v>
      </c>
      <c r="L1133" s="49">
        <v>0</v>
      </c>
      <c r="M1133" s="49">
        <v>0</v>
      </c>
      <c r="N1133" s="49">
        <v>0</v>
      </c>
      <c r="O1133" s="49">
        <v>0</v>
      </c>
      <c r="P1133" s="49">
        <v>54.26</v>
      </c>
      <c r="Q1133" s="49">
        <v>45.3</v>
      </c>
      <c r="R1133" s="49">
        <v>99.44</v>
      </c>
      <c r="S1133" s="49">
        <v>0</v>
      </c>
    </row>
    <row r="1134" spans="1:19" ht="18">
      <c r="A1134" s="49">
        <v>5345</v>
      </c>
      <c r="B1134" s="49" t="s">
        <v>1647</v>
      </c>
      <c r="C1134" s="49">
        <v>0</v>
      </c>
      <c r="D1134" s="49">
        <v>0</v>
      </c>
      <c r="E1134" s="49">
        <v>0</v>
      </c>
      <c r="F1134" s="49">
        <v>0</v>
      </c>
      <c r="G1134" s="49">
        <v>0</v>
      </c>
      <c r="H1134" s="49">
        <v>0</v>
      </c>
      <c r="I1134" s="49">
        <v>0</v>
      </c>
      <c r="J1134" s="49">
        <v>4.95</v>
      </c>
      <c r="K1134" s="49">
        <v>8.85</v>
      </c>
      <c r="L1134" s="49">
        <v>8.2200000000000006</v>
      </c>
      <c r="M1134" s="49">
        <v>0</v>
      </c>
      <c r="N1134" s="49">
        <v>0</v>
      </c>
      <c r="O1134" s="49">
        <v>0</v>
      </c>
      <c r="P1134" s="49">
        <v>0</v>
      </c>
      <c r="Q1134" s="49">
        <v>0</v>
      </c>
      <c r="R1134" s="49">
        <v>0</v>
      </c>
      <c r="S1134" s="49">
        <v>0</v>
      </c>
    </row>
    <row r="1135" spans="1:19" ht="18">
      <c r="A1135" s="49">
        <v>5347</v>
      </c>
      <c r="B1135" s="49" t="s">
        <v>1648</v>
      </c>
      <c r="C1135" s="49">
        <v>9.8000000000000007</v>
      </c>
      <c r="D1135" s="49">
        <v>4.63</v>
      </c>
      <c r="E1135" s="49">
        <v>0</v>
      </c>
      <c r="F1135" s="49">
        <v>14.23</v>
      </c>
      <c r="G1135" s="49">
        <v>14.86</v>
      </c>
      <c r="H1135" s="49">
        <v>20.149999999999999</v>
      </c>
      <c r="I1135" s="49">
        <v>14.57</v>
      </c>
      <c r="J1135" s="49">
        <v>16.760000000000002</v>
      </c>
      <c r="K1135" s="49">
        <v>14.81</v>
      </c>
      <c r="L1135" s="49">
        <v>18.190000000000001</v>
      </c>
      <c r="M1135" s="49">
        <v>23.32</v>
      </c>
      <c r="N1135" s="49">
        <v>17.87</v>
      </c>
      <c r="O1135" s="49">
        <v>20.65</v>
      </c>
      <c r="P1135" s="49">
        <v>31.78</v>
      </c>
      <c r="Q1135" s="49">
        <v>26.07</v>
      </c>
      <c r="R1135" s="49">
        <v>7.69</v>
      </c>
      <c r="S1135" s="49">
        <v>17.91</v>
      </c>
    </row>
    <row r="1136" spans="1:19" ht="18">
      <c r="A1136" s="49">
        <v>5348</v>
      </c>
      <c r="B1136" s="49" t="s">
        <v>1649</v>
      </c>
      <c r="C1136" s="49">
        <v>12.72</v>
      </c>
      <c r="D1136" s="49">
        <v>38.72</v>
      </c>
      <c r="E1136" s="49">
        <v>0</v>
      </c>
      <c r="F1136" s="49">
        <v>0</v>
      </c>
      <c r="G1136" s="49">
        <v>14.84</v>
      </c>
      <c r="H1136" s="49">
        <v>7.93</v>
      </c>
      <c r="I1136" s="49">
        <v>0</v>
      </c>
      <c r="J1136" s="49">
        <v>0</v>
      </c>
      <c r="K1136" s="49">
        <v>0</v>
      </c>
      <c r="L1136" s="49">
        <v>0</v>
      </c>
      <c r="M1136" s="49">
        <v>0</v>
      </c>
      <c r="N1136" s="49">
        <v>1.59</v>
      </c>
      <c r="O1136" s="49">
        <v>0</v>
      </c>
      <c r="P1136" s="49">
        <v>0</v>
      </c>
      <c r="Q1136" s="49">
        <v>0</v>
      </c>
      <c r="R1136" s="49">
        <v>76.75</v>
      </c>
      <c r="S1136" s="49">
        <v>72.14</v>
      </c>
    </row>
    <row r="1137" spans="1:19" ht="18">
      <c r="A1137" s="49">
        <v>5351</v>
      </c>
      <c r="B1137" s="49" t="s">
        <v>1650</v>
      </c>
      <c r="C1137" s="49">
        <v>8.42</v>
      </c>
      <c r="D1137" s="49">
        <v>0</v>
      </c>
      <c r="E1137" s="49">
        <v>0</v>
      </c>
      <c r="F1137" s="49">
        <v>16.350000000000001</v>
      </c>
      <c r="G1137" s="49">
        <v>0</v>
      </c>
      <c r="H1137" s="49">
        <v>0</v>
      </c>
      <c r="I1137" s="49">
        <v>0</v>
      </c>
      <c r="J1137" s="49">
        <v>49.47</v>
      </c>
      <c r="K1137" s="49">
        <v>0</v>
      </c>
      <c r="L1137" s="49">
        <v>0</v>
      </c>
      <c r="M1137" s="49">
        <v>0</v>
      </c>
      <c r="N1137" s="49">
        <v>0</v>
      </c>
      <c r="O1137" s="49">
        <v>0</v>
      </c>
      <c r="P1137" s="49">
        <v>0</v>
      </c>
      <c r="Q1137" s="49">
        <v>44.1</v>
      </c>
      <c r="R1137" s="49">
        <v>13.96</v>
      </c>
      <c r="S1137" s="49">
        <v>0</v>
      </c>
    </row>
    <row r="1138" spans="1:19" ht="18">
      <c r="A1138" s="49">
        <v>5353</v>
      </c>
      <c r="B1138" s="49" t="s">
        <v>1651</v>
      </c>
      <c r="C1138" s="49">
        <v>24.05</v>
      </c>
      <c r="D1138" s="49">
        <v>187.67</v>
      </c>
      <c r="E1138" s="49">
        <v>45.74</v>
      </c>
      <c r="F1138" s="49">
        <v>30.53</v>
      </c>
      <c r="G1138" s="49">
        <v>10</v>
      </c>
      <c r="H1138" s="49">
        <v>50.72</v>
      </c>
      <c r="I1138" s="49">
        <v>24.42</v>
      </c>
      <c r="J1138" s="49">
        <v>26.04</v>
      </c>
      <c r="K1138" s="49">
        <v>27.44</v>
      </c>
      <c r="L1138" s="49">
        <v>36.79</v>
      </c>
      <c r="M1138" s="49">
        <v>25.61</v>
      </c>
      <c r="N1138" s="49">
        <v>17.059999999999999</v>
      </c>
      <c r="O1138" s="49">
        <v>13.67</v>
      </c>
      <c r="P1138" s="49">
        <v>16.36</v>
      </c>
      <c r="Q1138" s="49">
        <v>24.44</v>
      </c>
      <c r="R1138" s="49">
        <v>17.45</v>
      </c>
      <c r="S1138" s="49">
        <v>14.42</v>
      </c>
    </row>
    <row r="1139" spans="1:19" ht="18">
      <c r="A1139" s="49">
        <v>5355</v>
      </c>
      <c r="B1139" s="49" t="s">
        <v>1652</v>
      </c>
      <c r="C1139" s="49">
        <v>61.92</v>
      </c>
      <c r="D1139" s="49">
        <v>0</v>
      </c>
      <c r="E1139" s="49">
        <v>0</v>
      </c>
      <c r="F1139" s="49">
        <v>0</v>
      </c>
      <c r="G1139" s="49">
        <v>0</v>
      </c>
      <c r="H1139" s="49">
        <v>29.03</v>
      </c>
      <c r="I1139" s="49">
        <v>8.69</v>
      </c>
      <c r="J1139" s="49">
        <v>12.47</v>
      </c>
      <c r="K1139" s="49">
        <v>11.52</v>
      </c>
      <c r="L1139" s="49">
        <v>0</v>
      </c>
      <c r="M1139" s="49">
        <v>0</v>
      </c>
      <c r="N1139" s="49">
        <v>0</v>
      </c>
      <c r="O1139" s="49">
        <v>0</v>
      </c>
      <c r="P1139" s="49">
        <v>0</v>
      </c>
      <c r="Q1139" s="49">
        <v>0</v>
      </c>
      <c r="R1139" s="49">
        <v>0</v>
      </c>
      <c r="S1139" s="49">
        <v>0</v>
      </c>
    </row>
    <row r="1140" spans="1:19" ht="18">
      <c r="A1140" s="49">
        <v>5356</v>
      </c>
      <c r="B1140" s="49" t="s">
        <v>1653</v>
      </c>
      <c r="C1140" s="49">
        <v>17.440000000000001</v>
      </c>
      <c r="D1140" s="49">
        <v>8.23</v>
      </c>
      <c r="E1140" s="49">
        <v>20</v>
      </c>
      <c r="F1140" s="49">
        <v>7.31</v>
      </c>
      <c r="G1140" s="49">
        <v>4.3</v>
      </c>
      <c r="H1140" s="49">
        <v>7.82</v>
      </c>
      <c r="I1140" s="49">
        <v>7.77</v>
      </c>
      <c r="J1140" s="49">
        <v>5.61</v>
      </c>
      <c r="K1140" s="49">
        <v>10.53</v>
      </c>
      <c r="L1140" s="49">
        <v>9.41</v>
      </c>
      <c r="M1140" s="49">
        <v>9.4700000000000006</v>
      </c>
      <c r="N1140" s="49">
        <v>14.88</v>
      </c>
      <c r="O1140" s="49">
        <v>14.4</v>
      </c>
      <c r="P1140" s="49">
        <v>12.97</v>
      </c>
      <c r="Q1140" s="49">
        <v>37.01</v>
      </c>
      <c r="R1140" s="49">
        <v>0</v>
      </c>
      <c r="S1140" s="49">
        <v>200.33</v>
      </c>
    </row>
    <row r="1141" spans="1:19" ht="18">
      <c r="A1141" s="49">
        <v>5364</v>
      </c>
      <c r="B1141" s="49" t="s">
        <v>1654</v>
      </c>
      <c r="C1141" s="49">
        <v>6.98</v>
      </c>
      <c r="D1141" s="49">
        <v>0</v>
      </c>
      <c r="E1141" s="49">
        <v>0</v>
      </c>
      <c r="F1141" s="49">
        <v>0</v>
      </c>
      <c r="G1141" s="49">
        <v>0</v>
      </c>
      <c r="H1141" s="49">
        <v>0</v>
      </c>
      <c r="I1141" s="49">
        <v>0</v>
      </c>
      <c r="J1141" s="49">
        <v>26.39</v>
      </c>
      <c r="K1141" s="49">
        <v>0</v>
      </c>
      <c r="L1141" s="49">
        <v>11.02</v>
      </c>
      <c r="M1141" s="49">
        <v>0</v>
      </c>
      <c r="N1141" s="49">
        <v>0</v>
      </c>
      <c r="O1141" s="49">
        <v>0</v>
      </c>
      <c r="P1141" s="49">
        <v>0</v>
      </c>
      <c r="Q1141" s="49">
        <v>0</v>
      </c>
      <c r="R1141" s="49">
        <v>110.95</v>
      </c>
      <c r="S1141" s="49">
        <v>0</v>
      </c>
    </row>
    <row r="1142" spans="1:19" ht="18">
      <c r="A1142" s="49">
        <v>5371</v>
      </c>
      <c r="B1142" s="49" t="s">
        <v>1655</v>
      </c>
      <c r="C1142" s="49">
        <v>8.76</v>
      </c>
      <c r="D1142" s="49">
        <v>3.82</v>
      </c>
      <c r="E1142" s="49">
        <v>22.63</v>
      </c>
      <c r="F1142" s="49">
        <v>8.11</v>
      </c>
      <c r="G1142" s="49">
        <v>9.6199999999999992</v>
      </c>
      <c r="H1142" s="49">
        <v>16.920000000000002</v>
      </c>
      <c r="I1142" s="49">
        <v>15.34</v>
      </c>
      <c r="J1142" s="49">
        <v>7.66</v>
      </c>
      <c r="K1142" s="49">
        <v>8.0500000000000007</v>
      </c>
      <c r="L1142" s="49">
        <v>8.09</v>
      </c>
      <c r="M1142" s="49">
        <v>8.68</v>
      </c>
      <c r="N1142" s="49">
        <v>7.81</v>
      </c>
      <c r="O1142" s="49">
        <v>11.53</v>
      </c>
      <c r="P1142" s="49">
        <v>11.49</v>
      </c>
      <c r="Q1142" s="49">
        <v>18.78</v>
      </c>
      <c r="R1142" s="49">
        <v>8.85</v>
      </c>
      <c r="S1142" s="49">
        <v>18.57</v>
      </c>
    </row>
    <row r="1143" spans="1:19" ht="18">
      <c r="A1143" s="49">
        <v>5381</v>
      </c>
      <c r="B1143" s="49" t="s">
        <v>1656</v>
      </c>
      <c r="C1143" s="49">
        <v>0</v>
      </c>
      <c r="D1143" s="49">
        <v>0</v>
      </c>
      <c r="E1143" s="49">
        <v>0</v>
      </c>
      <c r="F1143" s="49">
        <v>0</v>
      </c>
      <c r="G1143" s="49">
        <v>0</v>
      </c>
      <c r="H1143" s="49">
        <v>0</v>
      </c>
      <c r="I1143" s="49">
        <v>0</v>
      </c>
      <c r="J1143" s="49">
        <v>0</v>
      </c>
      <c r="K1143" s="49">
        <v>0</v>
      </c>
      <c r="L1143" s="49">
        <v>2</v>
      </c>
      <c r="M1143" s="49">
        <v>0</v>
      </c>
      <c r="N1143" s="49">
        <v>93.2</v>
      </c>
      <c r="O1143" s="49">
        <v>0</v>
      </c>
      <c r="P1143" s="49">
        <v>0</v>
      </c>
      <c r="Q1143" s="49">
        <v>203</v>
      </c>
      <c r="R1143" s="49">
        <v>60</v>
      </c>
      <c r="S1143" s="49">
        <v>95.17</v>
      </c>
    </row>
    <row r="1144" spans="1:19" ht="18">
      <c r="A1144" s="49">
        <v>5383</v>
      </c>
      <c r="B1144" s="49" t="s">
        <v>1657</v>
      </c>
      <c r="C1144" s="49">
        <v>11.46</v>
      </c>
      <c r="D1144" s="49">
        <v>5.96</v>
      </c>
      <c r="E1144" s="49">
        <v>0</v>
      </c>
      <c r="F1144" s="49">
        <v>14.1</v>
      </c>
      <c r="G1144" s="49">
        <v>45.45</v>
      </c>
      <c r="H1144" s="49">
        <v>0</v>
      </c>
      <c r="I1144" s="49">
        <v>206.67</v>
      </c>
      <c r="J1144" s="49">
        <v>27.78</v>
      </c>
      <c r="K1144" s="49">
        <v>0</v>
      </c>
      <c r="L1144" s="49">
        <v>0</v>
      </c>
      <c r="M1144" s="49">
        <v>0</v>
      </c>
      <c r="N1144" s="49">
        <v>0</v>
      </c>
      <c r="O1144" s="49">
        <v>0</v>
      </c>
      <c r="P1144" s="49">
        <v>0</v>
      </c>
      <c r="Q1144" s="49">
        <v>0</v>
      </c>
      <c r="R1144" s="49">
        <v>59.53</v>
      </c>
      <c r="S1144" s="49">
        <v>0</v>
      </c>
    </row>
    <row r="1145" spans="1:19" ht="18">
      <c r="A1145" s="49">
        <v>5386</v>
      </c>
      <c r="B1145" s="49" t="s">
        <v>1658</v>
      </c>
      <c r="C1145" s="49">
        <v>0</v>
      </c>
      <c r="D1145" s="49">
        <v>0</v>
      </c>
      <c r="E1145" s="49">
        <v>0</v>
      </c>
      <c r="F1145" s="49">
        <v>8.36</v>
      </c>
      <c r="G1145" s="49">
        <v>0</v>
      </c>
      <c r="H1145" s="49">
        <v>4.45</v>
      </c>
      <c r="I1145" s="49">
        <v>5.41</v>
      </c>
      <c r="J1145" s="49">
        <v>125.88</v>
      </c>
      <c r="K1145" s="49">
        <v>13.77</v>
      </c>
      <c r="L1145" s="49">
        <v>38.090000000000003</v>
      </c>
      <c r="M1145" s="49">
        <v>12.08</v>
      </c>
      <c r="N1145" s="49">
        <v>10.54</v>
      </c>
      <c r="O1145" s="49">
        <v>47.38</v>
      </c>
      <c r="P1145" s="49">
        <v>72.09</v>
      </c>
      <c r="Q1145" s="49">
        <v>25.13</v>
      </c>
      <c r="R1145" s="49">
        <v>21.35</v>
      </c>
      <c r="S1145" s="49">
        <v>29.05</v>
      </c>
    </row>
    <row r="1146" spans="1:19" ht="18">
      <c r="A1146" s="49">
        <v>5388</v>
      </c>
      <c r="B1146" s="49" t="s">
        <v>995</v>
      </c>
      <c r="C1146" s="49">
        <v>8.75</v>
      </c>
      <c r="D1146" s="49">
        <v>5.37</v>
      </c>
      <c r="E1146" s="49">
        <v>22.41</v>
      </c>
      <c r="F1146" s="49">
        <v>15.35</v>
      </c>
      <c r="G1146" s="49">
        <v>11.05</v>
      </c>
      <c r="H1146" s="49">
        <v>10.55</v>
      </c>
      <c r="I1146" s="49">
        <v>14.12</v>
      </c>
      <c r="J1146" s="49">
        <v>17.79</v>
      </c>
      <c r="K1146" s="49">
        <v>17.52</v>
      </c>
      <c r="L1146" s="49">
        <v>13.25</v>
      </c>
      <c r="M1146" s="49">
        <v>15.4</v>
      </c>
      <c r="N1146" s="49">
        <v>17.489999999999998</v>
      </c>
      <c r="O1146" s="49">
        <v>19.72</v>
      </c>
      <c r="P1146" s="49">
        <v>20.37</v>
      </c>
      <c r="Q1146" s="49">
        <v>24.03</v>
      </c>
      <c r="R1146" s="49">
        <v>11.76</v>
      </c>
      <c r="S1146" s="49">
        <v>15.59</v>
      </c>
    </row>
    <row r="1147" spans="1:19" ht="18">
      <c r="A1147" s="49">
        <v>5392</v>
      </c>
      <c r="B1147" s="49" t="s">
        <v>1659</v>
      </c>
      <c r="C1147" s="49">
        <v>17.77</v>
      </c>
      <c r="D1147" s="49">
        <v>8.16</v>
      </c>
      <c r="E1147" s="49">
        <v>27.11</v>
      </c>
      <c r="F1147" s="49">
        <v>14.49</v>
      </c>
      <c r="G1147" s="49">
        <v>10.83</v>
      </c>
      <c r="H1147" s="49">
        <v>19.23</v>
      </c>
      <c r="I1147" s="49">
        <v>16.34</v>
      </c>
      <c r="J1147" s="49">
        <v>128.52000000000001</v>
      </c>
      <c r="K1147" s="49">
        <v>0</v>
      </c>
      <c r="L1147" s="49">
        <v>42.78</v>
      </c>
      <c r="M1147" s="49">
        <v>49.15</v>
      </c>
      <c r="N1147" s="49">
        <v>29.16</v>
      </c>
      <c r="O1147" s="49">
        <v>49.85</v>
      </c>
      <c r="P1147" s="49">
        <v>0</v>
      </c>
      <c r="Q1147" s="49">
        <v>65.849999999999994</v>
      </c>
      <c r="R1147" s="49">
        <v>0</v>
      </c>
      <c r="S1147" s="49">
        <v>0</v>
      </c>
    </row>
    <row r="1148" spans="1:19" ht="18">
      <c r="A1148" s="49">
        <v>5398</v>
      </c>
      <c r="B1148" s="49" t="s">
        <v>1660</v>
      </c>
      <c r="C1148" s="49">
        <v>0</v>
      </c>
      <c r="D1148" s="49">
        <v>0</v>
      </c>
      <c r="E1148" s="49">
        <v>202.14</v>
      </c>
      <c r="F1148" s="49">
        <v>22.14</v>
      </c>
      <c r="G1148" s="49">
        <v>0</v>
      </c>
      <c r="H1148" s="49">
        <v>0</v>
      </c>
      <c r="I1148" s="49">
        <v>164.58</v>
      </c>
      <c r="J1148" s="49">
        <v>0</v>
      </c>
      <c r="K1148" s="49">
        <v>0</v>
      </c>
      <c r="L1148" s="49">
        <v>0</v>
      </c>
      <c r="M1148" s="49">
        <v>29.52</v>
      </c>
      <c r="N1148" s="49">
        <v>0</v>
      </c>
      <c r="O1148" s="49">
        <v>59.89</v>
      </c>
      <c r="P1148" s="49">
        <v>35.270000000000003</v>
      </c>
      <c r="Q1148" s="49">
        <v>33.200000000000003</v>
      </c>
      <c r="R1148" s="49">
        <v>0</v>
      </c>
      <c r="S1148" s="49">
        <v>0</v>
      </c>
    </row>
    <row r="1149" spans="1:19" ht="18">
      <c r="A1149" s="49">
        <v>5403</v>
      </c>
      <c r="B1149" s="49" t="s">
        <v>1661</v>
      </c>
      <c r="C1149" s="49">
        <v>9.6999999999999993</v>
      </c>
      <c r="D1149" s="49">
        <v>6.4</v>
      </c>
      <c r="E1149" s="49">
        <v>15.06</v>
      </c>
      <c r="F1149" s="49">
        <v>11.98</v>
      </c>
      <c r="G1149" s="49">
        <v>13.7</v>
      </c>
      <c r="H1149" s="49">
        <v>8.76</v>
      </c>
      <c r="I1149" s="49">
        <v>10.64</v>
      </c>
      <c r="J1149" s="49">
        <v>13.18</v>
      </c>
      <c r="K1149" s="49">
        <v>8.75</v>
      </c>
      <c r="L1149" s="49">
        <v>9.31</v>
      </c>
      <c r="M1149" s="49">
        <v>9.6</v>
      </c>
      <c r="N1149" s="49">
        <v>11.89</v>
      </c>
      <c r="O1149" s="49">
        <v>12.21</v>
      </c>
      <c r="P1149" s="49">
        <v>11.77</v>
      </c>
      <c r="Q1149" s="49">
        <v>11.9</v>
      </c>
      <c r="R1149" s="49">
        <v>11.27</v>
      </c>
      <c r="S1149" s="49">
        <v>13.27</v>
      </c>
    </row>
    <row r="1150" spans="1:19" ht="18">
      <c r="A1150" s="49">
        <v>5410</v>
      </c>
      <c r="B1150" s="49" t="s">
        <v>1662</v>
      </c>
      <c r="C1150" s="49">
        <v>34.630000000000003</v>
      </c>
      <c r="D1150" s="49">
        <v>0</v>
      </c>
      <c r="E1150" s="49">
        <v>0</v>
      </c>
      <c r="F1150" s="49">
        <v>11.33</v>
      </c>
      <c r="G1150" s="49">
        <v>12.75</v>
      </c>
      <c r="H1150" s="49">
        <v>10.37</v>
      </c>
      <c r="I1150" s="49">
        <v>12.52</v>
      </c>
      <c r="J1150" s="49">
        <v>12.14</v>
      </c>
      <c r="K1150" s="49">
        <v>8.56</v>
      </c>
      <c r="L1150" s="49">
        <v>8.74</v>
      </c>
      <c r="M1150" s="49">
        <v>10.08</v>
      </c>
      <c r="N1150" s="49">
        <v>9.33</v>
      </c>
      <c r="O1150" s="49">
        <v>10.61</v>
      </c>
      <c r="P1150" s="49">
        <v>10.77</v>
      </c>
      <c r="Q1150" s="49">
        <v>12.06</v>
      </c>
      <c r="R1150" s="49">
        <v>11.81</v>
      </c>
      <c r="S1150" s="49">
        <v>14.33</v>
      </c>
    </row>
    <row r="1151" spans="1:19" ht="18">
      <c r="A1151" s="49">
        <v>5425</v>
      </c>
      <c r="B1151" s="49" t="s">
        <v>1663</v>
      </c>
      <c r="C1151" s="49">
        <v>35.85</v>
      </c>
      <c r="D1151" s="49">
        <v>100.71</v>
      </c>
      <c r="E1151" s="49">
        <v>44.15</v>
      </c>
      <c r="F1151" s="49">
        <v>12.58</v>
      </c>
      <c r="G1151" s="49">
        <v>7.84</v>
      </c>
      <c r="H1151" s="49">
        <v>16.84</v>
      </c>
      <c r="I1151" s="49">
        <v>21.02</v>
      </c>
      <c r="J1151" s="49">
        <v>13.77</v>
      </c>
      <c r="K1151" s="49">
        <v>13.37</v>
      </c>
      <c r="L1151" s="49">
        <v>10.91</v>
      </c>
      <c r="M1151" s="49">
        <v>19.010000000000002</v>
      </c>
      <c r="N1151" s="49">
        <v>14.77</v>
      </c>
      <c r="O1151" s="49">
        <v>21.7</v>
      </c>
      <c r="P1151" s="49">
        <v>32.229999999999997</v>
      </c>
      <c r="Q1151" s="49">
        <v>25.77</v>
      </c>
      <c r="R1151" s="49">
        <v>12.84</v>
      </c>
      <c r="S1151" s="49">
        <v>25.92</v>
      </c>
    </row>
    <row r="1152" spans="1:19" ht="18">
      <c r="A1152" s="49">
        <v>5426</v>
      </c>
      <c r="B1152" s="49" t="s">
        <v>1664</v>
      </c>
      <c r="C1152" s="49">
        <v>8.58</v>
      </c>
      <c r="D1152" s="49">
        <v>5.49</v>
      </c>
      <c r="E1152" s="49">
        <v>11.16</v>
      </c>
      <c r="F1152" s="49">
        <v>10.63</v>
      </c>
      <c r="G1152" s="49">
        <v>23.26</v>
      </c>
      <c r="H1152" s="49">
        <v>9.5</v>
      </c>
      <c r="I1152" s="49">
        <v>11.52</v>
      </c>
      <c r="J1152" s="49">
        <v>11</v>
      </c>
      <c r="K1152" s="49">
        <v>13.61</v>
      </c>
      <c r="L1152" s="49">
        <v>10.98</v>
      </c>
      <c r="M1152" s="49">
        <v>23.69</v>
      </c>
      <c r="N1152" s="49">
        <v>28.82</v>
      </c>
      <c r="O1152" s="49">
        <v>51.3</v>
      </c>
      <c r="P1152" s="49">
        <v>366.67</v>
      </c>
      <c r="Q1152" s="49">
        <v>0</v>
      </c>
      <c r="R1152" s="49">
        <v>17.670000000000002</v>
      </c>
      <c r="S1152" s="49">
        <v>83.24</v>
      </c>
    </row>
    <row r="1153" spans="1:19" ht="18">
      <c r="A1153" s="49">
        <v>5432</v>
      </c>
      <c r="B1153" s="49" t="s">
        <v>1665</v>
      </c>
      <c r="C1153" s="49">
        <v>20.78</v>
      </c>
      <c r="D1153" s="49">
        <v>18</v>
      </c>
      <c r="E1153" s="49">
        <v>0</v>
      </c>
      <c r="F1153" s="49">
        <v>17.91</v>
      </c>
      <c r="G1153" s="49">
        <v>11.84</v>
      </c>
      <c r="H1153" s="49">
        <v>12.66</v>
      </c>
      <c r="I1153" s="49">
        <v>14.95</v>
      </c>
      <c r="J1153" s="49">
        <v>25.42</v>
      </c>
      <c r="K1153" s="49">
        <v>13.25</v>
      </c>
      <c r="L1153" s="49">
        <v>43.13</v>
      </c>
      <c r="M1153" s="49">
        <v>121.11</v>
      </c>
      <c r="N1153" s="49">
        <v>0</v>
      </c>
      <c r="O1153" s="49">
        <v>36.64</v>
      </c>
      <c r="P1153" s="49">
        <v>7.19</v>
      </c>
      <c r="Q1153" s="49">
        <v>0</v>
      </c>
      <c r="R1153" s="49">
        <v>10.71</v>
      </c>
      <c r="S1153" s="49">
        <v>137.36000000000001</v>
      </c>
    </row>
    <row r="1154" spans="1:19" ht="18">
      <c r="A1154" s="49">
        <v>5434</v>
      </c>
      <c r="B1154" s="49" t="s">
        <v>996</v>
      </c>
      <c r="C1154" s="49">
        <v>15.11</v>
      </c>
      <c r="D1154" s="49">
        <v>4.57</v>
      </c>
      <c r="E1154" s="49">
        <v>133.94</v>
      </c>
      <c r="F1154" s="49">
        <v>10.64</v>
      </c>
      <c r="G1154" s="49">
        <v>6.91</v>
      </c>
      <c r="H1154" s="49">
        <v>8.4600000000000009</v>
      </c>
      <c r="I1154" s="49">
        <v>11.42</v>
      </c>
      <c r="J1154" s="49">
        <v>10.89</v>
      </c>
      <c r="K1154" s="49">
        <v>9.48</v>
      </c>
      <c r="L1154" s="49">
        <v>12.34</v>
      </c>
      <c r="M1154" s="49">
        <v>12.11</v>
      </c>
      <c r="N1154" s="49">
        <v>10.45</v>
      </c>
      <c r="O1154" s="49">
        <v>11.16</v>
      </c>
      <c r="P1154" s="49">
        <v>11.29</v>
      </c>
      <c r="Q1154" s="49">
        <v>12.99</v>
      </c>
      <c r="R1154" s="49">
        <v>9.65</v>
      </c>
      <c r="S1154" s="49">
        <v>12.45</v>
      </c>
    </row>
    <row r="1155" spans="1:19" ht="18">
      <c r="A1155" s="49">
        <v>5438</v>
      </c>
      <c r="B1155" s="49" t="s">
        <v>1666</v>
      </c>
      <c r="C1155" s="49">
        <v>8.9600000000000009</v>
      </c>
      <c r="D1155" s="49">
        <v>4.8499999999999996</v>
      </c>
      <c r="E1155" s="49">
        <v>14.46</v>
      </c>
      <c r="F1155" s="49">
        <v>12.28</v>
      </c>
      <c r="G1155" s="49">
        <v>33.880000000000003</v>
      </c>
      <c r="H1155" s="49">
        <v>47.83</v>
      </c>
      <c r="I1155" s="49">
        <v>35.130000000000003</v>
      </c>
      <c r="J1155" s="49">
        <v>8.73</v>
      </c>
      <c r="K1155" s="49">
        <v>8.16</v>
      </c>
      <c r="L1155" s="49">
        <v>9.5299999999999994</v>
      </c>
      <c r="M1155" s="49">
        <v>8.4700000000000006</v>
      </c>
      <c r="N1155" s="49">
        <v>9.7200000000000006</v>
      </c>
      <c r="O1155" s="49">
        <v>14.68</v>
      </c>
      <c r="P1155" s="49">
        <v>0</v>
      </c>
      <c r="Q1155" s="49">
        <v>25</v>
      </c>
      <c r="R1155" s="49">
        <v>32.21</v>
      </c>
      <c r="S1155" s="49">
        <v>155</v>
      </c>
    </row>
    <row r="1156" spans="1:19" ht="18">
      <c r="A1156" s="49">
        <v>5439</v>
      </c>
      <c r="B1156" s="49" t="s">
        <v>1667</v>
      </c>
      <c r="C1156" s="49">
        <v>11.02</v>
      </c>
      <c r="D1156" s="49">
        <v>4.54</v>
      </c>
      <c r="E1156" s="49">
        <v>47.5</v>
      </c>
      <c r="F1156" s="49">
        <v>8.93</v>
      </c>
      <c r="G1156" s="49">
        <v>6.64</v>
      </c>
      <c r="H1156" s="49">
        <v>8.7899999999999991</v>
      </c>
      <c r="I1156" s="49">
        <v>13.01</v>
      </c>
      <c r="J1156" s="49">
        <v>13.17</v>
      </c>
      <c r="K1156" s="49">
        <v>10.16</v>
      </c>
      <c r="L1156" s="49">
        <v>13.1</v>
      </c>
      <c r="M1156" s="49">
        <v>12.75</v>
      </c>
      <c r="N1156" s="49">
        <v>12.84</v>
      </c>
      <c r="O1156" s="49">
        <v>14.05</v>
      </c>
      <c r="P1156" s="49">
        <v>17.16</v>
      </c>
      <c r="Q1156" s="49">
        <v>14.6</v>
      </c>
      <c r="R1156" s="49">
        <v>11.1</v>
      </c>
      <c r="S1156" s="49">
        <v>23.97</v>
      </c>
    </row>
    <row r="1157" spans="1:19" ht="18">
      <c r="A1157" s="49">
        <v>5443</v>
      </c>
      <c r="B1157" s="49" t="s">
        <v>1668</v>
      </c>
      <c r="C1157" s="49">
        <v>0</v>
      </c>
      <c r="D1157" s="49">
        <v>59</v>
      </c>
      <c r="E1157" s="49">
        <v>0</v>
      </c>
      <c r="F1157" s="49">
        <v>34.450000000000003</v>
      </c>
      <c r="G1157" s="49">
        <v>4.24</v>
      </c>
      <c r="H1157" s="49">
        <v>0</v>
      </c>
      <c r="I1157" s="49">
        <v>56.14</v>
      </c>
      <c r="J1157" s="49">
        <v>16.739999999999998</v>
      </c>
      <c r="K1157" s="49">
        <v>17.600000000000001</v>
      </c>
      <c r="L1157" s="49">
        <v>11.48</v>
      </c>
      <c r="M1157" s="49">
        <v>53.13</v>
      </c>
      <c r="N1157" s="49">
        <v>7.89</v>
      </c>
      <c r="O1157" s="49">
        <v>15.03</v>
      </c>
      <c r="P1157" s="49">
        <v>57.33</v>
      </c>
      <c r="Q1157" s="49">
        <v>17.309999999999999</v>
      </c>
      <c r="R1157" s="49">
        <v>12</v>
      </c>
      <c r="S1157" s="49">
        <v>44.06</v>
      </c>
    </row>
    <row r="1158" spans="1:19" ht="18">
      <c r="A1158" s="49">
        <v>5450</v>
      </c>
      <c r="B1158" s="49" t="s">
        <v>1669</v>
      </c>
      <c r="C1158" s="49">
        <v>486.67</v>
      </c>
      <c r="D1158" s="49">
        <v>1200</v>
      </c>
      <c r="E1158" s="49">
        <v>0</v>
      </c>
      <c r="F1158" s="49">
        <v>0</v>
      </c>
      <c r="G1158" s="49">
        <v>0</v>
      </c>
      <c r="H1158" s="49">
        <v>0</v>
      </c>
      <c r="I1158" s="49">
        <v>0</v>
      </c>
      <c r="J1158" s="49">
        <v>0</v>
      </c>
      <c r="K1158" s="49">
        <v>0</v>
      </c>
      <c r="L1158" s="49">
        <v>0</v>
      </c>
      <c r="M1158" s="49">
        <v>0</v>
      </c>
      <c r="N1158" s="49">
        <v>0</v>
      </c>
      <c r="O1158" s="49">
        <v>25.14</v>
      </c>
      <c r="P1158" s="49">
        <v>160.44999999999999</v>
      </c>
      <c r="Q1158" s="49">
        <v>17.420000000000002</v>
      </c>
      <c r="R1158" s="49">
        <v>8.8699999999999992</v>
      </c>
      <c r="S1158" s="49">
        <v>0</v>
      </c>
    </row>
    <row r="1159" spans="1:19" ht="18">
      <c r="A1159" s="49">
        <v>5452</v>
      </c>
      <c r="B1159" s="49" t="s">
        <v>1670</v>
      </c>
      <c r="C1159" s="49">
        <v>25.37</v>
      </c>
      <c r="D1159" s="49">
        <v>6.1</v>
      </c>
      <c r="E1159" s="49">
        <v>109.38</v>
      </c>
      <c r="F1159" s="49">
        <v>12.14</v>
      </c>
      <c r="G1159" s="49">
        <v>13.81</v>
      </c>
      <c r="H1159" s="49">
        <v>21.85</v>
      </c>
      <c r="I1159" s="49">
        <v>65.56</v>
      </c>
      <c r="J1159" s="49">
        <v>30.12</v>
      </c>
      <c r="K1159" s="49">
        <v>53.44</v>
      </c>
      <c r="L1159" s="49">
        <v>111</v>
      </c>
      <c r="M1159" s="49">
        <v>31.72</v>
      </c>
      <c r="N1159" s="49">
        <v>0</v>
      </c>
      <c r="O1159" s="49">
        <v>16.579999999999998</v>
      </c>
      <c r="P1159" s="49">
        <v>19.489999999999998</v>
      </c>
      <c r="Q1159" s="49">
        <v>14.42</v>
      </c>
      <c r="R1159" s="49">
        <v>16.489999999999998</v>
      </c>
      <c r="S1159" s="49">
        <v>90.74</v>
      </c>
    </row>
    <row r="1160" spans="1:19" ht="18">
      <c r="A1160" s="49">
        <v>5455</v>
      </c>
      <c r="B1160" s="49" t="s">
        <v>1671</v>
      </c>
      <c r="C1160" s="49">
        <v>9.41</v>
      </c>
      <c r="D1160" s="49">
        <v>3.17</v>
      </c>
      <c r="E1160" s="49">
        <v>0</v>
      </c>
      <c r="F1160" s="49">
        <v>0</v>
      </c>
      <c r="G1160" s="49">
        <v>0</v>
      </c>
      <c r="H1160" s="49">
        <v>0</v>
      </c>
      <c r="I1160" s="49">
        <v>0</v>
      </c>
      <c r="J1160" s="49">
        <v>0</v>
      </c>
      <c r="K1160" s="49">
        <v>0</v>
      </c>
      <c r="L1160" s="49">
        <v>0</v>
      </c>
      <c r="M1160" s="49">
        <v>0</v>
      </c>
      <c r="N1160" s="49">
        <v>0</v>
      </c>
      <c r="O1160" s="49">
        <v>5.69</v>
      </c>
      <c r="P1160" s="49">
        <v>0</v>
      </c>
      <c r="Q1160" s="49">
        <v>0</v>
      </c>
      <c r="R1160" s="49">
        <v>26.62</v>
      </c>
      <c r="S1160" s="49">
        <v>0</v>
      </c>
    </row>
    <row r="1161" spans="1:19" ht="18">
      <c r="A1161" s="49">
        <v>5457</v>
      </c>
      <c r="B1161" s="49" t="s">
        <v>1672</v>
      </c>
      <c r="C1161" s="49">
        <v>0</v>
      </c>
      <c r="D1161" s="49">
        <v>0</v>
      </c>
      <c r="E1161" s="49">
        <v>0</v>
      </c>
      <c r="F1161" s="49">
        <v>0</v>
      </c>
      <c r="G1161" s="49">
        <v>0</v>
      </c>
      <c r="H1161" s="49">
        <v>0</v>
      </c>
      <c r="I1161" s="49">
        <v>0</v>
      </c>
      <c r="J1161" s="49">
        <v>18.559999999999999</v>
      </c>
      <c r="K1161" s="49">
        <v>17.89</v>
      </c>
      <c r="L1161" s="49">
        <v>0</v>
      </c>
      <c r="M1161" s="49">
        <v>320</v>
      </c>
      <c r="N1161" s="49">
        <v>69.38</v>
      </c>
      <c r="O1161" s="49">
        <v>49.17</v>
      </c>
      <c r="P1161" s="49">
        <v>25.46</v>
      </c>
      <c r="Q1161" s="49">
        <v>16.38</v>
      </c>
      <c r="R1161" s="49">
        <v>8.86</v>
      </c>
      <c r="S1161" s="49">
        <v>42.25</v>
      </c>
    </row>
    <row r="1162" spans="1:19" ht="18">
      <c r="A1162" s="49">
        <v>5460</v>
      </c>
      <c r="B1162" s="49" t="s">
        <v>1673</v>
      </c>
      <c r="C1162" s="49">
        <v>14.35</v>
      </c>
      <c r="D1162" s="49">
        <v>11.69</v>
      </c>
      <c r="E1162" s="49">
        <v>23.79</v>
      </c>
      <c r="F1162" s="49">
        <v>23.68</v>
      </c>
      <c r="G1162" s="49">
        <v>12.86</v>
      </c>
      <c r="H1162" s="49">
        <v>9.76</v>
      </c>
      <c r="I1162" s="49">
        <v>17.010000000000002</v>
      </c>
      <c r="J1162" s="49">
        <v>14.7</v>
      </c>
      <c r="K1162" s="49">
        <v>11.19</v>
      </c>
      <c r="L1162" s="49">
        <v>13.69</v>
      </c>
      <c r="M1162" s="49">
        <v>21.49</v>
      </c>
      <c r="N1162" s="49">
        <v>68</v>
      </c>
      <c r="O1162" s="49">
        <v>14.76</v>
      </c>
      <c r="P1162" s="49">
        <v>54.29</v>
      </c>
      <c r="Q1162" s="49">
        <v>262</v>
      </c>
      <c r="R1162" s="49">
        <v>0</v>
      </c>
      <c r="S1162" s="49">
        <v>0</v>
      </c>
    </row>
    <row r="1163" spans="1:19" ht="18">
      <c r="A1163" s="49">
        <v>5464</v>
      </c>
      <c r="B1163" s="49" t="s">
        <v>1674</v>
      </c>
      <c r="C1163" s="49">
        <v>8.56</v>
      </c>
      <c r="D1163" s="49">
        <v>4.28</v>
      </c>
      <c r="E1163" s="49">
        <v>13.3</v>
      </c>
      <c r="F1163" s="49">
        <v>11.12</v>
      </c>
      <c r="G1163" s="49">
        <v>12.99</v>
      </c>
      <c r="H1163" s="49">
        <v>29.03</v>
      </c>
      <c r="I1163" s="49">
        <v>10.42</v>
      </c>
      <c r="J1163" s="49">
        <v>12.44</v>
      </c>
      <c r="K1163" s="49">
        <v>5.93</v>
      </c>
      <c r="L1163" s="49">
        <v>0</v>
      </c>
      <c r="M1163" s="49">
        <v>0</v>
      </c>
      <c r="N1163" s="49">
        <v>8.39</v>
      </c>
      <c r="O1163" s="49">
        <v>9.3800000000000008</v>
      </c>
      <c r="P1163" s="49">
        <v>0</v>
      </c>
      <c r="Q1163" s="49">
        <v>5.4</v>
      </c>
      <c r="R1163" s="49">
        <v>5.2</v>
      </c>
      <c r="S1163" s="49">
        <v>21.64</v>
      </c>
    </row>
    <row r="1164" spans="1:19" ht="18">
      <c r="A1164" s="49">
        <v>5465</v>
      </c>
      <c r="B1164" s="49" t="s">
        <v>1675</v>
      </c>
      <c r="C1164" s="49">
        <v>0</v>
      </c>
      <c r="D1164" s="49">
        <v>0</v>
      </c>
      <c r="E1164" s="49">
        <v>0</v>
      </c>
      <c r="F1164" s="49">
        <v>28.67</v>
      </c>
      <c r="G1164" s="49">
        <v>142</v>
      </c>
      <c r="H1164" s="49">
        <v>0</v>
      </c>
      <c r="I1164" s="49">
        <v>0</v>
      </c>
      <c r="J1164" s="49">
        <v>38.46</v>
      </c>
      <c r="K1164" s="49">
        <v>15.62</v>
      </c>
      <c r="L1164" s="49">
        <v>49.44</v>
      </c>
      <c r="M1164" s="49">
        <v>23.7</v>
      </c>
      <c r="N1164" s="49">
        <v>80</v>
      </c>
      <c r="O1164" s="49">
        <v>16.350000000000001</v>
      </c>
      <c r="P1164" s="49">
        <v>13.69</v>
      </c>
      <c r="Q1164" s="49">
        <v>14.07</v>
      </c>
      <c r="R1164" s="49">
        <v>9.92</v>
      </c>
      <c r="S1164" s="49">
        <v>24.29</v>
      </c>
    </row>
    <row r="1165" spans="1:19" ht="18">
      <c r="A1165" s="49">
        <v>5468</v>
      </c>
      <c r="B1165" s="49" t="s">
        <v>1676</v>
      </c>
      <c r="C1165" s="49">
        <v>0</v>
      </c>
      <c r="D1165" s="49">
        <v>0</v>
      </c>
      <c r="E1165" s="49">
        <v>0</v>
      </c>
      <c r="F1165" s="49">
        <v>0</v>
      </c>
      <c r="G1165" s="49">
        <v>0</v>
      </c>
      <c r="H1165" s="49">
        <v>0</v>
      </c>
      <c r="I1165" s="49">
        <v>0</v>
      </c>
      <c r="J1165" s="49">
        <v>0</v>
      </c>
      <c r="K1165" s="49">
        <v>0</v>
      </c>
      <c r="L1165" s="49">
        <v>0</v>
      </c>
      <c r="M1165" s="49">
        <v>0</v>
      </c>
      <c r="N1165" s="49">
        <v>0</v>
      </c>
      <c r="O1165" s="49">
        <v>0</v>
      </c>
      <c r="P1165" s="49">
        <v>0</v>
      </c>
      <c r="Q1165" s="49">
        <v>0</v>
      </c>
      <c r="R1165" s="49">
        <v>33.6</v>
      </c>
      <c r="S1165" s="49">
        <v>0</v>
      </c>
    </row>
    <row r="1166" spans="1:19" ht="18">
      <c r="A1166" s="49">
        <v>5469</v>
      </c>
      <c r="B1166" s="49" t="s">
        <v>997</v>
      </c>
      <c r="C1166" s="49">
        <v>8.8000000000000007</v>
      </c>
      <c r="D1166" s="49">
        <v>4.1900000000000004</v>
      </c>
      <c r="E1166" s="49">
        <v>15.41</v>
      </c>
      <c r="F1166" s="49">
        <v>10.14</v>
      </c>
      <c r="G1166" s="49">
        <v>13.93</v>
      </c>
      <c r="H1166" s="49">
        <v>9.07</v>
      </c>
      <c r="I1166" s="49">
        <v>0</v>
      </c>
      <c r="J1166" s="49">
        <v>12.62</v>
      </c>
      <c r="K1166" s="49">
        <v>8.6</v>
      </c>
      <c r="L1166" s="49">
        <v>12.22</v>
      </c>
      <c r="M1166" s="49">
        <v>11.39</v>
      </c>
      <c r="N1166" s="49">
        <v>6.44</v>
      </c>
      <c r="O1166" s="49">
        <v>7.91</v>
      </c>
      <c r="P1166" s="49">
        <v>7.88</v>
      </c>
      <c r="Q1166" s="49">
        <v>6.32</v>
      </c>
      <c r="R1166" s="49">
        <v>4.71</v>
      </c>
      <c r="S1166" s="49">
        <v>10.09</v>
      </c>
    </row>
    <row r="1167" spans="1:19" ht="18">
      <c r="A1167" s="49">
        <v>5471</v>
      </c>
      <c r="B1167" s="49" t="s">
        <v>998</v>
      </c>
      <c r="C1167" s="49">
        <v>15</v>
      </c>
      <c r="D1167" s="49">
        <v>6.79</v>
      </c>
      <c r="E1167" s="49">
        <v>22.58</v>
      </c>
      <c r="F1167" s="49">
        <v>12.5</v>
      </c>
      <c r="G1167" s="49">
        <v>10.050000000000001</v>
      </c>
      <c r="H1167" s="49">
        <v>12.94</v>
      </c>
      <c r="I1167" s="49">
        <v>15.29</v>
      </c>
      <c r="J1167" s="49">
        <v>14.09</v>
      </c>
      <c r="K1167" s="49">
        <v>14.34</v>
      </c>
      <c r="L1167" s="49">
        <v>18.82</v>
      </c>
      <c r="M1167" s="49">
        <v>23.13</v>
      </c>
      <c r="N1167" s="49">
        <v>15.66</v>
      </c>
      <c r="O1167" s="49">
        <v>17.329999999999998</v>
      </c>
      <c r="P1167" s="49">
        <v>12.98</v>
      </c>
      <c r="Q1167" s="49">
        <v>10.74</v>
      </c>
      <c r="R1167" s="49">
        <v>10</v>
      </c>
      <c r="S1167" s="49">
        <v>58.57</v>
      </c>
    </row>
    <row r="1168" spans="1:19" ht="18">
      <c r="A1168" s="49">
        <v>5474</v>
      </c>
      <c r="B1168" s="49" t="s">
        <v>1677</v>
      </c>
      <c r="C1168" s="49">
        <v>13.16</v>
      </c>
      <c r="D1168" s="49">
        <v>5.96</v>
      </c>
      <c r="E1168" s="49">
        <v>56.15</v>
      </c>
      <c r="F1168" s="49">
        <v>0</v>
      </c>
      <c r="G1168" s="49">
        <v>0</v>
      </c>
      <c r="H1168" s="49">
        <v>51.25</v>
      </c>
      <c r="I1168" s="49">
        <v>18.38</v>
      </c>
      <c r="J1168" s="49">
        <v>17.2</v>
      </c>
      <c r="K1168" s="49">
        <v>9.09</v>
      </c>
      <c r="L1168" s="49">
        <v>11.2</v>
      </c>
      <c r="M1168" s="49">
        <v>11.11</v>
      </c>
      <c r="N1168" s="49">
        <v>8.89</v>
      </c>
      <c r="O1168" s="49">
        <v>10.44</v>
      </c>
      <c r="P1168" s="49">
        <v>12.54</v>
      </c>
      <c r="Q1168" s="49">
        <v>9.5500000000000007</v>
      </c>
      <c r="R1168" s="49">
        <v>8.9</v>
      </c>
      <c r="S1168" s="49">
        <v>18.43</v>
      </c>
    </row>
    <row r="1169" spans="1:19" ht="18">
      <c r="A1169" s="49">
        <v>5475</v>
      </c>
      <c r="B1169" s="49" t="s">
        <v>1678</v>
      </c>
      <c r="C1169" s="49">
        <v>16.95</v>
      </c>
      <c r="D1169" s="49">
        <v>0</v>
      </c>
      <c r="E1169" s="49">
        <v>0</v>
      </c>
      <c r="F1169" s="49">
        <v>13.05</v>
      </c>
      <c r="G1169" s="49">
        <v>21.47</v>
      </c>
      <c r="H1169" s="49">
        <v>266.67</v>
      </c>
      <c r="I1169" s="49">
        <v>0</v>
      </c>
      <c r="J1169" s="49">
        <v>0</v>
      </c>
      <c r="K1169" s="49">
        <v>0</v>
      </c>
      <c r="L1169" s="49">
        <v>0</v>
      </c>
      <c r="M1169" s="49">
        <v>0</v>
      </c>
      <c r="N1169" s="49">
        <v>11.77</v>
      </c>
      <c r="O1169" s="49">
        <v>0</v>
      </c>
      <c r="P1169" s="49">
        <v>0</v>
      </c>
      <c r="Q1169" s="49">
        <v>11.06</v>
      </c>
      <c r="R1169" s="49">
        <v>0</v>
      </c>
      <c r="S1169" s="49">
        <v>0</v>
      </c>
    </row>
    <row r="1170" spans="1:19" ht="18">
      <c r="A1170" s="49">
        <v>5478</v>
      </c>
      <c r="B1170" s="49" t="s">
        <v>1679</v>
      </c>
      <c r="C1170" s="49">
        <v>12.71</v>
      </c>
      <c r="D1170" s="49">
        <v>10.71</v>
      </c>
      <c r="E1170" s="49">
        <v>25.15</v>
      </c>
      <c r="F1170" s="49">
        <v>14.9</v>
      </c>
      <c r="G1170" s="49">
        <v>10.15</v>
      </c>
      <c r="H1170" s="49">
        <v>30.55</v>
      </c>
      <c r="I1170" s="49">
        <v>27</v>
      </c>
      <c r="J1170" s="49">
        <v>26.11</v>
      </c>
      <c r="K1170" s="49">
        <v>25.04</v>
      </c>
      <c r="L1170" s="49">
        <v>20.75</v>
      </c>
      <c r="M1170" s="49">
        <v>19.53</v>
      </c>
      <c r="N1170" s="49">
        <v>28.26</v>
      </c>
      <c r="O1170" s="49">
        <v>16.059999999999999</v>
      </c>
      <c r="P1170" s="49">
        <v>14.89</v>
      </c>
      <c r="Q1170" s="49">
        <v>15.02</v>
      </c>
      <c r="R1170" s="49">
        <v>13.1</v>
      </c>
      <c r="S1170" s="49">
        <v>20.82</v>
      </c>
    </row>
    <row r="1171" spans="1:19" ht="18">
      <c r="A1171" s="49">
        <v>5481</v>
      </c>
      <c r="B1171" s="49" t="s">
        <v>1680</v>
      </c>
      <c r="C1171" s="49">
        <v>10.88</v>
      </c>
      <c r="D1171" s="49">
        <v>0</v>
      </c>
      <c r="E1171" s="49">
        <v>0</v>
      </c>
      <c r="F1171" s="49">
        <v>25.27</v>
      </c>
      <c r="G1171" s="49">
        <v>0</v>
      </c>
      <c r="H1171" s="49">
        <v>0</v>
      </c>
      <c r="I1171" s="49">
        <v>0</v>
      </c>
      <c r="J1171" s="49">
        <v>0</v>
      </c>
      <c r="K1171" s="49">
        <v>0</v>
      </c>
      <c r="L1171" s="49">
        <v>0</v>
      </c>
      <c r="M1171" s="49">
        <v>30.62</v>
      </c>
      <c r="N1171" s="49">
        <v>5.62</v>
      </c>
      <c r="O1171" s="49">
        <v>0</v>
      </c>
      <c r="P1171" s="49">
        <v>2.54</v>
      </c>
      <c r="Q1171" s="49">
        <v>8.44</v>
      </c>
      <c r="R1171" s="49">
        <v>0</v>
      </c>
      <c r="S1171" s="49">
        <v>0</v>
      </c>
    </row>
    <row r="1172" spans="1:19" ht="18">
      <c r="A1172" s="49">
        <v>5483</v>
      </c>
      <c r="B1172" s="49" t="s">
        <v>1681</v>
      </c>
      <c r="C1172" s="49">
        <v>33.04</v>
      </c>
      <c r="D1172" s="49">
        <v>7.41</v>
      </c>
      <c r="E1172" s="49">
        <v>59.13</v>
      </c>
      <c r="F1172" s="49">
        <v>13.52</v>
      </c>
      <c r="G1172" s="49">
        <v>7.86</v>
      </c>
      <c r="H1172" s="49">
        <v>0</v>
      </c>
      <c r="I1172" s="49">
        <v>0</v>
      </c>
      <c r="J1172" s="49">
        <v>25.84</v>
      </c>
      <c r="K1172" s="49">
        <v>88.21</v>
      </c>
      <c r="L1172" s="49">
        <v>0</v>
      </c>
      <c r="M1172" s="49">
        <v>0</v>
      </c>
      <c r="N1172" s="49">
        <v>11.7</v>
      </c>
      <c r="O1172" s="49">
        <v>99.4</v>
      </c>
      <c r="P1172" s="49">
        <v>18.39</v>
      </c>
      <c r="Q1172" s="49">
        <v>19.309999999999999</v>
      </c>
      <c r="R1172" s="49">
        <v>10.78</v>
      </c>
      <c r="S1172" s="49">
        <v>11.34</v>
      </c>
    </row>
    <row r="1173" spans="1:19" ht="18">
      <c r="A1173" s="49">
        <v>5484</v>
      </c>
      <c r="B1173" s="49" t="s">
        <v>999</v>
      </c>
      <c r="C1173" s="49">
        <v>12.23</v>
      </c>
      <c r="D1173" s="49">
        <v>7.34</v>
      </c>
      <c r="E1173" s="49">
        <v>15.31</v>
      </c>
      <c r="F1173" s="49">
        <v>15.9</v>
      </c>
      <c r="G1173" s="49">
        <v>48.1</v>
      </c>
      <c r="H1173" s="49">
        <v>0</v>
      </c>
      <c r="I1173" s="49">
        <v>0</v>
      </c>
      <c r="J1173" s="49">
        <v>0</v>
      </c>
      <c r="K1173" s="49">
        <v>0</v>
      </c>
      <c r="L1173" s="49">
        <v>0</v>
      </c>
      <c r="M1173" s="49">
        <v>0</v>
      </c>
      <c r="N1173" s="49">
        <v>0</v>
      </c>
      <c r="O1173" s="49">
        <v>0</v>
      </c>
      <c r="P1173" s="49">
        <v>0</v>
      </c>
      <c r="Q1173" s="49">
        <v>0</v>
      </c>
      <c r="R1173" s="49">
        <v>0</v>
      </c>
      <c r="S1173" s="49">
        <v>0</v>
      </c>
    </row>
    <row r="1174" spans="1:19" ht="18">
      <c r="A1174" s="49">
        <v>5487</v>
      </c>
      <c r="B1174" s="49" t="s">
        <v>1682</v>
      </c>
      <c r="C1174" s="49">
        <v>13.29</v>
      </c>
      <c r="D1174" s="49">
        <v>7.88</v>
      </c>
      <c r="E1174" s="49">
        <v>19.84</v>
      </c>
      <c r="F1174" s="49">
        <v>12.41</v>
      </c>
      <c r="G1174" s="49">
        <v>15.11</v>
      </c>
      <c r="H1174" s="49">
        <v>11.02</v>
      </c>
      <c r="I1174" s="49">
        <v>13.09</v>
      </c>
      <c r="J1174" s="49">
        <v>16.309999999999999</v>
      </c>
      <c r="K1174" s="49">
        <v>11.53</v>
      </c>
      <c r="L1174" s="49">
        <v>13.3</v>
      </c>
      <c r="M1174" s="49">
        <v>18.7</v>
      </c>
      <c r="N1174" s="49">
        <v>23.06</v>
      </c>
      <c r="O1174" s="49">
        <v>15.18</v>
      </c>
      <c r="P1174" s="49">
        <v>27.29</v>
      </c>
      <c r="Q1174" s="49">
        <v>18.850000000000001</v>
      </c>
      <c r="R1174" s="49">
        <v>36.520000000000003</v>
      </c>
      <c r="S1174" s="49">
        <v>0</v>
      </c>
    </row>
    <row r="1175" spans="1:19" ht="18">
      <c r="A1175" s="49">
        <v>5488</v>
      </c>
      <c r="B1175" s="49" t="s">
        <v>1683</v>
      </c>
      <c r="C1175" s="49">
        <v>6.75</v>
      </c>
      <c r="D1175" s="49">
        <v>9.1</v>
      </c>
      <c r="E1175" s="49">
        <v>0</v>
      </c>
      <c r="F1175" s="49">
        <v>31.47</v>
      </c>
      <c r="G1175" s="49">
        <v>0</v>
      </c>
      <c r="H1175" s="49">
        <v>0</v>
      </c>
      <c r="I1175" s="49">
        <v>0</v>
      </c>
      <c r="J1175" s="49">
        <v>0</v>
      </c>
      <c r="K1175" s="49">
        <v>0</v>
      </c>
      <c r="L1175" s="49">
        <v>16.07</v>
      </c>
      <c r="M1175" s="49">
        <v>37.17</v>
      </c>
      <c r="N1175" s="49">
        <v>4.9000000000000004</v>
      </c>
      <c r="O1175" s="49">
        <v>0</v>
      </c>
      <c r="P1175" s="49">
        <v>0</v>
      </c>
      <c r="Q1175" s="49">
        <v>125.63</v>
      </c>
      <c r="R1175" s="49">
        <v>52.78</v>
      </c>
      <c r="S1175" s="49">
        <v>18.28</v>
      </c>
    </row>
    <row r="1176" spans="1:19" ht="18">
      <c r="A1176" s="49">
        <v>5489</v>
      </c>
      <c r="B1176" s="49" t="s">
        <v>1684</v>
      </c>
      <c r="C1176" s="49">
        <v>14.9</v>
      </c>
      <c r="D1176" s="49">
        <v>6.23</v>
      </c>
      <c r="E1176" s="49">
        <v>22.36</v>
      </c>
      <c r="F1176" s="49">
        <v>11.88</v>
      </c>
      <c r="G1176" s="49">
        <v>14.81</v>
      </c>
      <c r="H1176" s="49">
        <v>13.65</v>
      </c>
      <c r="I1176" s="49">
        <v>19.13</v>
      </c>
      <c r="J1176" s="49">
        <v>10.65</v>
      </c>
      <c r="K1176" s="49">
        <v>12.01</v>
      </c>
      <c r="L1176" s="49">
        <v>23.53</v>
      </c>
      <c r="M1176" s="49">
        <v>14.66</v>
      </c>
      <c r="N1176" s="49">
        <v>15.18</v>
      </c>
      <c r="O1176" s="49">
        <v>14.39</v>
      </c>
      <c r="P1176" s="49">
        <v>54.26</v>
      </c>
      <c r="Q1176" s="49">
        <v>101.14</v>
      </c>
      <c r="R1176" s="49">
        <v>12.66</v>
      </c>
      <c r="S1176" s="49">
        <v>22.4</v>
      </c>
    </row>
    <row r="1177" spans="1:19" ht="18">
      <c r="A1177" s="49">
        <v>5490</v>
      </c>
      <c r="B1177" s="49" t="s">
        <v>1685</v>
      </c>
      <c r="C1177" s="49">
        <v>6.88</v>
      </c>
      <c r="D1177" s="49">
        <v>8.6999999999999993</v>
      </c>
      <c r="E1177" s="49">
        <v>19.78</v>
      </c>
      <c r="F1177" s="49">
        <v>8.9700000000000006</v>
      </c>
      <c r="G1177" s="49">
        <v>8.99</v>
      </c>
      <c r="H1177" s="49">
        <v>13.31</v>
      </c>
      <c r="I1177" s="49">
        <v>16.02</v>
      </c>
      <c r="J1177" s="49">
        <v>76.08</v>
      </c>
      <c r="K1177" s="49">
        <v>13.32</v>
      </c>
      <c r="L1177" s="49">
        <v>15.75</v>
      </c>
      <c r="M1177" s="49">
        <v>14.46</v>
      </c>
      <c r="N1177" s="49">
        <v>266.67</v>
      </c>
      <c r="O1177" s="49">
        <v>31.7</v>
      </c>
      <c r="P1177" s="49">
        <v>8.49</v>
      </c>
      <c r="Q1177" s="49">
        <v>23.6</v>
      </c>
      <c r="R1177" s="49">
        <v>0</v>
      </c>
      <c r="S1177" s="49">
        <v>0</v>
      </c>
    </row>
    <row r="1178" spans="1:19" ht="18">
      <c r="A1178" s="49">
        <v>5493</v>
      </c>
      <c r="B1178" s="49" t="s">
        <v>1686</v>
      </c>
      <c r="C1178" s="49">
        <v>12.28</v>
      </c>
      <c r="D1178" s="49">
        <v>7.06</v>
      </c>
      <c r="E1178" s="49">
        <v>38.549999999999997</v>
      </c>
      <c r="F1178" s="49">
        <v>7.19</v>
      </c>
      <c r="G1178" s="49">
        <v>6.22</v>
      </c>
      <c r="H1178" s="49">
        <v>13.73</v>
      </c>
      <c r="I1178" s="49">
        <v>12.86</v>
      </c>
      <c r="J1178" s="49">
        <v>10.09</v>
      </c>
      <c r="K1178" s="49">
        <v>10.26</v>
      </c>
      <c r="L1178" s="49">
        <v>11.15</v>
      </c>
      <c r="M1178" s="49">
        <v>12.88</v>
      </c>
      <c r="N1178" s="49">
        <v>12.73</v>
      </c>
      <c r="O1178" s="49">
        <v>11.31</v>
      </c>
      <c r="P1178" s="49">
        <v>10.98</v>
      </c>
      <c r="Q1178" s="49">
        <v>11.41</v>
      </c>
      <c r="R1178" s="49">
        <v>9.1300000000000008</v>
      </c>
      <c r="S1178" s="49">
        <v>11.97</v>
      </c>
    </row>
    <row r="1179" spans="1:19" ht="18">
      <c r="A1179" s="49">
        <v>5498</v>
      </c>
      <c r="B1179" s="49" t="s">
        <v>1687</v>
      </c>
      <c r="C1179" s="49">
        <v>13.65</v>
      </c>
      <c r="D1179" s="49">
        <v>0</v>
      </c>
      <c r="E1179" s="49">
        <v>0</v>
      </c>
      <c r="F1179" s="49">
        <v>31.55</v>
      </c>
      <c r="G1179" s="49">
        <v>100</v>
      </c>
      <c r="H1179" s="49">
        <v>0</v>
      </c>
      <c r="I1179" s="49">
        <v>30.56</v>
      </c>
      <c r="J1179" s="49">
        <v>45.94</v>
      </c>
      <c r="K1179" s="49">
        <v>130</v>
      </c>
      <c r="L1179" s="49">
        <v>210</v>
      </c>
      <c r="M1179" s="49">
        <v>65.53</v>
      </c>
      <c r="N1179" s="49">
        <v>16.11</v>
      </c>
      <c r="O1179" s="49">
        <v>66.84</v>
      </c>
      <c r="P1179" s="49">
        <v>30.96</v>
      </c>
      <c r="Q1179" s="49">
        <v>37.44</v>
      </c>
      <c r="R1179" s="49">
        <v>0</v>
      </c>
      <c r="S1179" s="49">
        <v>11.31</v>
      </c>
    </row>
    <row r="1180" spans="1:19" ht="18">
      <c r="A1180" s="49">
        <v>5508</v>
      </c>
      <c r="B1180" s="49" t="s">
        <v>1688</v>
      </c>
      <c r="C1180" s="49">
        <v>6.55</v>
      </c>
      <c r="D1180" s="49">
        <v>2.99</v>
      </c>
      <c r="E1180" s="49">
        <v>17.02</v>
      </c>
      <c r="F1180" s="49">
        <v>14.68</v>
      </c>
      <c r="G1180" s="49">
        <v>9.9</v>
      </c>
      <c r="H1180" s="49">
        <v>5.01</v>
      </c>
      <c r="I1180" s="49">
        <v>7.21</v>
      </c>
      <c r="J1180" s="49">
        <v>6.06</v>
      </c>
      <c r="K1180" s="49">
        <v>9.44</v>
      </c>
      <c r="L1180" s="49">
        <v>13.33</v>
      </c>
      <c r="M1180" s="49">
        <v>10.51</v>
      </c>
      <c r="N1180" s="49">
        <v>9.66</v>
      </c>
      <c r="O1180" s="49">
        <v>18.170000000000002</v>
      </c>
      <c r="P1180" s="49">
        <v>15.61</v>
      </c>
      <c r="Q1180" s="49">
        <v>9.3800000000000008</v>
      </c>
      <c r="R1180" s="49">
        <v>5.76</v>
      </c>
      <c r="S1180" s="49">
        <v>10.63</v>
      </c>
    </row>
    <row r="1181" spans="1:19" ht="18">
      <c r="A1181" s="49">
        <v>5511</v>
      </c>
      <c r="B1181" s="49" t="s">
        <v>1689</v>
      </c>
      <c r="C1181" s="49">
        <v>7.88</v>
      </c>
      <c r="D1181" s="49">
        <v>6.05</v>
      </c>
      <c r="E1181" s="49">
        <v>11.05</v>
      </c>
      <c r="F1181" s="49">
        <v>11.22</v>
      </c>
      <c r="G1181" s="49">
        <v>4.7300000000000004</v>
      </c>
      <c r="H1181" s="49">
        <v>5.0999999999999996</v>
      </c>
      <c r="I1181" s="49">
        <v>6.3</v>
      </c>
      <c r="J1181" s="49">
        <v>7.68</v>
      </c>
      <c r="K1181" s="49">
        <v>7.71</v>
      </c>
      <c r="L1181" s="49">
        <v>15.42</v>
      </c>
      <c r="M1181" s="49">
        <v>6.03</v>
      </c>
      <c r="N1181" s="49">
        <v>5.3</v>
      </c>
      <c r="O1181" s="49">
        <v>6.09</v>
      </c>
      <c r="P1181" s="49">
        <v>8.6999999999999993</v>
      </c>
      <c r="Q1181" s="49">
        <v>7</v>
      </c>
      <c r="R1181" s="49">
        <v>6.59</v>
      </c>
      <c r="S1181" s="49">
        <v>7.04</v>
      </c>
    </row>
    <row r="1182" spans="1:19" ht="18">
      <c r="A1182" s="49">
        <v>5512</v>
      </c>
      <c r="B1182" s="49" t="s">
        <v>1690</v>
      </c>
      <c r="C1182" s="49">
        <v>12.86</v>
      </c>
      <c r="D1182" s="49">
        <v>7.08</v>
      </c>
      <c r="E1182" s="49">
        <v>18.399999999999999</v>
      </c>
      <c r="F1182" s="49">
        <v>7.82</v>
      </c>
      <c r="G1182" s="49">
        <v>5.0999999999999996</v>
      </c>
      <c r="H1182" s="49">
        <v>5.48</v>
      </c>
      <c r="I1182" s="49">
        <v>16.48</v>
      </c>
      <c r="J1182" s="49">
        <v>8.24</v>
      </c>
      <c r="K1182" s="49">
        <v>25.14</v>
      </c>
      <c r="L1182" s="49">
        <v>159.80000000000001</v>
      </c>
      <c r="M1182" s="49">
        <v>9.9499999999999993</v>
      </c>
      <c r="N1182" s="49">
        <v>56.13</v>
      </c>
      <c r="O1182" s="49">
        <v>10.99</v>
      </c>
      <c r="P1182" s="49">
        <v>58.33</v>
      </c>
      <c r="Q1182" s="49">
        <v>105.56</v>
      </c>
      <c r="R1182" s="49">
        <v>18.72</v>
      </c>
      <c r="S1182" s="49">
        <v>40.54</v>
      </c>
    </row>
    <row r="1183" spans="1:19" ht="18">
      <c r="A1183" s="49">
        <v>5514</v>
      </c>
      <c r="B1183" s="49" t="s">
        <v>1691</v>
      </c>
      <c r="C1183" s="49">
        <v>19.149999999999999</v>
      </c>
      <c r="D1183" s="49">
        <v>6.49</v>
      </c>
      <c r="E1183" s="49">
        <v>29.74</v>
      </c>
      <c r="F1183" s="49">
        <v>30.71</v>
      </c>
      <c r="G1183" s="49">
        <v>10.32</v>
      </c>
      <c r="H1183" s="49">
        <v>8.9700000000000006</v>
      </c>
      <c r="I1183" s="49">
        <v>33.18</v>
      </c>
      <c r="J1183" s="49">
        <v>2.97</v>
      </c>
      <c r="K1183" s="49">
        <v>235.25</v>
      </c>
      <c r="L1183" s="49">
        <v>15.35</v>
      </c>
      <c r="M1183" s="49">
        <v>60</v>
      </c>
      <c r="N1183" s="49">
        <v>15.91</v>
      </c>
      <c r="O1183" s="49">
        <v>11.32</v>
      </c>
      <c r="P1183" s="49">
        <v>18.39</v>
      </c>
      <c r="Q1183" s="49">
        <v>0</v>
      </c>
      <c r="R1183" s="49">
        <v>0</v>
      </c>
      <c r="S1183" s="49">
        <v>0</v>
      </c>
    </row>
    <row r="1184" spans="1:19" ht="18">
      <c r="A1184" s="49">
        <v>5515</v>
      </c>
      <c r="B1184" s="49" t="s">
        <v>1000</v>
      </c>
      <c r="C1184" s="49">
        <v>10.81</v>
      </c>
      <c r="D1184" s="49">
        <v>7.82</v>
      </c>
      <c r="E1184" s="49">
        <v>12.68</v>
      </c>
      <c r="F1184" s="49">
        <v>10.77</v>
      </c>
      <c r="G1184" s="49">
        <v>7.69</v>
      </c>
      <c r="H1184" s="49">
        <v>5.85</v>
      </c>
      <c r="I1184" s="49">
        <v>7.43</v>
      </c>
      <c r="J1184" s="49">
        <v>11.17</v>
      </c>
      <c r="K1184" s="49">
        <v>0</v>
      </c>
      <c r="L1184" s="49">
        <v>0</v>
      </c>
      <c r="M1184" s="49">
        <v>38.33</v>
      </c>
      <c r="N1184" s="49">
        <v>13.16</v>
      </c>
      <c r="O1184" s="49">
        <v>14.73</v>
      </c>
      <c r="P1184" s="49">
        <v>11.3</v>
      </c>
      <c r="Q1184" s="49">
        <v>7.79</v>
      </c>
      <c r="R1184" s="49">
        <v>18.690000000000001</v>
      </c>
      <c r="S1184" s="49">
        <v>13.69</v>
      </c>
    </row>
    <row r="1185" spans="1:19" ht="18">
      <c r="A1185" s="49">
        <v>5516</v>
      </c>
      <c r="B1185" s="49" t="s">
        <v>1692</v>
      </c>
      <c r="C1185" s="49">
        <v>17.07</v>
      </c>
      <c r="D1185" s="49">
        <v>9.1999999999999993</v>
      </c>
      <c r="E1185" s="49">
        <v>22.22</v>
      </c>
      <c r="F1185" s="49">
        <v>9.73</v>
      </c>
      <c r="G1185" s="49">
        <v>7.42</v>
      </c>
      <c r="H1185" s="49">
        <v>4.1100000000000003</v>
      </c>
      <c r="I1185" s="49">
        <v>10.08</v>
      </c>
      <c r="J1185" s="49">
        <v>0</v>
      </c>
      <c r="K1185" s="49">
        <v>0</v>
      </c>
      <c r="L1185" s="49">
        <v>0</v>
      </c>
      <c r="M1185" s="49">
        <v>0</v>
      </c>
      <c r="N1185" s="49">
        <v>13.37</v>
      </c>
      <c r="O1185" s="49">
        <v>8.2799999999999994</v>
      </c>
      <c r="P1185" s="49">
        <v>10.4</v>
      </c>
      <c r="Q1185" s="49">
        <v>4.28</v>
      </c>
      <c r="R1185" s="49">
        <v>5.62</v>
      </c>
      <c r="S1185" s="49">
        <v>0</v>
      </c>
    </row>
    <row r="1186" spans="1:19" ht="18">
      <c r="A1186" s="49">
        <v>5519</v>
      </c>
      <c r="B1186" s="49" t="s">
        <v>1001</v>
      </c>
      <c r="C1186" s="49">
        <v>13.69</v>
      </c>
      <c r="D1186" s="49">
        <v>5.7</v>
      </c>
      <c r="E1186" s="49">
        <v>28.13</v>
      </c>
      <c r="F1186" s="49">
        <v>12.54</v>
      </c>
      <c r="G1186" s="49">
        <v>3.91</v>
      </c>
      <c r="H1186" s="49">
        <v>8.06</v>
      </c>
      <c r="I1186" s="49">
        <v>7.69</v>
      </c>
      <c r="J1186" s="49">
        <v>7.49</v>
      </c>
      <c r="K1186" s="49">
        <v>6.43</v>
      </c>
      <c r="L1186" s="49">
        <v>9.5</v>
      </c>
      <c r="M1186" s="49">
        <v>10.1</v>
      </c>
      <c r="N1186" s="49">
        <v>8.5500000000000007</v>
      </c>
      <c r="O1186" s="49">
        <v>5.05</v>
      </c>
      <c r="P1186" s="49">
        <v>10</v>
      </c>
      <c r="Q1186" s="49">
        <v>9.6</v>
      </c>
      <c r="R1186" s="49">
        <v>4.9800000000000004</v>
      </c>
      <c r="S1186" s="49">
        <v>12.65</v>
      </c>
    </row>
    <row r="1187" spans="1:19" ht="18">
      <c r="A1187" s="49">
        <v>5520</v>
      </c>
      <c r="B1187" s="49" t="s">
        <v>1693</v>
      </c>
      <c r="C1187" s="49">
        <v>6.63</v>
      </c>
      <c r="D1187" s="49">
        <v>4.51</v>
      </c>
      <c r="E1187" s="49">
        <v>9.11</v>
      </c>
      <c r="F1187" s="49">
        <v>12.64</v>
      </c>
      <c r="G1187" s="49">
        <v>14.46</v>
      </c>
      <c r="H1187" s="49">
        <v>14.34</v>
      </c>
      <c r="I1187" s="49">
        <v>11.53</v>
      </c>
      <c r="J1187" s="49">
        <v>19.43</v>
      </c>
      <c r="K1187" s="49">
        <v>12.91</v>
      </c>
      <c r="L1187" s="49">
        <v>15.11</v>
      </c>
      <c r="M1187" s="49">
        <v>17.79</v>
      </c>
      <c r="N1187" s="49">
        <v>35.19</v>
      </c>
      <c r="O1187" s="49">
        <v>20.84</v>
      </c>
      <c r="P1187" s="49">
        <v>10.93</v>
      </c>
      <c r="Q1187" s="49">
        <v>9.4600000000000009</v>
      </c>
      <c r="R1187" s="49">
        <v>9.08</v>
      </c>
      <c r="S1187" s="49">
        <v>10.85</v>
      </c>
    </row>
    <row r="1188" spans="1:19" ht="18">
      <c r="A1188" s="49">
        <v>5521</v>
      </c>
      <c r="B1188" s="49" t="s">
        <v>1002</v>
      </c>
      <c r="C1188" s="49">
        <v>5.76</v>
      </c>
      <c r="D1188" s="49">
        <v>0</v>
      </c>
      <c r="E1188" s="49">
        <v>0</v>
      </c>
      <c r="F1188" s="49">
        <v>0</v>
      </c>
      <c r="G1188" s="49">
        <v>33</v>
      </c>
      <c r="H1188" s="49">
        <v>12.77</v>
      </c>
      <c r="I1188" s="49">
        <v>66.36</v>
      </c>
      <c r="J1188" s="49">
        <v>0</v>
      </c>
      <c r="K1188" s="49">
        <v>52.14</v>
      </c>
      <c r="L1188" s="49">
        <v>41.33</v>
      </c>
      <c r="M1188" s="49">
        <v>95.88</v>
      </c>
      <c r="N1188" s="49">
        <v>0</v>
      </c>
      <c r="O1188" s="49">
        <v>0</v>
      </c>
      <c r="P1188" s="49">
        <v>3.42</v>
      </c>
      <c r="Q1188" s="49">
        <v>0</v>
      </c>
      <c r="R1188" s="49">
        <v>0</v>
      </c>
      <c r="S1188" s="49">
        <v>91.88</v>
      </c>
    </row>
    <row r="1189" spans="1:19" ht="18">
      <c r="A1189" s="49">
        <v>5522</v>
      </c>
      <c r="B1189" s="49" t="s">
        <v>1003</v>
      </c>
      <c r="C1189" s="49">
        <v>16.809999999999999</v>
      </c>
      <c r="D1189" s="49">
        <v>2.77</v>
      </c>
      <c r="E1189" s="49">
        <v>11.74</v>
      </c>
      <c r="F1189" s="49">
        <v>6.15</v>
      </c>
      <c r="G1189" s="49">
        <v>7.31</v>
      </c>
      <c r="H1189" s="49">
        <v>7.29</v>
      </c>
      <c r="I1189" s="49">
        <v>6.85</v>
      </c>
      <c r="J1189" s="49">
        <v>7.75</v>
      </c>
      <c r="K1189" s="49">
        <v>3.8</v>
      </c>
      <c r="L1189" s="49">
        <v>4.97</v>
      </c>
      <c r="M1189" s="49">
        <v>37.33</v>
      </c>
      <c r="N1189" s="49">
        <v>13.8</v>
      </c>
      <c r="O1189" s="49">
        <v>13.66</v>
      </c>
      <c r="P1189" s="49">
        <v>13.8</v>
      </c>
      <c r="Q1189" s="49">
        <v>10.050000000000001</v>
      </c>
      <c r="R1189" s="49">
        <v>6.44</v>
      </c>
      <c r="S1189" s="49">
        <v>13.46</v>
      </c>
    </row>
    <row r="1190" spans="1:19" ht="18">
      <c r="A1190" s="49">
        <v>5523</v>
      </c>
      <c r="B1190" s="49" t="s">
        <v>1694</v>
      </c>
      <c r="C1190" s="49">
        <v>7.55</v>
      </c>
      <c r="D1190" s="49">
        <v>8.51</v>
      </c>
      <c r="E1190" s="49">
        <v>0</v>
      </c>
      <c r="F1190" s="49">
        <v>0</v>
      </c>
      <c r="G1190" s="49">
        <v>0</v>
      </c>
      <c r="H1190" s="49">
        <v>0</v>
      </c>
      <c r="I1190" s="49">
        <v>0</v>
      </c>
      <c r="J1190" s="49">
        <v>0</v>
      </c>
      <c r="K1190" s="49">
        <v>2.2999999999999998</v>
      </c>
      <c r="L1190" s="49">
        <v>0</v>
      </c>
      <c r="M1190" s="49">
        <v>16.010000000000002</v>
      </c>
      <c r="N1190" s="49">
        <v>8.6199999999999992</v>
      </c>
      <c r="O1190" s="49">
        <v>35.76</v>
      </c>
      <c r="P1190" s="49">
        <v>428.75</v>
      </c>
      <c r="Q1190" s="49">
        <v>4.88</v>
      </c>
      <c r="R1190" s="49">
        <v>7.68</v>
      </c>
      <c r="S1190" s="49">
        <v>10.17</v>
      </c>
    </row>
    <row r="1191" spans="1:19" ht="18">
      <c r="A1191" s="49">
        <v>5525</v>
      </c>
      <c r="B1191" s="49" t="s">
        <v>1004</v>
      </c>
      <c r="C1191" s="49">
        <v>10.83</v>
      </c>
      <c r="D1191" s="49">
        <v>3.08</v>
      </c>
      <c r="E1191" s="49">
        <v>23.88</v>
      </c>
      <c r="F1191" s="49">
        <v>11.78</v>
      </c>
      <c r="G1191" s="49">
        <v>16.55</v>
      </c>
      <c r="H1191" s="49">
        <v>18.170000000000002</v>
      </c>
      <c r="I1191" s="49">
        <v>6.92</v>
      </c>
      <c r="J1191" s="49">
        <v>15.7</v>
      </c>
      <c r="K1191" s="49">
        <v>3.62</v>
      </c>
      <c r="L1191" s="49">
        <v>355</v>
      </c>
      <c r="M1191" s="49">
        <v>113.93</v>
      </c>
      <c r="N1191" s="49">
        <v>5.44</v>
      </c>
      <c r="O1191" s="49">
        <v>8.73</v>
      </c>
      <c r="P1191" s="49">
        <v>51.05</v>
      </c>
      <c r="Q1191" s="49">
        <v>0</v>
      </c>
      <c r="R1191" s="49">
        <v>10.95</v>
      </c>
      <c r="S1191" s="49">
        <v>9.2899999999999991</v>
      </c>
    </row>
    <row r="1192" spans="1:19" ht="18">
      <c r="A1192" s="49">
        <v>5529</v>
      </c>
      <c r="B1192" s="49" t="s">
        <v>1695</v>
      </c>
      <c r="C1192" s="49">
        <v>0</v>
      </c>
      <c r="D1192" s="49">
        <v>5.27</v>
      </c>
      <c r="E1192" s="49">
        <v>0</v>
      </c>
      <c r="F1192" s="49">
        <v>0</v>
      </c>
      <c r="G1192" s="49">
        <v>0</v>
      </c>
      <c r="H1192" s="49">
        <v>0</v>
      </c>
      <c r="I1192" s="49">
        <v>3.35</v>
      </c>
      <c r="J1192" s="49">
        <v>13.14</v>
      </c>
      <c r="K1192" s="49">
        <v>0</v>
      </c>
      <c r="L1192" s="49">
        <v>0</v>
      </c>
      <c r="M1192" s="49">
        <v>0</v>
      </c>
      <c r="N1192" s="49">
        <v>0</v>
      </c>
      <c r="O1192" s="49">
        <v>0</v>
      </c>
      <c r="P1192" s="49">
        <v>0</v>
      </c>
      <c r="Q1192" s="49">
        <v>0</v>
      </c>
      <c r="R1192" s="49">
        <v>0</v>
      </c>
      <c r="S1192" s="49">
        <v>0</v>
      </c>
    </row>
    <row r="1193" spans="1:19" ht="18">
      <c r="A1193" s="49">
        <v>5530</v>
      </c>
      <c r="B1193" s="49" t="s">
        <v>1696</v>
      </c>
      <c r="C1193" s="49">
        <v>16.88</v>
      </c>
      <c r="D1193" s="49">
        <v>0</v>
      </c>
      <c r="E1193" s="49">
        <v>0</v>
      </c>
      <c r="F1193" s="49">
        <v>48.42</v>
      </c>
      <c r="G1193" s="49">
        <v>24.49</v>
      </c>
      <c r="H1193" s="49">
        <v>18.16</v>
      </c>
      <c r="I1193" s="49">
        <v>18.71</v>
      </c>
      <c r="J1193" s="49">
        <v>15.89</v>
      </c>
      <c r="K1193" s="49">
        <v>13.58</v>
      </c>
      <c r="L1193" s="49">
        <v>25.27</v>
      </c>
      <c r="M1193" s="49">
        <v>18.34</v>
      </c>
      <c r="N1193" s="49">
        <v>10.11</v>
      </c>
      <c r="O1193" s="49">
        <v>11.77</v>
      </c>
      <c r="P1193" s="49">
        <v>17.29</v>
      </c>
      <c r="Q1193" s="49">
        <v>13.42</v>
      </c>
      <c r="R1193" s="49">
        <v>11.22</v>
      </c>
      <c r="S1193" s="49">
        <v>13.63</v>
      </c>
    </row>
    <row r="1194" spans="1:19" ht="18">
      <c r="A1194" s="49">
        <v>5531</v>
      </c>
      <c r="B1194" s="49" t="s">
        <v>1005</v>
      </c>
      <c r="C1194" s="49">
        <v>7.2</v>
      </c>
      <c r="D1194" s="49">
        <v>4.2</v>
      </c>
      <c r="E1194" s="49">
        <v>44.29</v>
      </c>
      <c r="F1194" s="49">
        <v>18.91</v>
      </c>
      <c r="G1194" s="49">
        <v>11.31</v>
      </c>
      <c r="H1194" s="49">
        <v>33.07</v>
      </c>
      <c r="I1194" s="49">
        <v>13.11</v>
      </c>
      <c r="J1194" s="49">
        <v>5.9</v>
      </c>
      <c r="K1194" s="49">
        <v>358.33</v>
      </c>
      <c r="L1194" s="49">
        <v>27.97</v>
      </c>
      <c r="M1194" s="49">
        <v>20.58</v>
      </c>
      <c r="N1194" s="49">
        <v>10.91</v>
      </c>
      <c r="O1194" s="49">
        <v>0</v>
      </c>
      <c r="P1194" s="49">
        <v>41.25</v>
      </c>
      <c r="Q1194" s="49">
        <v>1100</v>
      </c>
      <c r="R1194" s="49">
        <v>0</v>
      </c>
      <c r="S1194" s="49">
        <v>0</v>
      </c>
    </row>
    <row r="1195" spans="1:19" ht="18">
      <c r="A1195" s="49">
        <v>5533</v>
      </c>
      <c r="B1195" s="49" t="s">
        <v>1006</v>
      </c>
      <c r="C1195" s="49">
        <v>8.83</v>
      </c>
      <c r="D1195" s="49">
        <v>3.4</v>
      </c>
      <c r="E1195" s="49">
        <v>7.51</v>
      </c>
      <c r="F1195" s="49">
        <v>7.65</v>
      </c>
      <c r="G1195" s="49">
        <v>6.14</v>
      </c>
      <c r="H1195" s="49">
        <v>5.98</v>
      </c>
      <c r="I1195" s="49">
        <v>5.6</v>
      </c>
      <c r="J1195" s="49">
        <v>5.43</v>
      </c>
      <c r="K1195" s="49">
        <v>6.8</v>
      </c>
      <c r="L1195" s="49">
        <v>19.28</v>
      </c>
      <c r="M1195" s="49">
        <v>22.15</v>
      </c>
      <c r="N1195" s="49">
        <v>11.12</v>
      </c>
      <c r="O1195" s="49">
        <v>36.14</v>
      </c>
      <c r="P1195" s="49">
        <v>47.35</v>
      </c>
      <c r="Q1195" s="49">
        <v>9.9</v>
      </c>
      <c r="R1195" s="49">
        <v>3.04</v>
      </c>
      <c r="S1195" s="49">
        <v>8.49</v>
      </c>
    </row>
    <row r="1196" spans="1:19" ht="18">
      <c r="A1196" s="49">
        <v>5534</v>
      </c>
      <c r="B1196" s="49" t="s">
        <v>1007</v>
      </c>
      <c r="C1196" s="49">
        <v>6.81</v>
      </c>
      <c r="D1196" s="49">
        <v>3.9</v>
      </c>
      <c r="E1196" s="49">
        <v>12.58</v>
      </c>
      <c r="F1196" s="49">
        <v>6.96</v>
      </c>
      <c r="G1196" s="49">
        <v>6.6</v>
      </c>
      <c r="H1196" s="49">
        <v>6.04</v>
      </c>
      <c r="I1196" s="49">
        <v>3.11</v>
      </c>
      <c r="J1196" s="49">
        <v>27.9</v>
      </c>
      <c r="K1196" s="49">
        <v>7.22</v>
      </c>
      <c r="L1196" s="49">
        <v>7.13</v>
      </c>
      <c r="M1196" s="49">
        <v>9.61</v>
      </c>
      <c r="N1196" s="49">
        <v>4.63</v>
      </c>
      <c r="O1196" s="49">
        <v>8.61</v>
      </c>
      <c r="P1196" s="49">
        <v>9.41</v>
      </c>
      <c r="Q1196" s="49">
        <v>15.4</v>
      </c>
      <c r="R1196" s="49">
        <v>7.07</v>
      </c>
      <c r="S1196" s="49">
        <v>16.73</v>
      </c>
    </row>
    <row r="1197" spans="1:19" ht="18">
      <c r="A1197" s="49">
        <v>5536</v>
      </c>
      <c r="B1197" s="49" t="s">
        <v>1697</v>
      </c>
      <c r="C1197" s="49">
        <v>0</v>
      </c>
      <c r="D1197" s="49">
        <v>0</v>
      </c>
      <c r="E1197" s="49">
        <v>0</v>
      </c>
      <c r="F1197" s="49">
        <v>10.02</v>
      </c>
      <c r="G1197" s="49">
        <v>6.16</v>
      </c>
      <c r="H1197" s="49">
        <v>10.78</v>
      </c>
      <c r="I1197" s="49">
        <v>8.85</v>
      </c>
      <c r="J1197" s="49">
        <v>26.24</v>
      </c>
      <c r="K1197" s="49">
        <v>10.91</v>
      </c>
      <c r="L1197" s="49">
        <v>10</v>
      </c>
      <c r="M1197" s="49">
        <v>13.05</v>
      </c>
      <c r="N1197" s="49">
        <v>8.09</v>
      </c>
      <c r="O1197" s="49">
        <v>11.17</v>
      </c>
      <c r="P1197" s="49">
        <v>10.65</v>
      </c>
      <c r="Q1197" s="49">
        <v>11.43</v>
      </c>
      <c r="R1197" s="49">
        <v>6.74</v>
      </c>
      <c r="S1197" s="49">
        <v>10.57</v>
      </c>
    </row>
    <row r="1198" spans="1:19" ht="18">
      <c r="A1198" s="49">
        <v>5538</v>
      </c>
      <c r="B1198" s="49" t="s">
        <v>1008</v>
      </c>
      <c r="C1198" s="49">
        <v>0</v>
      </c>
      <c r="D1198" s="49">
        <v>0</v>
      </c>
      <c r="E1198" s="49">
        <v>0</v>
      </c>
      <c r="F1198" s="49">
        <v>0</v>
      </c>
      <c r="G1198" s="49">
        <v>0</v>
      </c>
      <c r="H1198" s="49">
        <v>0</v>
      </c>
      <c r="I1198" s="49">
        <v>24.72</v>
      </c>
      <c r="J1198" s="49">
        <v>10.71</v>
      </c>
      <c r="K1198" s="49">
        <v>13.41</v>
      </c>
      <c r="L1198" s="49">
        <v>16.43</v>
      </c>
      <c r="M1198" s="49">
        <v>9.39</v>
      </c>
      <c r="N1198" s="49">
        <v>8.39</v>
      </c>
      <c r="O1198" s="49">
        <v>14.26</v>
      </c>
      <c r="P1198" s="49">
        <v>14.54</v>
      </c>
      <c r="Q1198" s="49">
        <v>8.8800000000000008</v>
      </c>
      <c r="R1198" s="49">
        <v>7.42</v>
      </c>
      <c r="S1198" s="49">
        <v>16.11</v>
      </c>
    </row>
    <row r="1199" spans="1:19" ht="18">
      <c r="A1199" s="49">
        <v>5543</v>
      </c>
      <c r="B1199" s="49" t="s">
        <v>1698</v>
      </c>
      <c r="C1199" s="49">
        <v>0</v>
      </c>
      <c r="D1199" s="49">
        <v>0</v>
      </c>
      <c r="E1199" s="49">
        <v>0</v>
      </c>
      <c r="F1199" s="49">
        <v>0</v>
      </c>
      <c r="G1199" s="49">
        <v>0</v>
      </c>
      <c r="H1199" s="49">
        <v>0</v>
      </c>
      <c r="I1199" s="49">
        <v>0</v>
      </c>
      <c r="J1199" s="49">
        <v>0</v>
      </c>
      <c r="K1199" s="49">
        <v>0</v>
      </c>
      <c r="L1199" s="49">
        <v>18.71</v>
      </c>
      <c r="M1199" s="49">
        <v>0</v>
      </c>
      <c r="N1199" s="49">
        <v>0</v>
      </c>
      <c r="O1199" s="49">
        <v>32.74</v>
      </c>
      <c r="P1199" s="49">
        <v>75.31</v>
      </c>
      <c r="Q1199" s="49">
        <v>25.53</v>
      </c>
      <c r="R1199" s="49">
        <v>86.56</v>
      </c>
      <c r="S1199" s="49">
        <v>0</v>
      </c>
    </row>
    <row r="1200" spans="1:19" ht="18">
      <c r="A1200" s="49">
        <v>5546</v>
      </c>
      <c r="B1200" s="49" t="s">
        <v>1009</v>
      </c>
      <c r="C1200" s="49">
        <v>0</v>
      </c>
      <c r="D1200" s="49">
        <v>0</v>
      </c>
      <c r="E1200" s="49">
        <v>0</v>
      </c>
      <c r="F1200" s="49">
        <v>0</v>
      </c>
      <c r="G1200" s="49">
        <v>0</v>
      </c>
      <c r="H1200" s="49">
        <v>0</v>
      </c>
      <c r="I1200" s="49">
        <v>0</v>
      </c>
      <c r="J1200" s="49">
        <v>0</v>
      </c>
      <c r="K1200" s="49">
        <v>0</v>
      </c>
      <c r="L1200" s="49">
        <v>0</v>
      </c>
      <c r="M1200" s="49">
        <v>0</v>
      </c>
      <c r="N1200" s="49">
        <v>0</v>
      </c>
      <c r="O1200" s="49">
        <v>0</v>
      </c>
      <c r="P1200" s="49">
        <v>11.55</v>
      </c>
      <c r="Q1200" s="49">
        <v>12.8</v>
      </c>
      <c r="R1200" s="49">
        <v>23.75</v>
      </c>
      <c r="S1200" s="49">
        <v>0</v>
      </c>
    </row>
    <row r="1201" spans="1:19" ht="18">
      <c r="A1201" s="49">
        <v>5601</v>
      </c>
      <c r="B1201" s="49" t="s">
        <v>1699</v>
      </c>
      <c r="C1201" s="49">
        <v>49.83</v>
      </c>
      <c r="D1201" s="49">
        <v>52</v>
      </c>
      <c r="E1201" s="49">
        <v>62.2</v>
      </c>
      <c r="F1201" s="49">
        <v>66.150000000000006</v>
      </c>
      <c r="G1201" s="49">
        <v>67.69</v>
      </c>
      <c r="H1201" s="49">
        <v>39.619999999999997</v>
      </c>
      <c r="I1201" s="49">
        <v>110.77</v>
      </c>
      <c r="J1201" s="49">
        <v>28.85</v>
      </c>
      <c r="K1201" s="49">
        <v>96.9</v>
      </c>
      <c r="L1201" s="49">
        <v>86.67</v>
      </c>
      <c r="M1201" s="49">
        <v>76.209999999999994</v>
      </c>
      <c r="N1201" s="49">
        <v>85.78</v>
      </c>
      <c r="O1201" s="49">
        <v>98.7</v>
      </c>
      <c r="P1201" s="49">
        <v>108</v>
      </c>
      <c r="Q1201" s="49">
        <v>137.80000000000001</v>
      </c>
      <c r="R1201" s="49">
        <v>80</v>
      </c>
      <c r="S1201" s="49">
        <v>73.959999999999994</v>
      </c>
    </row>
    <row r="1202" spans="1:19" ht="18">
      <c r="A1202" s="49">
        <v>5603</v>
      </c>
      <c r="B1202" s="49" t="s">
        <v>1700</v>
      </c>
      <c r="C1202" s="49">
        <v>403.33</v>
      </c>
      <c r="D1202" s="49">
        <v>60.83</v>
      </c>
      <c r="E1202" s="49">
        <v>29.23</v>
      </c>
      <c r="F1202" s="49">
        <v>59.32</v>
      </c>
      <c r="G1202" s="49">
        <v>0</v>
      </c>
      <c r="H1202" s="49">
        <v>0</v>
      </c>
      <c r="I1202" s="49">
        <v>0</v>
      </c>
      <c r="J1202" s="49">
        <v>9.93</v>
      </c>
      <c r="K1202" s="49">
        <v>6.92</v>
      </c>
      <c r="L1202" s="49">
        <v>12.41</v>
      </c>
      <c r="M1202" s="49">
        <v>12.86</v>
      </c>
      <c r="N1202" s="49">
        <v>35.81</v>
      </c>
      <c r="O1202" s="49">
        <v>0</v>
      </c>
      <c r="P1202" s="49">
        <v>70.17</v>
      </c>
      <c r="Q1202" s="49">
        <v>3.24</v>
      </c>
      <c r="R1202" s="49">
        <v>10.28</v>
      </c>
      <c r="S1202" s="49">
        <v>11.89</v>
      </c>
    </row>
    <row r="1203" spans="1:19" ht="18">
      <c r="A1203" s="49">
        <v>5604</v>
      </c>
      <c r="B1203" s="49" t="s">
        <v>1701</v>
      </c>
      <c r="C1203" s="49">
        <v>8.2899999999999991</v>
      </c>
      <c r="D1203" s="49">
        <v>4.16</v>
      </c>
      <c r="E1203" s="49">
        <v>15.74</v>
      </c>
      <c r="F1203" s="49">
        <v>13.53</v>
      </c>
      <c r="G1203" s="49">
        <v>15.74</v>
      </c>
      <c r="H1203" s="49">
        <v>25.1</v>
      </c>
      <c r="I1203" s="49">
        <v>25.32</v>
      </c>
      <c r="J1203" s="49">
        <v>31.83</v>
      </c>
      <c r="K1203" s="49">
        <v>27.83</v>
      </c>
      <c r="L1203" s="49">
        <v>8.67</v>
      </c>
      <c r="M1203" s="49">
        <v>62.77</v>
      </c>
      <c r="N1203" s="49">
        <v>6.92</v>
      </c>
      <c r="O1203" s="49">
        <v>7.56</v>
      </c>
      <c r="P1203" s="49">
        <v>6.79</v>
      </c>
      <c r="Q1203" s="49">
        <v>12.45</v>
      </c>
      <c r="R1203" s="49">
        <v>50.19</v>
      </c>
      <c r="S1203" s="49">
        <v>53.19</v>
      </c>
    </row>
    <row r="1204" spans="1:19" ht="18">
      <c r="A1204" s="49">
        <v>5607</v>
      </c>
      <c r="B1204" s="49" t="s">
        <v>1010</v>
      </c>
      <c r="C1204" s="49">
        <v>0</v>
      </c>
      <c r="D1204" s="49">
        <v>19.46</v>
      </c>
      <c r="E1204" s="49">
        <v>0</v>
      </c>
      <c r="F1204" s="49">
        <v>0</v>
      </c>
      <c r="G1204" s="49">
        <v>371.25</v>
      </c>
      <c r="H1204" s="49">
        <v>55.12</v>
      </c>
      <c r="I1204" s="49">
        <v>27.42</v>
      </c>
      <c r="J1204" s="49">
        <v>15.68</v>
      </c>
      <c r="K1204" s="49">
        <v>14.29</v>
      </c>
      <c r="L1204" s="49">
        <v>14.21</v>
      </c>
      <c r="M1204" s="49">
        <v>11.62</v>
      </c>
      <c r="N1204" s="49">
        <v>11.91</v>
      </c>
      <c r="O1204" s="49">
        <v>8.86</v>
      </c>
      <c r="P1204" s="49">
        <v>20.52</v>
      </c>
      <c r="Q1204" s="49">
        <v>26.79</v>
      </c>
      <c r="R1204" s="49">
        <v>13.84</v>
      </c>
      <c r="S1204" s="49">
        <v>15.53</v>
      </c>
    </row>
    <row r="1205" spans="1:19" ht="18">
      <c r="A1205" s="49">
        <v>5608</v>
      </c>
      <c r="B1205" s="49" t="s">
        <v>1011</v>
      </c>
      <c r="C1205" s="49">
        <v>9.73</v>
      </c>
      <c r="D1205" s="49">
        <v>3.07</v>
      </c>
      <c r="E1205" s="49">
        <v>10.99</v>
      </c>
      <c r="F1205" s="49">
        <v>12.46</v>
      </c>
      <c r="G1205" s="49">
        <v>10.38</v>
      </c>
      <c r="H1205" s="49">
        <v>14.35</v>
      </c>
      <c r="I1205" s="49">
        <v>14.45</v>
      </c>
      <c r="J1205" s="49">
        <v>27.8</v>
      </c>
      <c r="K1205" s="49">
        <v>63.16</v>
      </c>
      <c r="L1205" s="49">
        <v>0</v>
      </c>
      <c r="M1205" s="49">
        <v>0</v>
      </c>
      <c r="N1205" s="49">
        <v>0</v>
      </c>
      <c r="O1205" s="49">
        <v>0</v>
      </c>
      <c r="P1205" s="49">
        <v>0</v>
      </c>
      <c r="Q1205" s="49">
        <v>10.199999999999999</v>
      </c>
      <c r="R1205" s="49">
        <v>3.4</v>
      </c>
      <c r="S1205" s="49">
        <v>0</v>
      </c>
    </row>
    <row r="1206" spans="1:19" ht="18">
      <c r="A1206" s="49">
        <v>5609</v>
      </c>
      <c r="B1206" s="49" t="s">
        <v>1702</v>
      </c>
      <c r="C1206" s="49">
        <v>16.440000000000001</v>
      </c>
      <c r="D1206" s="49">
        <v>9.9499999999999993</v>
      </c>
      <c r="E1206" s="49">
        <v>19.86</v>
      </c>
      <c r="F1206" s="49">
        <v>13.59</v>
      </c>
      <c r="G1206" s="49">
        <v>9.25</v>
      </c>
      <c r="H1206" s="49">
        <v>19.37</v>
      </c>
      <c r="I1206" s="49">
        <v>19.52</v>
      </c>
      <c r="J1206" s="49">
        <v>14.64</v>
      </c>
      <c r="K1206" s="49">
        <v>13.92</v>
      </c>
      <c r="L1206" s="49">
        <v>11.42</v>
      </c>
      <c r="M1206" s="49">
        <v>12.65</v>
      </c>
      <c r="N1206" s="49">
        <v>10.8</v>
      </c>
      <c r="O1206" s="49">
        <v>9.0399999999999991</v>
      </c>
      <c r="P1206" s="49">
        <v>8.94</v>
      </c>
      <c r="Q1206" s="49">
        <v>8.5399999999999991</v>
      </c>
      <c r="R1206" s="49">
        <v>3.11</v>
      </c>
      <c r="S1206" s="49">
        <v>10</v>
      </c>
    </row>
    <row r="1207" spans="1:19" ht="18">
      <c r="A1207" s="49">
        <v>5701</v>
      </c>
      <c r="B1207" s="49" t="s">
        <v>1703</v>
      </c>
      <c r="C1207" s="49">
        <v>0</v>
      </c>
      <c r="D1207" s="49">
        <v>0</v>
      </c>
      <c r="E1207" s="49">
        <v>0</v>
      </c>
      <c r="F1207" s="49">
        <v>0</v>
      </c>
      <c r="G1207" s="49">
        <v>0</v>
      </c>
      <c r="H1207" s="49">
        <v>0</v>
      </c>
      <c r="I1207" s="49">
        <v>0</v>
      </c>
      <c r="J1207" s="49">
        <v>0</v>
      </c>
      <c r="K1207" s="49">
        <v>0</v>
      </c>
      <c r="L1207" s="49">
        <v>0</v>
      </c>
      <c r="M1207" s="49">
        <v>0</v>
      </c>
      <c r="N1207" s="49">
        <v>0</v>
      </c>
      <c r="O1207" s="49">
        <v>0</v>
      </c>
      <c r="P1207" s="49">
        <v>0</v>
      </c>
      <c r="Q1207" s="49">
        <v>0</v>
      </c>
      <c r="R1207" s="49">
        <v>0</v>
      </c>
      <c r="S1207" s="49">
        <v>0</v>
      </c>
    </row>
    <row r="1208" spans="1:19" ht="18">
      <c r="A1208" s="49">
        <v>5703</v>
      </c>
      <c r="B1208" s="49" t="s">
        <v>1704</v>
      </c>
      <c r="C1208" s="49">
        <v>0</v>
      </c>
      <c r="D1208" s="49">
        <v>0</v>
      </c>
      <c r="E1208" s="49">
        <v>0</v>
      </c>
      <c r="F1208" s="49">
        <v>34.700000000000003</v>
      </c>
      <c r="G1208" s="49">
        <v>34.75</v>
      </c>
      <c r="H1208" s="49">
        <v>25.61</v>
      </c>
      <c r="I1208" s="49">
        <v>27.38</v>
      </c>
      <c r="J1208" s="49">
        <v>56.13</v>
      </c>
      <c r="K1208" s="49">
        <v>29.26</v>
      </c>
      <c r="L1208" s="49">
        <v>93.46</v>
      </c>
      <c r="M1208" s="49">
        <v>114.32</v>
      </c>
      <c r="N1208" s="49">
        <v>0</v>
      </c>
      <c r="O1208" s="49">
        <v>0</v>
      </c>
      <c r="P1208" s="49">
        <v>0</v>
      </c>
      <c r="Q1208" s="49">
        <v>0</v>
      </c>
      <c r="R1208" s="49">
        <v>0</v>
      </c>
      <c r="S1208" s="49">
        <v>128.57</v>
      </c>
    </row>
    <row r="1209" spans="1:19" ht="18">
      <c r="A1209" s="49">
        <v>5704</v>
      </c>
      <c r="B1209" s="49" t="s">
        <v>1705</v>
      </c>
      <c r="C1209" s="49">
        <v>47.35</v>
      </c>
      <c r="D1209" s="49">
        <v>0</v>
      </c>
      <c r="E1209" s="49">
        <v>2060</v>
      </c>
      <c r="F1209" s="49">
        <v>110.45</v>
      </c>
      <c r="G1209" s="49">
        <v>30.67</v>
      </c>
      <c r="H1209" s="49">
        <v>26.6</v>
      </c>
      <c r="I1209" s="49">
        <v>18.920000000000002</v>
      </c>
      <c r="J1209" s="49">
        <v>29.52</v>
      </c>
      <c r="K1209" s="49">
        <v>23.66</v>
      </c>
      <c r="L1209" s="49">
        <v>33.44</v>
      </c>
      <c r="M1209" s="49">
        <v>0</v>
      </c>
      <c r="N1209" s="49">
        <v>43.14</v>
      </c>
      <c r="O1209" s="49">
        <v>33.19</v>
      </c>
      <c r="P1209" s="49">
        <v>16.29</v>
      </c>
      <c r="Q1209" s="49">
        <v>21.13</v>
      </c>
      <c r="R1209" s="49">
        <v>20.12</v>
      </c>
      <c r="S1209" s="49">
        <v>21.6</v>
      </c>
    </row>
    <row r="1210" spans="1:19" ht="18">
      <c r="A1210" s="49">
        <v>5706</v>
      </c>
      <c r="B1210" s="49" t="s">
        <v>1012</v>
      </c>
      <c r="C1210" s="49">
        <v>28.47</v>
      </c>
      <c r="D1210" s="49">
        <v>23.86</v>
      </c>
      <c r="E1210" s="49">
        <v>33.96</v>
      </c>
      <c r="F1210" s="49">
        <v>17.149999999999999</v>
      </c>
      <c r="G1210" s="49">
        <v>16.22</v>
      </c>
      <c r="H1210" s="49">
        <v>19.149999999999999</v>
      </c>
      <c r="I1210" s="49">
        <v>17.38</v>
      </c>
      <c r="J1210" s="49">
        <v>20.28</v>
      </c>
      <c r="K1210" s="49">
        <v>12</v>
      </c>
      <c r="L1210" s="49">
        <v>13.94</v>
      </c>
      <c r="M1210" s="49">
        <v>12.22</v>
      </c>
      <c r="N1210" s="49">
        <v>14.2</v>
      </c>
      <c r="O1210" s="49">
        <v>12.06</v>
      </c>
      <c r="P1210" s="49">
        <v>53.14</v>
      </c>
      <c r="Q1210" s="49">
        <v>41.06</v>
      </c>
      <c r="R1210" s="49">
        <v>0</v>
      </c>
      <c r="S1210" s="49">
        <v>48.36</v>
      </c>
    </row>
    <row r="1211" spans="1:19" ht="18">
      <c r="A1211" s="49">
        <v>5864</v>
      </c>
      <c r="B1211" s="49" t="s">
        <v>1706</v>
      </c>
      <c r="C1211" s="49">
        <v>0</v>
      </c>
      <c r="D1211" s="49">
        <v>0</v>
      </c>
      <c r="E1211" s="49">
        <v>0</v>
      </c>
      <c r="F1211" s="49">
        <v>0</v>
      </c>
      <c r="G1211" s="49">
        <v>0</v>
      </c>
      <c r="H1211" s="49">
        <v>0</v>
      </c>
      <c r="I1211" s="49">
        <v>0</v>
      </c>
      <c r="J1211" s="49">
        <v>0</v>
      </c>
      <c r="K1211" s="49">
        <v>0</v>
      </c>
      <c r="L1211" s="49">
        <v>0</v>
      </c>
      <c r="M1211" s="49">
        <v>0</v>
      </c>
      <c r="N1211" s="49">
        <v>5.0199999999999996</v>
      </c>
      <c r="O1211" s="49">
        <v>15.52</v>
      </c>
      <c r="P1211" s="49">
        <v>16.649999999999999</v>
      </c>
      <c r="Q1211" s="49">
        <v>6.31</v>
      </c>
      <c r="R1211" s="49">
        <v>0</v>
      </c>
      <c r="S1211" s="49">
        <v>6.67</v>
      </c>
    </row>
    <row r="1212" spans="1:19" ht="18">
      <c r="A1212" s="49">
        <v>5871</v>
      </c>
      <c r="B1212" s="49" t="s">
        <v>1013</v>
      </c>
      <c r="C1212" s="49">
        <v>0</v>
      </c>
      <c r="D1212" s="49">
        <v>0</v>
      </c>
      <c r="E1212" s="49">
        <v>0</v>
      </c>
      <c r="F1212" s="49">
        <v>0</v>
      </c>
      <c r="G1212" s="49">
        <v>9.32</v>
      </c>
      <c r="H1212" s="49">
        <v>16.28</v>
      </c>
      <c r="I1212" s="49">
        <v>14.6</v>
      </c>
      <c r="J1212" s="49">
        <v>12.83</v>
      </c>
      <c r="K1212" s="49">
        <v>9.4700000000000006</v>
      </c>
      <c r="L1212" s="49">
        <v>8.76</v>
      </c>
      <c r="M1212" s="49">
        <v>11.17</v>
      </c>
      <c r="N1212" s="49">
        <v>9.8699999999999992</v>
      </c>
      <c r="O1212" s="49">
        <v>12.38</v>
      </c>
      <c r="P1212" s="49">
        <v>15.72</v>
      </c>
      <c r="Q1212" s="49">
        <v>20.55</v>
      </c>
      <c r="R1212" s="49">
        <v>14.08</v>
      </c>
      <c r="S1212" s="49">
        <v>13.39</v>
      </c>
    </row>
    <row r="1213" spans="1:19" ht="18">
      <c r="A1213" s="49">
        <v>5876</v>
      </c>
      <c r="B1213" s="49" t="s">
        <v>1014</v>
      </c>
      <c r="C1213" s="49">
        <v>0</v>
      </c>
      <c r="D1213" s="49">
        <v>0</v>
      </c>
      <c r="E1213" s="49">
        <v>0</v>
      </c>
      <c r="F1213" s="49">
        <v>0</v>
      </c>
      <c r="G1213" s="49">
        <v>0</v>
      </c>
      <c r="H1213" s="49">
        <v>0</v>
      </c>
      <c r="I1213" s="49">
        <v>0</v>
      </c>
      <c r="J1213" s="49">
        <v>0</v>
      </c>
      <c r="K1213" s="49">
        <v>0</v>
      </c>
      <c r="L1213" s="49">
        <v>0</v>
      </c>
      <c r="M1213" s="49">
        <v>0</v>
      </c>
      <c r="N1213" s="49">
        <v>12.76</v>
      </c>
      <c r="O1213" s="49">
        <v>14.94</v>
      </c>
      <c r="P1213" s="49">
        <v>13.43</v>
      </c>
      <c r="Q1213" s="49">
        <v>15.05</v>
      </c>
      <c r="R1213" s="49">
        <v>12.04</v>
      </c>
      <c r="S1213" s="49">
        <v>13.64</v>
      </c>
    </row>
    <row r="1214" spans="1:19" ht="18">
      <c r="A1214" s="49">
        <v>5878</v>
      </c>
      <c r="B1214" s="49" t="s">
        <v>1707</v>
      </c>
      <c r="C1214" s="49">
        <v>0</v>
      </c>
      <c r="D1214" s="49">
        <v>0</v>
      </c>
      <c r="E1214" s="49">
        <v>0</v>
      </c>
      <c r="F1214" s="49">
        <v>0</v>
      </c>
      <c r="G1214" s="49">
        <v>0</v>
      </c>
      <c r="H1214" s="49">
        <v>0</v>
      </c>
      <c r="I1214" s="49">
        <v>0</v>
      </c>
      <c r="J1214" s="49">
        <v>10.199999999999999</v>
      </c>
      <c r="K1214" s="49">
        <v>13.82</v>
      </c>
      <c r="L1214" s="49">
        <v>12.57</v>
      </c>
      <c r="M1214" s="49">
        <v>11.79</v>
      </c>
      <c r="N1214" s="49">
        <v>14.43</v>
      </c>
      <c r="O1214" s="49">
        <v>15.53</v>
      </c>
      <c r="P1214" s="49">
        <v>13.97</v>
      </c>
      <c r="Q1214" s="49">
        <v>15.8</v>
      </c>
      <c r="R1214" s="49">
        <v>16.309999999999999</v>
      </c>
      <c r="S1214" s="49">
        <v>21.64</v>
      </c>
    </row>
    <row r="1215" spans="1:19" ht="18">
      <c r="A1215" s="49">
        <v>5880</v>
      </c>
      <c r="B1215" s="49" t="s">
        <v>1015</v>
      </c>
      <c r="C1215" s="49">
        <v>0</v>
      </c>
      <c r="D1215" s="49">
        <v>0</v>
      </c>
      <c r="E1215" s="49">
        <v>0</v>
      </c>
      <c r="F1215" s="49">
        <v>0</v>
      </c>
      <c r="G1215" s="49">
        <v>15.96</v>
      </c>
      <c r="H1215" s="49">
        <v>545</v>
      </c>
      <c r="I1215" s="49">
        <v>17.53</v>
      </c>
      <c r="J1215" s="49">
        <v>15.09</v>
      </c>
      <c r="K1215" s="49">
        <v>12.85</v>
      </c>
      <c r="L1215" s="49">
        <v>12.01</v>
      </c>
      <c r="M1215" s="49">
        <v>13.61</v>
      </c>
      <c r="N1215" s="49">
        <v>14.96</v>
      </c>
      <c r="O1215" s="49">
        <v>16.47</v>
      </c>
      <c r="P1215" s="49">
        <v>16.68</v>
      </c>
      <c r="Q1215" s="49">
        <v>16.850000000000001</v>
      </c>
      <c r="R1215" s="49">
        <v>18.71</v>
      </c>
      <c r="S1215" s="49">
        <v>19.63</v>
      </c>
    </row>
    <row r="1216" spans="1:19" ht="18">
      <c r="A1216" s="49">
        <v>5902</v>
      </c>
      <c r="B1216" s="49" t="s">
        <v>1708</v>
      </c>
      <c r="C1216" s="49">
        <v>0</v>
      </c>
      <c r="D1216" s="49">
        <v>0</v>
      </c>
      <c r="E1216" s="49">
        <v>0</v>
      </c>
      <c r="F1216" s="49">
        <v>0</v>
      </c>
      <c r="G1216" s="49">
        <v>0</v>
      </c>
      <c r="H1216" s="49">
        <v>0</v>
      </c>
      <c r="I1216" s="49">
        <v>102.73</v>
      </c>
      <c r="J1216" s="49">
        <v>102.31</v>
      </c>
      <c r="K1216" s="49">
        <v>47.38</v>
      </c>
      <c r="L1216" s="49">
        <v>32.03</v>
      </c>
      <c r="M1216" s="49">
        <v>36.619999999999997</v>
      </c>
      <c r="N1216" s="49">
        <v>34.630000000000003</v>
      </c>
      <c r="O1216" s="49">
        <v>22.87</v>
      </c>
      <c r="P1216" s="49">
        <v>15.04</v>
      </c>
      <c r="Q1216" s="49">
        <v>15.12</v>
      </c>
      <c r="R1216" s="49">
        <v>17.16</v>
      </c>
      <c r="S1216" s="49">
        <v>19.21</v>
      </c>
    </row>
    <row r="1217" spans="1:19" ht="18">
      <c r="A1217" s="49">
        <v>5903</v>
      </c>
      <c r="B1217" s="49" t="s">
        <v>1709</v>
      </c>
      <c r="C1217" s="49">
        <v>18.8</v>
      </c>
      <c r="D1217" s="49">
        <v>14.48</v>
      </c>
      <c r="E1217" s="49">
        <v>18.239999999999998</v>
      </c>
      <c r="F1217" s="49">
        <v>23.89</v>
      </c>
      <c r="G1217" s="49">
        <v>26.59</v>
      </c>
      <c r="H1217" s="49">
        <v>36.08</v>
      </c>
      <c r="I1217" s="49">
        <v>39.35</v>
      </c>
      <c r="J1217" s="49">
        <v>34.19</v>
      </c>
      <c r="K1217" s="49">
        <v>36.83</v>
      </c>
      <c r="L1217" s="49">
        <v>32.18</v>
      </c>
      <c r="M1217" s="49">
        <v>31.01</v>
      </c>
      <c r="N1217" s="49">
        <v>29.42</v>
      </c>
      <c r="O1217" s="49">
        <v>28.6</v>
      </c>
      <c r="P1217" s="49">
        <v>27.84</v>
      </c>
      <c r="Q1217" s="49">
        <v>37.729999999999997</v>
      </c>
      <c r="R1217" s="49">
        <v>32.08</v>
      </c>
      <c r="S1217" s="49">
        <v>20.77</v>
      </c>
    </row>
    <row r="1218" spans="1:19" ht="18">
      <c r="A1218" s="49">
        <v>5904</v>
      </c>
      <c r="B1218" s="49" t="s">
        <v>1710</v>
      </c>
      <c r="C1218" s="49">
        <v>10.1</v>
      </c>
      <c r="D1218" s="49">
        <v>7.61</v>
      </c>
      <c r="E1218" s="49">
        <v>10.49</v>
      </c>
      <c r="F1218" s="49">
        <v>10.83</v>
      </c>
      <c r="G1218" s="49">
        <v>10.47</v>
      </c>
      <c r="H1218" s="49">
        <v>14.06</v>
      </c>
      <c r="I1218" s="49">
        <v>33.130000000000003</v>
      </c>
      <c r="J1218" s="49">
        <v>32.020000000000003</v>
      </c>
      <c r="K1218" s="49">
        <v>31.37</v>
      </c>
      <c r="L1218" s="49">
        <v>32.619999999999997</v>
      </c>
      <c r="M1218" s="49">
        <v>26.99</v>
      </c>
      <c r="N1218" s="49">
        <v>18.55</v>
      </c>
      <c r="O1218" s="49">
        <v>22.91</v>
      </c>
      <c r="P1218" s="49">
        <v>26.97</v>
      </c>
      <c r="Q1218" s="49">
        <v>22.78</v>
      </c>
      <c r="R1218" s="49">
        <v>25.86</v>
      </c>
      <c r="S1218" s="49">
        <v>22.84</v>
      </c>
    </row>
    <row r="1219" spans="1:19" ht="18">
      <c r="A1219" s="49">
        <v>5905</v>
      </c>
      <c r="B1219" s="49" t="s">
        <v>1711</v>
      </c>
      <c r="C1219" s="49">
        <v>100.45</v>
      </c>
      <c r="D1219" s="49">
        <v>0</v>
      </c>
      <c r="E1219" s="49">
        <v>0</v>
      </c>
      <c r="F1219" s="49">
        <v>0</v>
      </c>
      <c r="G1219" s="49">
        <v>0</v>
      </c>
      <c r="H1219" s="49">
        <v>0</v>
      </c>
      <c r="I1219" s="49">
        <v>0</v>
      </c>
      <c r="J1219" s="49">
        <v>21.53</v>
      </c>
      <c r="K1219" s="49">
        <v>16.62</v>
      </c>
      <c r="L1219" s="49">
        <v>15.98</v>
      </c>
      <c r="M1219" s="49">
        <v>23.82</v>
      </c>
      <c r="N1219" s="49">
        <v>30</v>
      </c>
      <c r="O1219" s="49">
        <v>25.27</v>
      </c>
      <c r="P1219" s="49">
        <v>68</v>
      </c>
      <c r="Q1219" s="49">
        <v>0</v>
      </c>
      <c r="R1219" s="49">
        <v>0</v>
      </c>
      <c r="S1219" s="49">
        <v>129</v>
      </c>
    </row>
    <row r="1220" spans="1:19" ht="18">
      <c r="A1220" s="49">
        <v>5906</v>
      </c>
      <c r="B1220" s="49" t="s">
        <v>1016</v>
      </c>
      <c r="C1220" s="49">
        <v>0</v>
      </c>
      <c r="D1220" s="49">
        <v>0</v>
      </c>
      <c r="E1220" s="49">
        <v>0</v>
      </c>
      <c r="F1220" s="49">
        <v>0</v>
      </c>
      <c r="G1220" s="49">
        <v>10.6</v>
      </c>
      <c r="H1220" s="49">
        <v>0</v>
      </c>
      <c r="I1220" s="49">
        <v>0</v>
      </c>
      <c r="J1220" s="49">
        <v>0</v>
      </c>
      <c r="K1220" s="49">
        <v>0</v>
      </c>
      <c r="L1220" s="49">
        <v>0</v>
      </c>
      <c r="M1220" s="49">
        <v>0</v>
      </c>
      <c r="N1220" s="49">
        <v>15</v>
      </c>
      <c r="O1220" s="49">
        <v>22.13</v>
      </c>
      <c r="P1220" s="49">
        <v>0</v>
      </c>
      <c r="Q1220" s="49">
        <v>11.71</v>
      </c>
      <c r="R1220" s="49">
        <v>9.89</v>
      </c>
      <c r="S1220" s="49">
        <v>18.45</v>
      </c>
    </row>
    <row r="1221" spans="1:19" ht="18">
      <c r="A1221" s="49">
        <v>5907</v>
      </c>
      <c r="B1221" s="49" t="s">
        <v>1017</v>
      </c>
      <c r="C1221" s="49">
        <v>0</v>
      </c>
      <c r="D1221" s="49">
        <v>0</v>
      </c>
      <c r="E1221" s="49">
        <v>0</v>
      </c>
      <c r="F1221" s="49">
        <v>0</v>
      </c>
      <c r="G1221" s="49">
        <v>0</v>
      </c>
      <c r="H1221" s="49">
        <v>20.62</v>
      </c>
      <c r="I1221" s="49">
        <v>11.68</v>
      </c>
      <c r="J1221" s="49">
        <v>10.49</v>
      </c>
      <c r="K1221" s="49">
        <v>11.6</v>
      </c>
      <c r="L1221" s="49">
        <v>18.78</v>
      </c>
      <c r="M1221" s="49">
        <v>19.04</v>
      </c>
      <c r="N1221" s="49">
        <v>8.6199999999999992</v>
      </c>
      <c r="O1221" s="49">
        <v>11.7</v>
      </c>
      <c r="P1221" s="49">
        <v>533.75</v>
      </c>
      <c r="Q1221" s="49">
        <v>80.91</v>
      </c>
      <c r="R1221" s="49">
        <v>0</v>
      </c>
      <c r="S1221" s="49">
        <v>0</v>
      </c>
    </row>
    <row r="1222" spans="1:19" ht="18">
      <c r="A1222" s="49">
        <v>6005</v>
      </c>
      <c r="B1222" s="49" t="s">
        <v>1018</v>
      </c>
      <c r="C1222" s="49">
        <v>7.62</v>
      </c>
      <c r="D1222" s="49">
        <v>0</v>
      </c>
      <c r="E1222" s="49">
        <v>0</v>
      </c>
      <c r="F1222" s="49">
        <v>20.87</v>
      </c>
      <c r="G1222" s="49">
        <v>21.33</v>
      </c>
      <c r="H1222" s="49">
        <v>24.24</v>
      </c>
      <c r="I1222" s="49">
        <v>22.1</v>
      </c>
      <c r="J1222" s="49">
        <v>12.15</v>
      </c>
      <c r="K1222" s="49">
        <v>17.09</v>
      </c>
      <c r="L1222" s="49">
        <v>13.09</v>
      </c>
      <c r="M1222" s="49">
        <v>11.84</v>
      </c>
      <c r="N1222" s="49">
        <v>8.14</v>
      </c>
      <c r="O1222" s="49">
        <v>16.79</v>
      </c>
      <c r="P1222" s="49">
        <v>9.82</v>
      </c>
      <c r="Q1222" s="49">
        <v>7.03</v>
      </c>
      <c r="R1222" s="49">
        <v>14.09</v>
      </c>
      <c r="S1222" s="49">
        <v>9.24</v>
      </c>
    </row>
    <row r="1223" spans="1:19" ht="18">
      <c r="A1223" s="49">
        <v>6015</v>
      </c>
      <c r="B1223" s="49" t="s">
        <v>1712</v>
      </c>
      <c r="C1223" s="49">
        <v>9.2100000000000009</v>
      </c>
      <c r="D1223" s="49">
        <v>0</v>
      </c>
      <c r="E1223" s="49">
        <v>0</v>
      </c>
      <c r="F1223" s="49">
        <v>29.71</v>
      </c>
      <c r="G1223" s="49">
        <v>0</v>
      </c>
      <c r="H1223" s="49">
        <v>2.0699999999999998</v>
      </c>
      <c r="I1223" s="49">
        <v>21.67</v>
      </c>
      <c r="J1223" s="49">
        <v>19.829999999999998</v>
      </c>
      <c r="K1223" s="49">
        <v>0</v>
      </c>
      <c r="L1223" s="49">
        <v>0</v>
      </c>
      <c r="M1223" s="49">
        <v>26.8</v>
      </c>
      <c r="N1223" s="49">
        <v>0</v>
      </c>
      <c r="O1223" s="49">
        <v>0</v>
      </c>
      <c r="P1223" s="49">
        <v>26.74</v>
      </c>
      <c r="Q1223" s="49">
        <v>4.5199999999999996</v>
      </c>
      <c r="R1223" s="49">
        <v>32.479999999999997</v>
      </c>
      <c r="S1223" s="49">
        <v>185.83</v>
      </c>
    </row>
    <row r="1224" spans="1:19" ht="18">
      <c r="A1224" s="49">
        <v>6016</v>
      </c>
      <c r="B1224" s="49" t="s">
        <v>1713</v>
      </c>
      <c r="C1224" s="49">
        <v>8.41</v>
      </c>
      <c r="D1224" s="49">
        <v>0</v>
      </c>
      <c r="E1224" s="49">
        <v>56.3</v>
      </c>
      <c r="F1224" s="49">
        <v>80.36</v>
      </c>
      <c r="G1224" s="49">
        <v>0</v>
      </c>
      <c r="H1224" s="49">
        <v>0</v>
      </c>
      <c r="I1224" s="49">
        <v>0</v>
      </c>
      <c r="J1224" s="49">
        <v>29.04</v>
      </c>
      <c r="K1224" s="49">
        <v>89</v>
      </c>
      <c r="L1224" s="49">
        <v>221.67</v>
      </c>
      <c r="M1224" s="49">
        <v>24.78</v>
      </c>
      <c r="N1224" s="49">
        <v>54.79</v>
      </c>
      <c r="O1224" s="49">
        <v>405</v>
      </c>
      <c r="P1224" s="49">
        <v>10.94</v>
      </c>
      <c r="Q1224" s="49">
        <v>7.43</v>
      </c>
      <c r="R1224" s="49">
        <v>15.13</v>
      </c>
      <c r="S1224" s="49">
        <v>7.47</v>
      </c>
    </row>
    <row r="1225" spans="1:19" ht="18">
      <c r="A1225" s="49">
        <v>6020</v>
      </c>
      <c r="B1225" s="49" t="s">
        <v>1714</v>
      </c>
      <c r="C1225" s="49">
        <v>8.5500000000000007</v>
      </c>
      <c r="D1225" s="49">
        <v>0</v>
      </c>
      <c r="E1225" s="49">
        <v>53.61</v>
      </c>
      <c r="F1225" s="49">
        <v>24.05</v>
      </c>
      <c r="G1225" s="49">
        <v>0</v>
      </c>
      <c r="H1225" s="49">
        <v>57.39</v>
      </c>
      <c r="I1225" s="49">
        <v>18.04</v>
      </c>
      <c r="J1225" s="49">
        <v>21.88</v>
      </c>
      <c r="K1225" s="49">
        <v>0</v>
      </c>
      <c r="L1225" s="49">
        <v>31.84</v>
      </c>
      <c r="M1225" s="49">
        <v>18.850000000000001</v>
      </c>
      <c r="N1225" s="49">
        <v>64.5</v>
      </c>
      <c r="O1225" s="49">
        <v>162.5</v>
      </c>
      <c r="P1225" s="49">
        <v>23.48</v>
      </c>
      <c r="Q1225" s="49">
        <v>8.15</v>
      </c>
      <c r="R1225" s="49">
        <v>0</v>
      </c>
      <c r="S1225" s="49">
        <v>15.12</v>
      </c>
    </row>
    <row r="1226" spans="1:19" ht="18">
      <c r="A1226" s="49">
        <v>6021</v>
      </c>
      <c r="B1226" s="49" t="s">
        <v>1715</v>
      </c>
      <c r="C1226" s="49">
        <v>8.86</v>
      </c>
      <c r="D1226" s="49">
        <v>0</v>
      </c>
      <c r="E1226" s="49">
        <v>15.13</v>
      </c>
      <c r="F1226" s="49">
        <v>14.19</v>
      </c>
      <c r="G1226" s="49">
        <v>61.88</v>
      </c>
      <c r="H1226" s="49">
        <v>24.42</v>
      </c>
      <c r="I1226" s="49">
        <v>28.39</v>
      </c>
      <c r="J1226" s="49">
        <v>27.09</v>
      </c>
      <c r="K1226" s="49">
        <v>0</v>
      </c>
      <c r="L1226" s="49">
        <v>0</v>
      </c>
      <c r="M1226" s="49">
        <v>24.42</v>
      </c>
      <c r="N1226" s="49">
        <v>14.29</v>
      </c>
      <c r="O1226" s="49">
        <v>657.5</v>
      </c>
      <c r="P1226" s="49">
        <v>62.03</v>
      </c>
      <c r="Q1226" s="49">
        <v>19.809999999999999</v>
      </c>
      <c r="R1226" s="49">
        <v>58.82</v>
      </c>
      <c r="S1226" s="49">
        <v>39.61</v>
      </c>
    </row>
    <row r="1227" spans="1:19" ht="18">
      <c r="A1227" s="49">
        <v>6023</v>
      </c>
      <c r="B1227" s="49" t="s">
        <v>1716</v>
      </c>
      <c r="C1227" s="49">
        <v>9.3800000000000008</v>
      </c>
      <c r="D1227" s="49">
        <v>11.29</v>
      </c>
      <c r="E1227" s="49">
        <v>12.25</v>
      </c>
      <c r="F1227" s="49">
        <v>20.66</v>
      </c>
      <c r="G1227" s="49">
        <v>9.17</v>
      </c>
      <c r="H1227" s="49">
        <v>14.86</v>
      </c>
      <c r="I1227" s="49">
        <v>13.29</v>
      </c>
      <c r="J1227" s="49">
        <v>9.24</v>
      </c>
      <c r="K1227" s="49">
        <v>10.88</v>
      </c>
      <c r="L1227" s="49">
        <v>10.49</v>
      </c>
      <c r="M1227" s="49">
        <v>11.53</v>
      </c>
      <c r="N1227" s="49">
        <v>10.54</v>
      </c>
      <c r="O1227" s="49">
        <v>10.59</v>
      </c>
      <c r="P1227" s="49">
        <v>11.91</v>
      </c>
      <c r="Q1227" s="49">
        <v>15.42</v>
      </c>
      <c r="R1227" s="49">
        <v>14.92</v>
      </c>
      <c r="S1227" s="49">
        <v>10.119999999999999</v>
      </c>
    </row>
    <row r="1228" spans="1:19" ht="18">
      <c r="A1228" s="49">
        <v>6024</v>
      </c>
      <c r="B1228" s="49" t="s">
        <v>1019</v>
      </c>
      <c r="C1228" s="49">
        <v>0</v>
      </c>
      <c r="D1228" s="49">
        <v>0</v>
      </c>
      <c r="E1228" s="49">
        <v>13.8</v>
      </c>
      <c r="F1228" s="49">
        <v>16.739999999999998</v>
      </c>
      <c r="G1228" s="49">
        <v>9.0500000000000007</v>
      </c>
      <c r="H1228" s="49">
        <v>11.13</v>
      </c>
      <c r="I1228" s="49">
        <v>10.62</v>
      </c>
      <c r="J1228" s="49">
        <v>11.18</v>
      </c>
      <c r="K1228" s="49">
        <v>8.4700000000000006</v>
      </c>
      <c r="L1228" s="49">
        <v>8.9700000000000006</v>
      </c>
      <c r="M1228" s="49">
        <v>10.52</v>
      </c>
      <c r="N1228" s="49">
        <v>8.7200000000000006</v>
      </c>
      <c r="O1228" s="49">
        <v>14.21</v>
      </c>
      <c r="P1228" s="49">
        <v>12.94</v>
      </c>
      <c r="Q1228" s="49">
        <v>15.33</v>
      </c>
      <c r="R1228" s="49">
        <v>12.13</v>
      </c>
      <c r="S1228" s="49">
        <v>10.67</v>
      </c>
    </row>
    <row r="1229" spans="1:19" ht="18">
      <c r="A1229" s="49">
        <v>6026</v>
      </c>
      <c r="B1229" s="49" t="s">
        <v>1717</v>
      </c>
      <c r="C1229" s="49">
        <v>0</v>
      </c>
      <c r="D1229" s="49">
        <v>0</v>
      </c>
      <c r="E1229" s="49">
        <v>0</v>
      </c>
      <c r="F1229" s="49">
        <v>0</v>
      </c>
      <c r="G1229" s="49">
        <v>0</v>
      </c>
      <c r="H1229" s="49">
        <v>0</v>
      </c>
      <c r="I1229" s="49">
        <v>0</v>
      </c>
      <c r="J1229" s="49">
        <v>0</v>
      </c>
      <c r="K1229" s="49">
        <v>0</v>
      </c>
      <c r="L1229" s="49">
        <v>5.95</v>
      </c>
      <c r="M1229" s="49">
        <v>8.91</v>
      </c>
      <c r="N1229" s="49">
        <v>8.61</v>
      </c>
      <c r="O1229" s="49">
        <v>21.88</v>
      </c>
      <c r="P1229" s="49">
        <v>15.53</v>
      </c>
      <c r="Q1229" s="49">
        <v>6.24</v>
      </c>
      <c r="R1229" s="49">
        <v>16.75</v>
      </c>
      <c r="S1229" s="49">
        <v>11.32</v>
      </c>
    </row>
    <row r="1230" spans="1:19" ht="18">
      <c r="A1230" s="49">
        <v>6101</v>
      </c>
      <c r="B1230" s="49" t="s">
        <v>1718</v>
      </c>
      <c r="C1230" s="49">
        <v>14.89</v>
      </c>
      <c r="D1230" s="49">
        <v>0</v>
      </c>
      <c r="E1230" s="49">
        <v>0</v>
      </c>
      <c r="F1230" s="49">
        <v>0</v>
      </c>
      <c r="G1230" s="49">
        <v>39.19</v>
      </c>
      <c r="H1230" s="49">
        <v>0</v>
      </c>
      <c r="I1230" s="49">
        <v>0</v>
      </c>
      <c r="J1230" s="49">
        <v>37.14</v>
      </c>
      <c r="K1230" s="49">
        <v>0</v>
      </c>
      <c r="L1230" s="49">
        <v>0</v>
      </c>
      <c r="M1230" s="49">
        <v>673.75</v>
      </c>
      <c r="N1230" s="49">
        <v>0</v>
      </c>
      <c r="O1230" s="49">
        <v>97.58</v>
      </c>
      <c r="P1230" s="49">
        <v>0</v>
      </c>
      <c r="Q1230" s="49">
        <v>0</v>
      </c>
      <c r="R1230" s="49">
        <v>0</v>
      </c>
      <c r="S1230" s="49">
        <v>115.14</v>
      </c>
    </row>
    <row r="1231" spans="1:19" ht="18">
      <c r="A1231" s="49">
        <v>6103</v>
      </c>
      <c r="B1231" s="49" t="s">
        <v>1719</v>
      </c>
      <c r="C1231" s="49">
        <v>0</v>
      </c>
      <c r="D1231" s="49">
        <v>0</v>
      </c>
      <c r="E1231" s="49">
        <v>0</v>
      </c>
      <c r="F1231" s="49">
        <v>0</v>
      </c>
      <c r="G1231" s="49">
        <v>0</v>
      </c>
      <c r="H1231" s="49">
        <v>0</v>
      </c>
      <c r="I1231" s="49">
        <v>0</v>
      </c>
      <c r="J1231" s="49">
        <v>0</v>
      </c>
      <c r="K1231" s="49">
        <v>0</v>
      </c>
      <c r="L1231" s="49">
        <v>227.86</v>
      </c>
      <c r="M1231" s="49">
        <v>21.32</v>
      </c>
      <c r="N1231" s="49">
        <v>32.22</v>
      </c>
      <c r="O1231" s="49">
        <v>39.619999999999997</v>
      </c>
      <c r="P1231" s="49">
        <v>0</v>
      </c>
      <c r="Q1231" s="49">
        <v>0</v>
      </c>
      <c r="R1231" s="49">
        <v>0</v>
      </c>
      <c r="S1231" s="49">
        <v>0</v>
      </c>
    </row>
    <row r="1232" spans="1:19" ht="18">
      <c r="A1232" s="49">
        <v>6104</v>
      </c>
      <c r="B1232" s="49" t="s">
        <v>1720</v>
      </c>
      <c r="C1232" s="49">
        <v>19.2</v>
      </c>
      <c r="D1232" s="49">
        <v>52.6</v>
      </c>
      <c r="E1232" s="49">
        <v>0</v>
      </c>
      <c r="F1232" s="49">
        <v>0</v>
      </c>
      <c r="G1232" s="49">
        <v>0</v>
      </c>
      <c r="H1232" s="49">
        <v>0</v>
      </c>
      <c r="I1232" s="49">
        <v>0</v>
      </c>
      <c r="J1232" s="49">
        <v>31.26</v>
      </c>
      <c r="K1232" s="49">
        <v>13.2</v>
      </c>
      <c r="L1232" s="49">
        <v>15.23</v>
      </c>
      <c r="M1232" s="49">
        <v>21.8</v>
      </c>
      <c r="N1232" s="49">
        <v>11.92</v>
      </c>
      <c r="O1232" s="49">
        <v>16.940000000000001</v>
      </c>
      <c r="P1232" s="49">
        <v>19.78</v>
      </c>
      <c r="Q1232" s="49">
        <v>45.8</v>
      </c>
      <c r="R1232" s="49">
        <v>10.8</v>
      </c>
      <c r="S1232" s="49">
        <v>0</v>
      </c>
    </row>
    <row r="1233" spans="1:19" ht="18">
      <c r="A1233" s="49">
        <v>6108</v>
      </c>
      <c r="B1233" s="49" t="s">
        <v>1020</v>
      </c>
      <c r="C1233" s="49">
        <v>8.67</v>
      </c>
      <c r="D1233" s="49">
        <v>5.22</v>
      </c>
      <c r="E1233" s="49">
        <v>12.65</v>
      </c>
      <c r="F1233" s="49">
        <v>8.27</v>
      </c>
      <c r="G1233" s="49">
        <v>6.8</v>
      </c>
      <c r="H1233" s="49">
        <v>7.74</v>
      </c>
      <c r="I1233" s="49">
        <v>13.56</v>
      </c>
      <c r="J1233" s="49">
        <v>11.49</v>
      </c>
      <c r="K1233" s="49">
        <v>0</v>
      </c>
      <c r="L1233" s="49">
        <v>7.39</v>
      </c>
      <c r="M1233" s="49">
        <v>10.93</v>
      </c>
      <c r="N1233" s="49">
        <v>8.35</v>
      </c>
      <c r="O1233" s="49">
        <v>9.56</v>
      </c>
      <c r="P1233" s="49">
        <v>0</v>
      </c>
      <c r="Q1233" s="49">
        <v>23.62</v>
      </c>
      <c r="R1233" s="49">
        <v>22.23</v>
      </c>
      <c r="S1233" s="49">
        <v>53.5</v>
      </c>
    </row>
    <row r="1234" spans="1:19" ht="18">
      <c r="A1234" s="49">
        <v>6109</v>
      </c>
      <c r="B1234" s="49" t="s">
        <v>1721</v>
      </c>
      <c r="C1234" s="49">
        <v>16.670000000000002</v>
      </c>
      <c r="D1234" s="49">
        <v>0</v>
      </c>
      <c r="E1234" s="49">
        <v>0</v>
      </c>
      <c r="F1234" s="49">
        <v>23.39</v>
      </c>
      <c r="G1234" s="49">
        <v>0</v>
      </c>
      <c r="H1234" s="49">
        <v>21.76</v>
      </c>
      <c r="I1234" s="49">
        <v>0</v>
      </c>
      <c r="J1234" s="49">
        <v>16.829999999999998</v>
      </c>
      <c r="K1234" s="49">
        <v>9.7799999999999994</v>
      </c>
      <c r="L1234" s="49">
        <v>11.76</v>
      </c>
      <c r="M1234" s="49">
        <v>11.63</v>
      </c>
      <c r="N1234" s="49">
        <v>0</v>
      </c>
      <c r="O1234" s="49">
        <v>23.22</v>
      </c>
      <c r="P1234" s="49">
        <v>0</v>
      </c>
      <c r="Q1234" s="49">
        <v>0</v>
      </c>
      <c r="R1234" s="49">
        <v>94.38</v>
      </c>
      <c r="S1234" s="49">
        <v>18.8</v>
      </c>
    </row>
    <row r="1235" spans="1:19" ht="18">
      <c r="A1235" s="49">
        <v>6111</v>
      </c>
      <c r="B1235" s="49" t="s">
        <v>1722</v>
      </c>
      <c r="C1235" s="49">
        <v>0</v>
      </c>
      <c r="D1235" s="49">
        <v>0</v>
      </c>
      <c r="E1235" s="49">
        <v>62.9</v>
      </c>
      <c r="F1235" s="49">
        <v>0</v>
      </c>
      <c r="G1235" s="49">
        <v>0</v>
      </c>
      <c r="H1235" s="49">
        <v>0</v>
      </c>
      <c r="I1235" s="49">
        <v>51.56</v>
      </c>
      <c r="J1235" s="49">
        <v>0</v>
      </c>
      <c r="K1235" s="49">
        <v>27.78</v>
      </c>
      <c r="L1235" s="49">
        <v>0</v>
      </c>
      <c r="M1235" s="49">
        <v>0</v>
      </c>
      <c r="N1235" s="49">
        <v>325.70999999999998</v>
      </c>
      <c r="O1235" s="49">
        <v>11.75</v>
      </c>
      <c r="P1235" s="49">
        <v>0</v>
      </c>
      <c r="Q1235" s="49">
        <v>776.92</v>
      </c>
      <c r="R1235" s="49">
        <v>6.19</v>
      </c>
      <c r="S1235" s="49">
        <v>38.69</v>
      </c>
    </row>
    <row r="1236" spans="1:19" ht="18">
      <c r="A1236" s="49">
        <v>6112</v>
      </c>
      <c r="B1236" s="49" t="s">
        <v>1021</v>
      </c>
      <c r="C1236" s="49">
        <v>8.6999999999999993</v>
      </c>
      <c r="D1236" s="49">
        <v>6.54</v>
      </c>
      <c r="E1236" s="49">
        <v>30.2</v>
      </c>
      <c r="F1236" s="49">
        <v>15.24</v>
      </c>
      <c r="G1236" s="49">
        <v>9.64</v>
      </c>
      <c r="H1236" s="49">
        <v>10.67</v>
      </c>
      <c r="I1236" s="49">
        <v>12.6</v>
      </c>
      <c r="J1236" s="49">
        <v>14.96</v>
      </c>
      <c r="K1236" s="49">
        <v>10.47</v>
      </c>
      <c r="L1236" s="49">
        <v>11.38</v>
      </c>
      <c r="M1236" s="49">
        <v>11.62</v>
      </c>
      <c r="N1236" s="49">
        <v>10.58</v>
      </c>
      <c r="O1236" s="49">
        <v>17.18</v>
      </c>
      <c r="P1236" s="49">
        <v>16.3</v>
      </c>
      <c r="Q1236" s="49">
        <v>12.91</v>
      </c>
      <c r="R1236" s="49">
        <v>13.63</v>
      </c>
      <c r="S1236" s="49">
        <v>21.58</v>
      </c>
    </row>
    <row r="1237" spans="1:19" ht="18">
      <c r="A1237" s="49">
        <v>6113</v>
      </c>
      <c r="B1237" s="49" t="s">
        <v>1723</v>
      </c>
      <c r="C1237" s="49">
        <v>0</v>
      </c>
      <c r="D1237" s="49">
        <v>0</v>
      </c>
      <c r="E1237" s="49">
        <v>13.78</v>
      </c>
      <c r="F1237" s="49">
        <v>8.4700000000000006</v>
      </c>
      <c r="G1237" s="49">
        <v>8.6199999999999992</v>
      </c>
      <c r="H1237" s="49">
        <v>0</v>
      </c>
      <c r="I1237" s="49">
        <v>0</v>
      </c>
      <c r="J1237" s="49">
        <v>0</v>
      </c>
      <c r="K1237" s="49">
        <v>0</v>
      </c>
      <c r="L1237" s="49">
        <v>24.57</v>
      </c>
      <c r="M1237" s="49">
        <v>0</v>
      </c>
      <c r="N1237" s="49">
        <v>0</v>
      </c>
      <c r="O1237" s="49">
        <v>0</v>
      </c>
      <c r="P1237" s="49">
        <v>0</v>
      </c>
      <c r="Q1237" s="49">
        <v>21.59</v>
      </c>
      <c r="R1237" s="49">
        <v>6.89</v>
      </c>
      <c r="S1237" s="49">
        <v>0</v>
      </c>
    </row>
    <row r="1238" spans="1:19" ht="18">
      <c r="A1238" s="49">
        <v>6114</v>
      </c>
      <c r="B1238" s="49" t="s">
        <v>1724</v>
      </c>
      <c r="C1238" s="49">
        <v>0</v>
      </c>
      <c r="D1238" s="49">
        <v>0</v>
      </c>
      <c r="E1238" s="49">
        <v>0</v>
      </c>
      <c r="F1238" s="49">
        <v>0</v>
      </c>
      <c r="G1238" s="49">
        <v>0</v>
      </c>
      <c r="H1238" s="49">
        <v>0</v>
      </c>
      <c r="I1238" s="49">
        <v>0</v>
      </c>
      <c r="J1238" s="49">
        <v>40.15</v>
      </c>
      <c r="K1238" s="49">
        <v>6.34</v>
      </c>
      <c r="L1238" s="49">
        <v>10.48</v>
      </c>
      <c r="M1238" s="49">
        <v>4.6500000000000004</v>
      </c>
      <c r="N1238" s="49">
        <v>20.36</v>
      </c>
      <c r="O1238" s="49">
        <v>5.01</v>
      </c>
      <c r="P1238" s="49">
        <v>110.24</v>
      </c>
      <c r="Q1238" s="49">
        <v>19.66</v>
      </c>
      <c r="R1238" s="49">
        <v>9.06</v>
      </c>
      <c r="S1238" s="49">
        <v>78.930000000000007</v>
      </c>
    </row>
    <row r="1239" spans="1:19" ht="18">
      <c r="A1239" s="49">
        <v>6115</v>
      </c>
      <c r="B1239" s="49" t="s">
        <v>1022</v>
      </c>
      <c r="C1239" s="49">
        <v>9.15</v>
      </c>
      <c r="D1239" s="49">
        <v>5.35</v>
      </c>
      <c r="E1239" s="49">
        <v>11.3</v>
      </c>
      <c r="F1239" s="49">
        <v>9.74</v>
      </c>
      <c r="G1239" s="49">
        <v>8.89</v>
      </c>
      <c r="H1239" s="49">
        <v>9.6</v>
      </c>
      <c r="I1239" s="49">
        <v>11.38</v>
      </c>
      <c r="J1239" s="49">
        <v>11.13</v>
      </c>
      <c r="K1239" s="49">
        <v>11.05</v>
      </c>
      <c r="L1239" s="49">
        <v>12.19</v>
      </c>
      <c r="M1239" s="49">
        <v>13.69</v>
      </c>
      <c r="N1239" s="49">
        <v>16.38</v>
      </c>
      <c r="O1239" s="49">
        <v>13.48</v>
      </c>
      <c r="P1239" s="49">
        <v>17.78</v>
      </c>
      <c r="Q1239" s="49">
        <v>15.49</v>
      </c>
      <c r="R1239" s="49">
        <v>9.81</v>
      </c>
      <c r="S1239" s="49">
        <v>14.38</v>
      </c>
    </row>
    <row r="1240" spans="1:19" ht="18">
      <c r="A1240" s="49">
        <v>6116</v>
      </c>
      <c r="B1240" s="49" t="s">
        <v>1023</v>
      </c>
      <c r="C1240" s="49">
        <v>11.61</v>
      </c>
      <c r="D1240" s="49">
        <v>2.2200000000000002</v>
      </c>
      <c r="E1240" s="49">
        <v>0</v>
      </c>
      <c r="F1240" s="49">
        <v>0</v>
      </c>
      <c r="G1240" s="49">
        <v>0</v>
      </c>
      <c r="H1240" s="49">
        <v>0</v>
      </c>
      <c r="I1240" s="49">
        <v>5.24</v>
      </c>
      <c r="J1240" s="49">
        <v>19.29</v>
      </c>
      <c r="K1240" s="49">
        <v>0</v>
      </c>
      <c r="L1240" s="49">
        <v>0</v>
      </c>
      <c r="M1240" s="49">
        <v>3.85</v>
      </c>
      <c r="N1240" s="49">
        <v>5.82</v>
      </c>
      <c r="O1240" s="49">
        <v>0</v>
      </c>
      <c r="P1240" s="49">
        <v>34.17</v>
      </c>
      <c r="Q1240" s="49">
        <v>5.52</v>
      </c>
      <c r="R1240" s="49">
        <v>85.77</v>
      </c>
      <c r="S1240" s="49">
        <v>0</v>
      </c>
    </row>
    <row r="1241" spans="1:19" ht="18">
      <c r="A1241" s="49">
        <v>6117</v>
      </c>
      <c r="B1241" s="49" t="s">
        <v>1024</v>
      </c>
      <c r="C1241" s="49">
        <v>70</v>
      </c>
      <c r="D1241" s="49">
        <v>5.58</v>
      </c>
      <c r="E1241" s="49">
        <v>0</v>
      </c>
      <c r="F1241" s="49">
        <v>30.54</v>
      </c>
      <c r="G1241" s="49">
        <v>14.89</v>
      </c>
      <c r="H1241" s="49">
        <v>0</v>
      </c>
      <c r="I1241" s="49">
        <v>0</v>
      </c>
      <c r="J1241" s="49">
        <v>19.350000000000001</v>
      </c>
      <c r="K1241" s="49">
        <v>0</v>
      </c>
      <c r="L1241" s="49">
        <v>0</v>
      </c>
      <c r="M1241" s="49">
        <v>0</v>
      </c>
      <c r="N1241" s="49">
        <v>3.25</v>
      </c>
      <c r="O1241" s="49">
        <v>0</v>
      </c>
      <c r="P1241" s="49">
        <v>0</v>
      </c>
      <c r="Q1241" s="49">
        <v>0</v>
      </c>
      <c r="R1241" s="49">
        <v>106.54</v>
      </c>
      <c r="S1241" s="49">
        <v>1278.33</v>
      </c>
    </row>
    <row r="1242" spans="1:19" ht="18">
      <c r="A1242" s="49">
        <v>6118</v>
      </c>
      <c r="B1242" s="49" t="s">
        <v>1725</v>
      </c>
      <c r="C1242" s="49">
        <v>142.66999999999999</v>
      </c>
      <c r="D1242" s="49">
        <v>29.03</v>
      </c>
      <c r="E1242" s="49">
        <v>37.75</v>
      </c>
      <c r="F1242" s="49">
        <v>45.78</v>
      </c>
      <c r="G1242" s="49">
        <v>67.33</v>
      </c>
      <c r="H1242" s="49">
        <v>34.17</v>
      </c>
      <c r="I1242" s="49">
        <v>26.58</v>
      </c>
      <c r="J1242" s="49">
        <v>0</v>
      </c>
      <c r="K1242" s="49">
        <v>0</v>
      </c>
      <c r="L1242" s="49">
        <v>50.15</v>
      </c>
      <c r="M1242" s="49">
        <v>104.29</v>
      </c>
      <c r="N1242" s="49">
        <v>34.03</v>
      </c>
      <c r="O1242" s="49">
        <v>0</v>
      </c>
      <c r="P1242" s="49">
        <v>73.75</v>
      </c>
      <c r="Q1242" s="49">
        <v>61.71</v>
      </c>
      <c r="R1242" s="49">
        <v>115</v>
      </c>
      <c r="S1242" s="49">
        <v>0</v>
      </c>
    </row>
    <row r="1243" spans="1:19" ht="18">
      <c r="A1243" s="49">
        <v>6120</v>
      </c>
      <c r="B1243" s="49" t="s">
        <v>1025</v>
      </c>
      <c r="C1243" s="49">
        <v>71.73</v>
      </c>
      <c r="D1243" s="49">
        <v>0</v>
      </c>
      <c r="E1243" s="49">
        <v>0</v>
      </c>
      <c r="F1243" s="49">
        <v>10.09</v>
      </c>
      <c r="G1243" s="49">
        <v>18.22</v>
      </c>
      <c r="H1243" s="49">
        <v>39.869999999999997</v>
      </c>
      <c r="I1243" s="49">
        <v>0</v>
      </c>
      <c r="J1243" s="49">
        <v>0</v>
      </c>
      <c r="K1243" s="49">
        <v>4.3099999999999996</v>
      </c>
      <c r="L1243" s="49">
        <v>0</v>
      </c>
      <c r="M1243" s="49">
        <v>57</v>
      </c>
      <c r="N1243" s="49">
        <v>23.96</v>
      </c>
      <c r="O1243" s="49">
        <v>0</v>
      </c>
      <c r="P1243" s="49">
        <v>0</v>
      </c>
      <c r="Q1243" s="49">
        <v>0</v>
      </c>
      <c r="R1243" s="49">
        <v>0</v>
      </c>
      <c r="S1243" s="49">
        <v>35.26</v>
      </c>
    </row>
    <row r="1244" spans="1:19" ht="18">
      <c r="A1244" s="49">
        <v>6121</v>
      </c>
      <c r="B1244" s="49" t="s">
        <v>1726</v>
      </c>
      <c r="C1244" s="49">
        <v>16.63</v>
      </c>
      <c r="D1244" s="49">
        <v>6.83</v>
      </c>
      <c r="E1244" s="49">
        <v>18.54</v>
      </c>
      <c r="F1244" s="49">
        <v>16.8</v>
      </c>
      <c r="G1244" s="49">
        <v>14.33</v>
      </c>
      <c r="H1244" s="49">
        <v>12.08</v>
      </c>
      <c r="I1244" s="49">
        <v>14.27</v>
      </c>
      <c r="J1244" s="49">
        <v>14.25</v>
      </c>
      <c r="K1244" s="49">
        <v>9.91</v>
      </c>
      <c r="L1244" s="49">
        <v>10</v>
      </c>
      <c r="M1244" s="49">
        <v>11.89</v>
      </c>
      <c r="N1244" s="49">
        <v>12.85</v>
      </c>
      <c r="O1244" s="49">
        <v>15.01</v>
      </c>
      <c r="P1244" s="49">
        <v>14.63</v>
      </c>
      <c r="Q1244" s="49">
        <v>9.34</v>
      </c>
      <c r="R1244" s="49">
        <v>7.42</v>
      </c>
      <c r="S1244" s="49">
        <v>13.04</v>
      </c>
    </row>
    <row r="1245" spans="1:19" ht="18">
      <c r="A1245" s="49">
        <v>6122</v>
      </c>
      <c r="B1245" s="49" t="s">
        <v>1727</v>
      </c>
      <c r="C1245" s="49">
        <v>8.7899999999999991</v>
      </c>
      <c r="D1245" s="49">
        <v>5.53</v>
      </c>
      <c r="E1245" s="49">
        <v>9.56</v>
      </c>
      <c r="F1245" s="49">
        <v>8.16</v>
      </c>
      <c r="G1245" s="49">
        <v>9.1199999999999992</v>
      </c>
      <c r="H1245" s="49">
        <v>16.28</v>
      </c>
      <c r="I1245" s="49">
        <v>19.739999999999998</v>
      </c>
      <c r="J1245" s="49">
        <v>0</v>
      </c>
      <c r="K1245" s="49">
        <v>0</v>
      </c>
      <c r="L1245" s="49">
        <v>499</v>
      </c>
      <c r="M1245" s="49">
        <v>22.4</v>
      </c>
      <c r="N1245" s="49">
        <v>0</v>
      </c>
      <c r="O1245" s="49">
        <v>4.6900000000000004</v>
      </c>
      <c r="P1245" s="49">
        <v>21.27</v>
      </c>
      <c r="Q1245" s="49">
        <v>33.92</v>
      </c>
      <c r="R1245" s="49">
        <v>9.94</v>
      </c>
      <c r="S1245" s="49">
        <v>15.33</v>
      </c>
    </row>
    <row r="1246" spans="1:19" ht="18">
      <c r="A1246" s="49">
        <v>6123</v>
      </c>
      <c r="B1246" s="49" t="s">
        <v>1728</v>
      </c>
      <c r="C1246" s="49">
        <v>9.2200000000000006</v>
      </c>
      <c r="D1246" s="49">
        <v>4.62</v>
      </c>
      <c r="E1246" s="49">
        <v>19.47</v>
      </c>
      <c r="F1246" s="49">
        <v>20.2</v>
      </c>
      <c r="G1246" s="49">
        <v>12.47</v>
      </c>
      <c r="H1246" s="49">
        <v>9.8800000000000008</v>
      </c>
      <c r="I1246" s="49">
        <v>29.04</v>
      </c>
      <c r="J1246" s="49">
        <v>17.940000000000001</v>
      </c>
      <c r="K1246" s="49">
        <v>16.010000000000002</v>
      </c>
      <c r="L1246" s="49">
        <v>10.24</v>
      </c>
      <c r="M1246" s="49">
        <v>15.95</v>
      </c>
      <c r="N1246" s="49">
        <v>11.2</v>
      </c>
      <c r="O1246" s="49">
        <v>11.91</v>
      </c>
      <c r="P1246" s="49">
        <v>9.59</v>
      </c>
      <c r="Q1246" s="49">
        <v>10.38</v>
      </c>
      <c r="R1246" s="49">
        <v>10.09</v>
      </c>
      <c r="S1246" s="49">
        <v>14.3</v>
      </c>
    </row>
    <row r="1247" spans="1:19" ht="18">
      <c r="A1247" s="49">
        <v>6124</v>
      </c>
      <c r="B1247" s="49" t="s">
        <v>1729</v>
      </c>
      <c r="C1247" s="49">
        <v>19.420000000000002</v>
      </c>
      <c r="D1247" s="49">
        <v>66</v>
      </c>
      <c r="E1247" s="49">
        <v>0</v>
      </c>
      <c r="F1247" s="49">
        <v>85.31</v>
      </c>
      <c r="G1247" s="49">
        <v>235.45</v>
      </c>
      <c r="H1247" s="49">
        <v>568.33000000000004</v>
      </c>
      <c r="I1247" s="49">
        <v>41.15</v>
      </c>
      <c r="J1247" s="49">
        <v>0</v>
      </c>
      <c r="K1247" s="49">
        <v>0</v>
      </c>
      <c r="L1247" s="49">
        <v>28.22</v>
      </c>
      <c r="M1247" s="49">
        <v>0</v>
      </c>
      <c r="N1247" s="49">
        <v>127.06</v>
      </c>
      <c r="O1247" s="49">
        <v>35.71</v>
      </c>
      <c r="P1247" s="49">
        <v>20.41</v>
      </c>
      <c r="Q1247" s="49">
        <v>20.12</v>
      </c>
      <c r="R1247" s="49">
        <v>27.71</v>
      </c>
      <c r="S1247" s="49">
        <v>0</v>
      </c>
    </row>
    <row r="1248" spans="1:19" ht="18">
      <c r="A1248" s="49">
        <v>6125</v>
      </c>
      <c r="B1248" s="49" t="s">
        <v>1730</v>
      </c>
      <c r="C1248" s="49">
        <v>10.1</v>
      </c>
      <c r="D1248" s="49">
        <v>5.23</v>
      </c>
      <c r="E1248" s="49">
        <v>30.57</v>
      </c>
      <c r="F1248" s="49">
        <v>19.920000000000002</v>
      </c>
      <c r="G1248" s="49">
        <v>68.819999999999993</v>
      </c>
      <c r="H1248" s="49">
        <v>0</v>
      </c>
      <c r="I1248" s="49">
        <v>0</v>
      </c>
      <c r="J1248" s="49">
        <v>0</v>
      </c>
      <c r="K1248" s="49">
        <v>112.73</v>
      </c>
      <c r="L1248" s="49">
        <v>0</v>
      </c>
      <c r="M1248" s="49">
        <v>0</v>
      </c>
      <c r="N1248" s="49">
        <v>0</v>
      </c>
      <c r="O1248" s="49">
        <v>2.79</v>
      </c>
      <c r="P1248" s="49">
        <v>0</v>
      </c>
      <c r="Q1248" s="49">
        <v>0</v>
      </c>
      <c r="R1248" s="49">
        <v>20.99</v>
      </c>
      <c r="S1248" s="49">
        <v>37.5</v>
      </c>
    </row>
    <row r="1249" spans="1:19" ht="18">
      <c r="A1249" s="49">
        <v>6126</v>
      </c>
      <c r="B1249" s="49" t="s">
        <v>1731</v>
      </c>
      <c r="C1249" s="49">
        <v>11.95</v>
      </c>
      <c r="D1249" s="49">
        <v>11.65</v>
      </c>
      <c r="E1249" s="49">
        <v>18.079999999999998</v>
      </c>
      <c r="F1249" s="49">
        <v>9.58</v>
      </c>
      <c r="G1249" s="49">
        <v>11.95</v>
      </c>
      <c r="H1249" s="49">
        <v>9.65</v>
      </c>
      <c r="I1249" s="49">
        <v>25.82</v>
      </c>
      <c r="J1249" s="49">
        <v>0</v>
      </c>
      <c r="K1249" s="49">
        <v>0</v>
      </c>
      <c r="L1249" s="49">
        <v>0</v>
      </c>
      <c r="M1249" s="49">
        <v>10.36</v>
      </c>
      <c r="N1249" s="49">
        <v>33.71</v>
      </c>
      <c r="O1249" s="49">
        <v>13.36</v>
      </c>
      <c r="P1249" s="49">
        <v>12.67</v>
      </c>
      <c r="Q1249" s="49">
        <v>16.670000000000002</v>
      </c>
      <c r="R1249" s="49">
        <v>9.7100000000000009</v>
      </c>
      <c r="S1249" s="49">
        <v>20.36</v>
      </c>
    </row>
    <row r="1250" spans="1:19" ht="18">
      <c r="A1250" s="49">
        <v>6127</v>
      </c>
      <c r="B1250" s="49" t="s">
        <v>1732</v>
      </c>
      <c r="C1250" s="49">
        <v>18.52</v>
      </c>
      <c r="D1250" s="49">
        <v>0</v>
      </c>
      <c r="E1250" s="49">
        <v>0</v>
      </c>
      <c r="F1250" s="49">
        <v>21.6</v>
      </c>
      <c r="G1250" s="49">
        <v>10.74</v>
      </c>
      <c r="H1250" s="49">
        <v>0</v>
      </c>
      <c r="I1250" s="49">
        <v>0</v>
      </c>
      <c r="J1250" s="49">
        <v>0</v>
      </c>
      <c r="K1250" s="49">
        <v>25</v>
      </c>
      <c r="L1250" s="49">
        <v>28.62</v>
      </c>
      <c r="M1250" s="49">
        <v>59.14</v>
      </c>
      <c r="N1250" s="49">
        <v>0</v>
      </c>
      <c r="O1250" s="49">
        <v>0</v>
      </c>
      <c r="P1250" s="49">
        <v>0</v>
      </c>
      <c r="Q1250" s="49">
        <v>108.7</v>
      </c>
      <c r="R1250" s="49">
        <v>0</v>
      </c>
      <c r="S1250" s="49">
        <v>16.440000000000001</v>
      </c>
    </row>
    <row r="1251" spans="1:19" ht="18">
      <c r="A1251" s="49">
        <v>6128</v>
      </c>
      <c r="B1251" s="49" t="s">
        <v>1026</v>
      </c>
      <c r="C1251" s="49">
        <v>7.3</v>
      </c>
      <c r="D1251" s="49">
        <v>12.95</v>
      </c>
      <c r="E1251" s="49">
        <v>13.5</v>
      </c>
      <c r="F1251" s="49">
        <v>9.32</v>
      </c>
      <c r="G1251" s="49">
        <v>9.01</v>
      </c>
      <c r="H1251" s="49">
        <v>13.48</v>
      </c>
      <c r="I1251" s="49">
        <v>12.43</v>
      </c>
      <c r="J1251" s="49">
        <v>12.25</v>
      </c>
      <c r="K1251" s="49">
        <v>10.24</v>
      </c>
      <c r="L1251" s="49">
        <v>9.23</v>
      </c>
      <c r="M1251" s="49">
        <v>14.94</v>
      </c>
      <c r="N1251" s="49">
        <v>14.09</v>
      </c>
      <c r="O1251" s="49">
        <v>10.63</v>
      </c>
      <c r="P1251" s="49">
        <v>22.4</v>
      </c>
      <c r="Q1251" s="49">
        <v>12.22</v>
      </c>
      <c r="R1251" s="49">
        <v>5.8</v>
      </c>
      <c r="S1251" s="49">
        <v>9.8000000000000007</v>
      </c>
    </row>
    <row r="1252" spans="1:19" ht="18">
      <c r="A1252" s="49">
        <v>6129</v>
      </c>
      <c r="B1252" s="49" t="s">
        <v>1733</v>
      </c>
      <c r="C1252" s="49">
        <v>16.63</v>
      </c>
      <c r="D1252" s="49">
        <v>0</v>
      </c>
      <c r="E1252" s="49">
        <v>70.73</v>
      </c>
      <c r="F1252" s="49">
        <v>17.05</v>
      </c>
      <c r="G1252" s="49">
        <v>27.81</v>
      </c>
      <c r="H1252" s="49">
        <v>28.86</v>
      </c>
      <c r="I1252" s="49">
        <v>0</v>
      </c>
      <c r="J1252" s="49">
        <v>41.61</v>
      </c>
      <c r="K1252" s="49">
        <v>0</v>
      </c>
      <c r="L1252" s="49">
        <v>277.33</v>
      </c>
      <c r="M1252" s="49">
        <v>0</v>
      </c>
      <c r="N1252" s="49">
        <v>0</v>
      </c>
      <c r="O1252" s="49">
        <v>0</v>
      </c>
      <c r="P1252" s="49">
        <v>0</v>
      </c>
      <c r="Q1252" s="49">
        <v>70.8</v>
      </c>
      <c r="R1252" s="49">
        <v>37.47</v>
      </c>
      <c r="S1252" s="49">
        <v>48.2</v>
      </c>
    </row>
    <row r="1253" spans="1:19" ht="18">
      <c r="A1253" s="49">
        <v>6130</v>
      </c>
      <c r="B1253" s="49" t="s">
        <v>1734</v>
      </c>
      <c r="C1253" s="49">
        <v>186.96</v>
      </c>
      <c r="D1253" s="49">
        <v>0</v>
      </c>
      <c r="E1253" s="49">
        <v>0</v>
      </c>
      <c r="F1253" s="49">
        <v>0</v>
      </c>
      <c r="G1253" s="49">
        <v>14.33</v>
      </c>
      <c r="H1253" s="49">
        <v>25.22</v>
      </c>
      <c r="I1253" s="49">
        <v>22.76</v>
      </c>
      <c r="J1253" s="49">
        <v>0</v>
      </c>
      <c r="K1253" s="49">
        <v>0</v>
      </c>
      <c r="L1253" s="49">
        <v>0</v>
      </c>
      <c r="M1253" s="49">
        <v>0</v>
      </c>
      <c r="N1253" s="49">
        <v>0</v>
      </c>
      <c r="O1253" s="49">
        <v>0</v>
      </c>
      <c r="P1253" s="49">
        <v>0</v>
      </c>
      <c r="Q1253" s="49">
        <v>109.14</v>
      </c>
      <c r="R1253" s="49">
        <v>0</v>
      </c>
      <c r="S1253" s="49">
        <v>27.97</v>
      </c>
    </row>
    <row r="1254" spans="1:19" ht="18">
      <c r="A1254" s="49">
        <v>6133</v>
      </c>
      <c r="B1254" s="49" t="s">
        <v>1027</v>
      </c>
      <c r="C1254" s="49">
        <v>12.42</v>
      </c>
      <c r="D1254" s="49">
        <v>10.34</v>
      </c>
      <c r="E1254" s="49">
        <v>0</v>
      </c>
      <c r="F1254" s="49">
        <v>0</v>
      </c>
      <c r="G1254" s="49">
        <v>0</v>
      </c>
      <c r="H1254" s="49">
        <v>0</v>
      </c>
      <c r="I1254" s="49">
        <v>449</v>
      </c>
      <c r="J1254" s="49">
        <v>28.89</v>
      </c>
      <c r="K1254" s="49">
        <v>20</v>
      </c>
      <c r="L1254" s="49">
        <v>184.6</v>
      </c>
      <c r="M1254" s="49">
        <v>49.29</v>
      </c>
      <c r="N1254" s="49">
        <v>57.33</v>
      </c>
      <c r="O1254" s="49">
        <v>27.37</v>
      </c>
      <c r="P1254" s="49">
        <v>487</v>
      </c>
      <c r="Q1254" s="49">
        <v>0</v>
      </c>
      <c r="R1254" s="49">
        <v>41.09</v>
      </c>
      <c r="S1254" s="49">
        <v>48.18</v>
      </c>
    </row>
    <row r="1255" spans="1:19" ht="18">
      <c r="A1255" s="49">
        <v>6134</v>
      </c>
      <c r="B1255" s="49" t="s">
        <v>1735</v>
      </c>
      <c r="C1255" s="49">
        <v>10.9</v>
      </c>
      <c r="D1255" s="49">
        <v>6.2</v>
      </c>
      <c r="E1255" s="49">
        <v>15.06</v>
      </c>
      <c r="F1255" s="49">
        <v>9.43</v>
      </c>
      <c r="G1255" s="49">
        <v>0</v>
      </c>
      <c r="H1255" s="49">
        <v>0</v>
      </c>
      <c r="I1255" s="49">
        <v>0</v>
      </c>
      <c r="J1255" s="49">
        <v>0</v>
      </c>
      <c r="K1255" s="49">
        <v>0</v>
      </c>
      <c r="L1255" s="49">
        <v>103.11</v>
      </c>
      <c r="M1255" s="49">
        <v>18.62</v>
      </c>
      <c r="N1255" s="49">
        <v>419</v>
      </c>
      <c r="O1255" s="49">
        <v>0</v>
      </c>
      <c r="P1255" s="49">
        <v>79.06</v>
      </c>
      <c r="Q1255" s="49">
        <v>0</v>
      </c>
      <c r="R1255" s="49">
        <v>0</v>
      </c>
      <c r="S1255" s="49">
        <v>0</v>
      </c>
    </row>
    <row r="1256" spans="1:19" ht="18">
      <c r="A1256" s="49">
        <v>6136</v>
      </c>
      <c r="B1256" s="49" t="s">
        <v>1028</v>
      </c>
      <c r="C1256" s="49">
        <v>9.2200000000000006</v>
      </c>
      <c r="D1256" s="49">
        <v>3.59</v>
      </c>
      <c r="E1256" s="49">
        <v>19.54</v>
      </c>
      <c r="F1256" s="49">
        <v>7.97</v>
      </c>
      <c r="G1256" s="49">
        <v>11.57</v>
      </c>
      <c r="H1256" s="49">
        <v>14.28</v>
      </c>
      <c r="I1256" s="49">
        <v>12.45</v>
      </c>
      <c r="J1256" s="49">
        <v>10.86</v>
      </c>
      <c r="K1256" s="49">
        <v>11.53</v>
      </c>
      <c r="L1256" s="49">
        <v>10.94</v>
      </c>
      <c r="M1256" s="49">
        <v>16.829999999999998</v>
      </c>
      <c r="N1256" s="49">
        <v>16.98</v>
      </c>
      <c r="O1256" s="49">
        <v>28.99</v>
      </c>
      <c r="P1256" s="49">
        <v>36.56</v>
      </c>
      <c r="Q1256" s="49">
        <v>32.21</v>
      </c>
      <c r="R1256" s="49">
        <v>12.69</v>
      </c>
      <c r="S1256" s="49">
        <v>22.91</v>
      </c>
    </row>
    <row r="1257" spans="1:19" ht="18">
      <c r="A1257" s="49">
        <v>6138</v>
      </c>
      <c r="B1257" s="49" t="s">
        <v>1736</v>
      </c>
      <c r="C1257" s="49">
        <v>25.19</v>
      </c>
      <c r="D1257" s="49">
        <v>7.88</v>
      </c>
      <c r="E1257" s="49">
        <v>103.85</v>
      </c>
      <c r="F1257" s="49">
        <v>21.5</v>
      </c>
      <c r="G1257" s="49">
        <v>42.5</v>
      </c>
      <c r="H1257" s="49">
        <v>12.53</v>
      </c>
      <c r="I1257" s="49">
        <v>52.68</v>
      </c>
      <c r="J1257" s="49">
        <v>15.55</v>
      </c>
      <c r="K1257" s="49">
        <v>20.75</v>
      </c>
      <c r="L1257" s="49">
        <v>13.74</v>
      </c>
      <c r="M1257" s="49">
        <v>19.329999999999998</v>
      </c>
      <c r="N1257" s="49">
        <v>11.1</v>
      </c>
      <c r="O1257" s="49">
        <v>17.54</v>
      </c>
      <c r="P1257" s="49">
        <v>15.2</v>
      </c>
      <c r="Q1257" s="49">
        <v>25.98</v>
      </c>
      <c r="R1257" s="49">
        <v>7.27</v>
      </c>
      <c r="S1257" s="49">
        <v>38.520000000000003</v>
      </c>
    </row>
    <row r="1258" spans="1:19" ht="18">
      <c r="A1258" s="49">
        <v>6139</v>
      </c>
      <c r="B1258" s="49" t="s">
        <v>1029</v>
      </c>
      <c r="C1258" s="49">
        <v>8.4700000000000006</v>
      </c>
      <c r="D1258" s="49">
        <v>3.56</v>
      </c>
      <c r="E1258" s="49">
        <v>25.59</v>
      </c>
      <c r="F1258" s="49">
        <v>12.31</v>
      </c>
      <c r="G1258" s="49">
        <v>8.27</v>
      </c>
      <c r="H1258" s="49">
        <v>9.31</v>
      </c>
      <c r="I1258" s="49">
        <v>13.26</v>
      </c>
      <c r="J1258" s="49">
        <v>13.93</v>
      </c>
      <c r="K1258" s="49">
        <v>12.4</v>
      </c>
      <c r="L1258" s="49">
        <v>18.47</v>
      </c>
      <c r="M1258" s="49">
        <v>12.93</v>
      </c>
      <c r="N1258" s="49">
        <v>9.73</v>
      </c>
      <c r="O1258" s="49">
        <v>11.87</v>
      </c>
      <c r="P1258" s="49">
        <v>20.27</v>
      </c>
      <c r="Q1258" s="49">
        <v>33.56</v>
      </c>
      <c r="R1258" s="49">
        <v>9.8800000000000008</v>
      </c>
      <c r="S1258" s="49">
        <v>18.420000000000002</v>
      </c>
    </row>
    <row r="1259" spans="1:19" ht="18">
      <c r="A1259" s="49">
        <v>6140</v>
      </c>
      <c r="B1259" s="49" t="s">
        <v>1737</v>
      </c>
      <c r="C1259" s="49">
        <v>6.79</v>
      </c>
      <c r="D1259" s="49">
        <v>7.94</v>
      </c>
      <c r="E1259" s="49">
        <v>0</v>
      </c>
      <c r="F1259" s="49">
        <v>24.51</v>
      </c>
      <c r="G1259" s="49">
        <v>7.57</v>
      </c>
      <c r="H1259" s="49">
        <v>515</v>
      </c>
      <c r="I1259" s="49">
        <v>0</v>
      </c>
      <c r="J1259" s="49">
        <v>0</v>
      </c>
      <c r="K1259" s="49">
        <v>0</v>
      </c>
      <c r="L1259" s="49">
        <v>0</v>
      </c>
      <c r="M1259" s="49">
        <v>0</v>
      </c>
      <c r="N1259" s="49">
        <v>78.569999999999993</v>
      </c>
      <c r="O1259" s="49">
        <v>0</v>
      </c>
      <c r="P1259" s="49">
        <v>12.07</v>
      </c>
      <c r="Q1259" s="49">
        <v>174.09</v>
      </c>
      <c r="R1259" s="49">
        <v>8.91</v>
      </c>
      <c r="S1259" s="49">
        <v>680</v>
      </c>
    </row>
    <row r="1260" spans="1:19" ht="18">
      <c r="A1260" s="49">
        <v>6141</v>
      </c>
      <c r="B1260" s="49" t="s">
        <v>1030</v>
      </c>
      <c r="C1260" s="49">
        <v>8.1</v>
      </c>
      <c r="D1260" s="49">
        <v>4.4000000000000004</v>
      </c>
      <c r="E1260" s="49">
        <v>87.34</v>
      </c>
      <c r="F1260" s="49">
        <v>17.03</v>
      </c>
      <c r="G1260" s="49">
        <v>11.02</v>
      </c>
      <c r="H1260" s="49">
        <v>20.88</v>
      </c>
      <c r="I1260" s="49">
        <v>0</v>
      </c>
      <c r="J1260" s="49">
        <v>54.55</v>
      </c>
      <c r="K1260" s="49">
        <v>0</v>
      </c>
      <c r="L1260" s="49">
        <v>0</v>
      </c>
      <c r="M1260" s="49">
        <v>13.08</v>
      </c>
      <c r="N1260" s="49">
        <v>29.34</v>
      </c>
      <c r="O1260" s="49">
        <v>127.94</v>
      </c>
      <c r="P1260" s="49">
        <v>6.25</v>
      </c>
      <c r="Q1260" s="49">
        <v>10</v>
      </c>
      <c r="R1260" s="49">
        <v>19.39</v>
      </c>
      <c r="S1260" s="49">
        <v>0</v>
      </c>
    </row>
    <row r="1261" spans="1:19" ht="18">
      <c r="A1261" s="49">
        <v>6142</v>
      </c>
      <c r="B1261" s="49" t="s">
        <v>1031</v>
      </c>
      <c r="C1261" s="49">
        <v>10.57</v>
      </c>
      <c r="D1261" s="49">
        <v>6.24</v>
      </c>
      <c r="E1261" s="49">
        <v>40.43</v>
      </c>
      <c r="F1261" s="49">
        <v>16.989999999999998</v>
      </c>
      <c r="G1261" s="49">
        <v>12.42</v>
      </c>
      <c r="H1261" s="49">
        <v>0</v>
      </c>
      <c r="I1261" s="49">
        <v>13.49</v>
      </c>
      <c r="J1261" s="49">
        <v>0</v>
      </c>
      <c r="K1261" s="49">
        <v>0</v>
      </c>
      <c r="L1261" s="49">
        <v>16.05</v>
      </c>
      <c r="M1261" s="49">
        <v>0</v>
      </c>
      <c r="N1261" s="49">
        <v>0</v>
      </c>
      <c r="O1261" s="49">
        <v>0</v>
      </c>
      <c r="P1261" s="49">
        <v>0</v>
      </c>
      <c r="Q1261" s="49">
        <v>0</v>
      </c>
      <c r="R1261" s="49">
        <v>3.61</v>
      </c>
      <c r="S1261" s="49">
        <v>91.36</v>
      </c>
    </row>
    <row r="1262" spans="1:19" ht="18">
      <c r="A1262" s="49">
        <v>6143</v>
      </c>
      <c r="B1262" s="49" t="s">
        <v>1738</v>
      </c>
      <c r="C1262" s="49">
        <v>11.71</v>
      </c>
      <c r="D1262" s="49">
        <v>8.9499999999999993</v>
      </c>
      <c r="E1262" s="49">
        <v>47.81</v>
      </c>
      <c r="F1262" s="49">
        <v>15.46</v>
      </c>
      <c r="G1262" s="49">
        <v>8.98</v>
      </c>
      <c r="H1262" s="49">
        <v>13.9</v>
      </c>
      <c r="I1262" s="49">
        <v>8.17</v>
      </c>
      <c r="J1262" s="49">
        <v>9.26</v>
      </c>
      <c r="K1262" s="49">
        <v>7.88</v>
      </c>
      <c r="L1262" s="49">
        <v>51.72</v>
      </c>
      <c r="M1262" s="49">
        <v>22.21</v>
      </c>
      <c r="N1262" s="49">
        <v>9.44</v>
      </c>
      <c r="O1262" s="49">
        <v>11.73</v>
      </c>
      <c r="P1262" s="49">
        <v>14.77</v>
      </c>
      <c r="Q1262" s="49">
        <v>18.97</v>
      </c>
      <c r="R1262" s="49">
        <v>14.87</v>
      </c>
      <c r="S1262" s="49">
        <v>20.74</v>
      </c>
    </row>
    <row r="1263" spans="1:19" ht="18">
      <c r="A1263" s="49">
        <v>6144</v>
      </c>
      <c r="B1263" s="49" t="s">
        <v>1739</v>
      </c>
      <c r="C1263" s="49">
        <v>35.14</v>
      </c>
      <c r="D1263" s="49">
        <v>0</v>
      </c>
      <c r="E1263" s="49">
        <v>0</v>
      </c>
      <c r="F1263" s="49">
        <v>0</v>
      </c>
      <c r="G1263" s="49">
        <v>0</v>
      </c>
      <c r="H1263" s="49">
        <v>0</v>
      </c>
      <c r="I1263" s="49">
        <v>0</v>
      </c>
      <c r="J1263" s="49">
        <v>0</v>
      </c>
      <c r="K1263" s="49">
        <v>0</v>
      </c>
      <c r="L1263" s="49">
        <v>0</v>
      </c>
      <c r="M1263" s="49">
        <v>0</v>
      </c>
      <c r="N1263" s="49">
        <v>0</v>
      </c>
      <c r="O1263" s="49">
        <v>0</v>
      </c>
      <c r="P1263" s="49">
        <v>0</v>
      </c>
      <c r="Q1263" s="49">
        <v>0</v>
      </c>
      <c r="R1263" s="49">
        <v>0</v>
      </c>
      <c r="S1263" s="49">
        <v>0</v>
      </c>
    </row>
    <row r="1264" spans="1:19" ht="18">
      <c r="A1264" s="49">
        <v>6146</v>
      </c>
      <c r="B1264" s="49" t="s">
        <v>1740</v>
      </c>
      <c r="C1264" s="49">
        <v>11.96</v>
      </c>
      <c r="D1264" s="49">
        <v>6.61</v>
      </c>
      <c r="E1264" s="49">
        <v>13.22</v>
      </c>
      <c r="F1264" s="49">
        <v>11.18</v>
      </c>
      <c r="G1264" s="49">
        <v>11.12</v>
      </c>
      <c r="H1264" s="49">
        <v>13.13</v>
      </c>
      <c r="I1264" s="49">
        <v>28.53</v>
      </c>
      <c r="J1264" s="49">
        <v>22.95</v>
      </c>
      <c r="K1264" s="49">
        <v>24.72</v>
      </c>
      <c r="L1264" s="49">
        <v>22.43</v>
      </c>
      <c r="M1264" s="49">
        <v>21.01</v>
      </c>
      <c r="N1264" s="49">
        <v>18.55</v>
      </c>
      <c r="O1264" s="49">
        <v>29.62</v>
      </c>
      <c r="P1264" s="49">
        <v>33.630000000000003</v>
      </c>
      <c r="Q1264" s="49">
        <v>21.34</v>
      </c>
      <c r="R1264" s="49">
        <v>13.7</v>
      </c>
      <c r="S1264" s="49">
        <v>16.39</v>
      </c>
    </row>
    <row r="1265" spans="1:19" ht="18">
      <c r="A1265" s="49">
        <v>6147</v>
      </c>
      <c r="B1265" s="49" t="s">
        <v>1741</v>
      </c>
      <c r="C1265" s="49">
        <v>9.85</v>
      </c>
      <c r="D1265" s="49">
        <v>3.83</v>
      </c>
      <c r="E1265" s="49">
        <v>0</v>
      </c>
      <c r="F1265" s="49">
        <v>14.42</v>
      </c>
      <c r="G1265" s="49">
        <v>10</v>
      </c>
      <c r="H1265" s="49">
        <v>14.75</v>
      </c>
      <c r="I1265" s="49">
        <v>10.050000000000001</v>
      </c>
      <c r="J1265" s="49">
        <v>17.420000000000002</v>
      </c>
      <c r="K1265" s="49">
        <v>12.35</v>
      </c>
      <c r="L1265" s="49">
        <v>19.07</v>
      </c>
      <c r="M1265" s="49">
        <v>16.02</v>
      </c>
      <c r="N1265" s="49">
        <v>8.7899999999999991</v>
      </c>
      <c r="O1265" s="49">
        <v>11.39</v>
      </c>
      <c r="P1265" s="49">
        <v>12.23</v>
      </c>
      <c r="Q1265" s="49">
        <v>8.19</v>
      </c>
      <c r="R1265" s="49">
        <v>6.25</v>
      </c>
      <c r="S1265" s="49">
        <v>12.36</v>
      </c>
    </row>
    <row r="1266" spans="1:19" ht="18">
      <c r="A1266" s="49">
        <v>6148</v>
      </c>
      <c r="B1266" s="49" t="s">
        <v>1742</v>
      </c>
      <c r="C1266" s="49">
        <v>156.33000000000001</v>
      </c>
      <c r="D1266" s="49">
        <v>188</v>
      </c>
      <c r="E1266" s="49">
        <v>0</v>
      </c>
      <c r="F1266" s="49">
        <v>95.25</v>
      </c>
      <c r="G1266" s="49">
        <v>112</v>
      </c>
      <c r="H1266" s="49">
        <v>17.829999999999998</v>
      </c>
      <c r="I1266" s="49">
        <v>22.39</v>
      </c>
      <c r="J1266" s="49">
        <v>13.33</v>
      </c>
      <c r="K1266" s="49">
        <v>16.100000000000001</v>
      </c>
      <c r="L1266" s="49">
        <v>0</v>
      </c>
      <c r="M1266" s="49">
        <v>0</v>
      </c>
      <c r="N1266" s="49">
        <v>14.15</v>
      </c>
      <c r="O1266" s="49">
        <v>14.57</v>
      </c>
      <c r="P1266" s="49">
        <v>14.01</v>
      </c>
      <c r="Q1266" s="49">
        <v>28.68</v>
      </c>
      <c r="R1266" s="49">
        <v>13.64</v>
      </c>
      <c r="S1266" s="49">
        <v>19.920000000000002</v>
      </c>
    </row>
    <row r="1267" spans="1:19" ht="18">
      <c r="A1267" s="49">
        <v>6150</v>
      </c>
      <c r="B1267" s="49" t="s">
        <v>1743</v>
      </c>
      <c r="C1267" s="49">
        <v>14.29</v>
      </c>
      <c r="D1267" s="49">
        <v>4.79</v>
      </c>
      <c r="E1267" s="49">
        <v>28.15</v>
      </c>
      <c r="F1267" s="49">
        <v>11.22</v>
      </c>
      <c r="G1267" s="49">
        <v>16.98</v>
      </c>
      <c r="H1267" s="49">
        <v>0</v>
      </c>
      <c r="I1267" s="49">
        <v>0</v>
      </c>
      <c r="J1267" s="49">
        <v>0</v>
      </c>
      <c r="K1267" s="49">
        <v>0</v>
      </c>
      <c r="L1267" s="49">
        <v>0</v>
      </c>
      <c r="M1267" s="49">
        <v>14.14</v>
      </c>
      <c r="N1267" s="49">
        <v>5.12</v>
      </c>
      <c r="O1267" s="49">
        <v>0</v>
      </c>
      <c r="P1267" s="49">
        <v>0</v>
      </c>
      <c r="Q1267" s="49">
        <v>12.04</v>
      </c>
      <c r="R1267" s="49">
        <v>7.88</v>
      </c>
      <c r="S1267" s="49">
        <v>0</v>
      </c>
    </row>
    <row r="1268" spans="1:19" ht="18">
      <c r="A1268" s="49">
        <v>6151</v>
      </c>
      <c r="B1268" s="49" t="s">
        <v>1744</v>
      </c>
      <c r="C1268" s="49">
        <v>12.52</v>
      </c>
      <c r="D1268" s="49">
        <v>5.77</v>
      </c>
      <c r="E1268" s="49">
        <v>31.28</v>
      </c>
      <c r="F1268" s="49">
        <v>25.18</v>
      </c>
      <c r="G1268" s="49">
        <v>14.31</v>
      </c>
      <c r="H1268" s="49">
        <v>15.63</v>
      </c>
      <c r="I1268" s="49">
        <v>13.93</v>
      </c>
      <c r="J1268" s="49">
        <v>12.62</v>
      </c>
      <c r="K1268" s="49">
        <v>11.1</v>
      </c>
      <c r="L1268" s="49">
        <v>9.57</v>
      </c>
      <c r="M1268" s="49">
        <v>9.9600000000000009</v>
      </c>
      <c r="N1268" s="49">
        <v>13.99</v>
      </c>
      <c r="O1268" s="49">
        <v>15.87</v>
      </c>
      <c r="P1268" s="49">
        <v>12.22</v>
      </c>
      <c r="Q1268" s="49">
        <v>9.92</v>
      </c>
      <c r="R1268" s="49">
        <v>11.17</v>
      </c>
      <c r="S1268" s="49">
        <v>16.2</v>
      </c>
    </row>
    <row r="1269" spans="1:19" ht="18">
      <c r="A1269" s="49">
        <v>6152</v>
      </c>
      <c r="B1269" s="49" t="s">
        <v>1032</v>
      </c>
      <c r="C1269" s="49">
        <v>13.13</v>
      </c>
      <c r="D1269" s="49">
        <v>10.55</v>
      </c>
      <c r="E1269" s="49">
        <v>18.52</v>
      </c>
      <c r="F1269" s="49">
        <v>10.85</v>
      </c>
      <c r="G1269" s="49">
        <v>8.2200000000000006</v>
      </c>
      <c r="H1269" s="49">
        <v>8.5500000000000007</v>
      </c>
      <c r="I1269" s="49">
        <v>11.97</v>
      </c>
      <c r="J1269" s="49">
        <v>0</v>
      </c>
      <c r="K1269" s="49">
        <v>0</v>
      </c>
      <c r="L1269" s="49">
        <v>0</v>
      </c>
      <c r="M1269" s="49">
        <v>0</v>
      </c>
      <c r="N1269" s="49">
        <v>0</v>
      </c>
      <c r="O1269" s="49">
        <v>0</v>
      </c>
      <c r="P1269" s="49">
        <v>73.42</v>
      </c>
      <c r="Q1269" s="49">
        <v>0</v>
      </c>
      <c r="R1269" s="49">
        <v>10.26</v>
      </c>
      <c r="S1269" s="49">
        <v>219</v>
      </c>
    </row>
    <row r="1270" spans="1:19" ht="18">
      <c r="A1270" s="49">
        <v>6153</v>
      </c>
      <c r="B1270" s="49" t="s">
        <v>1033</v>
      </c>
      <c r="C1270" s="49">
        <v>14.1</v>
      </c>
      <c r="D1270" s="49">
        <v>0</v>
      </c>
      <c r="E1270" s="49">
        <v>27.94</v>
      </c>
      <c r="F1270" s="49">
        <v>15.45</v>
      </c>
      <c r="G1270" s="49">
        <v>10.92</v>
      </c>
      <c r="H1270" s="49">
        <v>14.3</v>
      </c>
      <c r="I1270" s="49">
        <v>14.22</v>
      </c>
      <c r="J1270" s="49">
        <v>16.98</v>
      </c>
      <c r="K1270" s="49">
        <v>14.7</v>
      </c>
      <c r="L1270" s="49">
        <v>23.01</v>
      </c>
      <c r="M1270" s="49">
        <v>129.19</v>
      </c>
      <c r="N1270" s="49">
        <v>26.05</v>
      </c>
      <c r="O1270" s="49">
        <v>21.8</v>
      </c>
      <c r="P1270" s="49">
        <v>47.23</v>
      </c>
      <c r="Q1270" s="49">
        <v>120.23</v>
      </c>
      <c r="R1270" s="49">
        <v>94.4</v>
      </c>
      <c r="S1270" s="49">
        <v>0</v>
      </c>
    </row>
    <row r="1271" spans="1:19" ht="18">
      <c r="A1271" s="49">
        <v>6154</v>
      </c>
      <c r="B1271" s="49" t="s">
        <v>1745</v>
      </c>
      <c r="C1271" s="49">
        <v>8.32</v>
      </c>
      <c r="D1271" s="49">
        <v>5.91</v>
      </c>
      <c r="E1271" s="49">
        <v>24.09</v>
      </c>
      <c r="F1271" s="49">
        <v>10.38</v>
      </c>
      <c r="G1271" s="49">
        <v>9.2200000000000006</v>
      </c>
      <c r="H1271" s="49">
        <v>12.38</v>
      </c>
      <c r="I1271" s="49">
        <v>12.38</v>
      </c>
      <c r="J1271" s="49">
        <v>12.66</v>
      </c>
      <c r="K1271" s="49">
        <v>13.58</v>
      </c>
      <c r="L1271" s="49">
        <v>14.22</v>
      </c>
      <c r="M1271" s="49">
        <v>15.14</v>
      </c>
      <c r="N1271" s="49">
        <v>16.989999999999998</v>
      </c>
      <c r="O1271" s="49">
        <v>32.979999999999997</v>
      </c>
      <c r="P1271" s="49">
        <v>26.53</v>
      </c>
      <c r="Q1271" s="49">
        <v>11.6</v>
      </c>
      <c r="R1271" s="49">
        <v>12.3</v>
      </c>
      <c r="S1271" s="49">
        <v>20.89</v>
      </c>
    </row>
    <row r="1272" spans="1:19" ht="18">
      <c r="A1272" s="49">
        <v>6155</v>
      </c>
      <c r="B1272" s="49" t="s">
        <v>1034</v>
      </c>
      <c r="C1272" s="49">
        <v>11.11</v>
      </c>
      <c r="D1272" s="49">
        <v>6.8</v>
      </c>
      <c r="E1272" s="49">
        <v>17.5</v>
      </c>
      <c r="F1272" s="49">
        <v>13.1</v>
      </c>
      <c r="G1272" s="49">
        <v>20.37</v>
      </c>
      <c r="H1272" s="49">
        <v>17.98</v>
      </c>
      <c r="I1272" s="49">
        <v>14.2</v>
      </c>
      <c r="J1272" s="49">
        <v>19.39</v>
      </c>
      <c r="K1272" s="49">
        <v>10.67</v>
      </c>
      <c r="L1272" s="49">
        <v>24.65</v>
      </c>
      <c r="M1272" s="49">
        <v>21.94</v>
      </c>
      <c r="N1272" s="49">
        <v>14.57</v>
      </c>
      <c r="O1272" s="49">
        <v>25.79</v>
      </c>
      <c r="P1272" s="49">
        <v>137.88999999999999</v>
      </c>
      <c r="Q1272" s="49">
        <v>34.79</v>
      </c>
      <c r="R1272" s="49">
        <v>10.17</v>
      </c>
      <c r="S1272" s="49">
        <v>23.75</v>
      </c>
    </row>
    <row r="1273" spans="1:19" ht="18">
      <c r="A1273" s="49">
        <v>6156</v>
      </c>
      <c r="B1273" s="49" t="s">
        <v>1746</v>
      </c>
      <c r="C1273" s="49">
        <v>0</v>
      </c>
      <c r="D1273" s="49">
        <v>0</v>
      </c>
      <c r="E1273" s="49">
        <v>0</v>
      </c>
      <c r="F1273" s="49">
        <v>0</v>
      </c>
      <c r="G1273" s="49">
        <v>0</v>
      </c>
      <c r="H1273" s="49">
        <v>0</v>
      </c>
      <c r="I1273" s="49">
        <v>0</v>
      </c>
      <c r="J1273" s="49">
        <v>29.43</v>
      </c>
      <c r="K1273" s="49">
        <v>8.4</v>
      </c>
      <c r="L1273" s="49">
        <v>9.2100000000000009</v>
      </c>
      <c r="M1273" s="49">
        <v>9.68</v>
      </c>
      <c r="N1273" s="49">
        <v>12.17</v>
      </c>
      <c r="O1273" s="49">
        <v>10.95</v>
      </c>
      <c r="P1273" s="49">
        <v>15.93</v>
      </c>
      <c r="Q1273" s="49">
        <v>18.420000000000002</v>
      </c>
      <c r="R1273" s="49">
        <v>7.71</v>
      </c>
      <c r="S1273" s="49">
        <v>11.96</v>
      </c>
    </row>
    <row r="1274" spans="1:19" ht="18">
      <c r="A1274" s="49">
        <v>6158</v>
      </c>
      <c r="B1274" s="49" t="s">
        <v>1747</v>
      </c>
      <c r="C1274" s="49">
        <v>12.08</v>
      </c>
      <c r="D1274" s="49">
        <v>4.5999999999999996</v>
      </c>
      <c r="E1274" s="49">
        <v>14.39</v>
      </c>
      <c r="F1274" s="49">
        <v>8.65</v>
      </c>
      <c r="G1274" s="49">
        <v>9.68</v>
      </c>
      <c r="H1274" s="49">
        <v>16.100000000000001</v>
      </c>
      <c r="I1274" s="49">
        <v>0</v>
      </c>
      <c r="J1274" s="49">
        <v>0</v>
      </c>
      <c r="K1274" s="49">
        <v>0</v>
      </c>
      <c r="L1274" s="49">
        <v>12.36</v>
      </c>
      <c r="M1274" s="49">
        <v>19.75</v>
      </c>
      <c r="N1274" s="49">
        <v>6.93</v>
      </c>
      <c r="O1274" s="49">
        <v>22.07</v>
      </c>
      <c r="P1274" s="49">
        <v>16.649999999999999</v>
      </c>
      <c r="Q1274" s="49">
        <v>16.14</v>
      </c>
      <c r="R1274" s="49">
        <v>14.62</v>
      </c>
      <c r="S1274" s="49">
        <v>28.87</v>
      </c>
    </row>
    <row r="1275" spans="1:19" ht="18">
      <c r="A1275" s="49">
        <v>6160</v>
      </c>
      <c r="B1275" s="49" t="s">
        <v>1748</v>
      </c>
      <c r="C1275" s="49">
        <v>12.82</v>
      </c>
      <c r="D1275" s="49">
        <v>8.0500000000000007</v>
      </c>
      <c r="E1275" s="49">
        <v>22.03</v>
      </c>
      <c r="F1275" s="49">
        <v>13.79</v>
      </c>
      <c r="G1275" s="49">
        <v>11.4</v>
      </c>
      <c r="H1275" s="49">
        <v>14.67</v>
      </c>
      <c r="I1275" s="49">
        <v>27.05</v>
      </c>
      <c r="J1275" s="49">
        <v>138.94999999999999</v>
      </c>
      <c r="K1275" s="49">
        <v>65.400000000000006</v>
      </c>
      <c r="L1275" s="49">
        <v>15.28</v>
      </c>
      <c r="M1275" s="49">
        <v>0</v>
      </c>
      <c r="N1275" s="49">
        <v>20.25</v>
      </c>
      <c r="O1275" s="49">
        <v>187.5</v>
      </c>
      <c r="P1275" s="49">
        <v>0</v>
      </c>
      <c r="Q1275" s="49">
        <v>33.93</v>
      </c>
      <c r="R1275" s="49">
        <v>40.729999999999997</v>
      </c>
      <c r="S1275" s="49">
        <v>65.14</v>
      </c>
    </row>
    <row r="1276" spans="1:19" ht="18">
      <c r="A1276" s="49">
        <v>6161</v>
      </c>
      <c r="B1276" s="49" t="s">
        <v>1749</v>
      </c>
      <c r="C1276" s="49">
        <v>11.38</v>
      </c>
      <c r="D1276" s="49">
        <v>0</v>
      </c>
      <c r="E1276" s="49">
        <v>0</v>
      </c>
      <c r="F1276" s="49">
        <v>13.27</v>
      </c>
      <c r="G1276" s="49">
        <v>8.64</v>
      </c>
      <c r="H1276" s="49">
        <v>8.5399999999999991</v>
      </c>
      <c r="I1276" s="49">
        <v>0</v>
      </c>
      <c r="J1276" s="49">
        <v>24.5</v>
      </c>
      <c r="K1276" s="49">
        <v>9.34</v>
      </c>
      <c r="L1276" s="49">
        <v>53.64</v>
      </c>
      <c r="M1276" s="49">
        <v>10.61</v>
      </c>
      <c r="N1276" s="49">
        <v>5.57</v>
      </c>
      <c r="O1276" s="49">
        <v>10.59</v>
      </c>
      <c r="P1276" s="49">
        <v>11.07</v>
      </c>
      <c r="Q1276" s="49">
        <v>10.44</v>
      </c>
      <c r="R1276" s="49">
        <v>7.17</v>
      </c>
      <c r="S1276" s="49">
        <v>17.11</v>
      </c>
    </row>
    <row r="1277" spans="1:19" ht="18">
      <c r="A1277" s="49">
        <v>6163</v>
      </c>
      <c r="B1277" s="49" t="s">
        <v>1750</v>
      </c>
      <c r="C1277" s="49">
        <v>14.65</v>
      </c>
      <c r="D1277" s="49">
        <v>5.14</v>
      </c>
      <c r="E1277" s="49">
        <v>18.91</v>
      </c>
      <c r="F1277" s="49">
        <v>31.41</v>
      </c>
      <c r="G1277" s="49">
        <v>32.71</v>
      </c>
      <c r="H1277" s="49">
        <v>9.5500000000000007</v>
      </c>
      <c r="I1277" s="49">
        <v>19.27</v>
      </c>
      <c r="J1277" s="49">
        <v>12.62</v>
      </c>
      <c r="K1277" s="49">
        <v>0</v>
      </c>
      <c r="L1277" s="49">
        <v>0</v>
      </c>
      <c r="M1277" s="49">
        <v>6.33</v>
      </c>
      <c r="N1277" s="49">
        <v>18.649999999999999</v>
      </c>
      <c r="O1277" s="49">
        <v>39.4</v>
      </c>
      <c r="P1277" s="49">
        <v>207.5</v>
      </c>
      <c r="Q1277" s="49">
        <v>10.27</v>
      </c>
      <c r="R1277" s="49">
        <v>211.43</v>
      </c>
      <c r="S1277" s="49">
        <v>15.41</v>
      </c>
    </row>
    <row r="1278" spans="1:19" ht="18">
      <c r="A1278" s="49">
        <v>6164</v>
      </c>
      <c r="B1278" s="49" t="s">
        <v>1035</v>
      </c>
      <c r="C1278" s="49">
        <v>16.54</v>
      </c>
      <c r="D1278" s="49">
        <v>11.38</v>
      </c>
      <c r="E1278" s="49">
        <v>32.53</v>
      </c>
      <c r="F1278" s="49">
        <v>14.39</v>
      </c>
      <c r="G1278" s="49">
        <v>35.979999999999997</v>
      </c>
      <c r="H1278" s="49">
        <v>165.71</v>
      </c>
      <c r="I1278" s="49">
        <v>18.03</v>
      </c>
      <c r="J1278" s="49">
        <v>14.02</v>
      </c>
      <c r="K1278" s="49">
        <v>15.37</v>
      </c>
      <c r="L1278" s="49">
        <v>12.25</v>
      </c>
      <c r="M1278" s="49">
        <v>26.63</v>
      </c>
      <c r="N1278" s="49">
        <v>0</v>
      </c>
      <c r="O1278" s="49">
        <v>0</v>
      </c>
      <c r="P1278" s="49">
        <v>0</v>
      </c>
      <c r="Q1278" s="49">
        <v>55</v>
      </c>
      <c r="R1278" s="49">
        <v>39.799999999999997</v>
      </c>
      <c r="S1278" s="49">
        <v>70.28</v>
      </c>
    </row>
    <row r="1279" spans="1:19" ht="18">
      <c r="A1279" s="49">
        <v>6165</v>
      </c>
      <c r="B1279" s="49" t="s">
        <v>1036</v>
      </c>
      <c r="C1279" s="49">
        <v>2210</v>
      </c>
      <c r="D1279" s="49">
        <v>0</v>
      </c>
      <c r="E1279" s="49">
        <v>0</v>
      </c>
      <c r="F1279" s="49">
        <v>9.43</v>
      </c>
      <c r="G1279" s="49">
        <v>0</v>
      </c>
      <c r="H1279" s="49">
        <v>0</v>
      </c>
      <c r="I1279" s="49">
        <v>0</v>
      </c>
      <c r="J1279" s="49">
        <v>0</v>
      </c>
      <c r="K1279" s="49">
        <v>0</v>
      </c>
      <c r="L1279" s="49">
        <v>0</v>
      </c>
      <c r="M1279" s="49">
        <v>1700</v>
      </c>
      <c r="N1279" s="49">
        <v>0</v>
      </c>
      <c r="O1279" s="49">
        <v>0</v>
      </c>
      <c r="P1279" s="49">
        <v>275.67</v>
      </c>
      <c r="Q1279" s="49">
        <v>8.86</v>
      </c>
      <c r="R1279" s="49">
        <v>2735</v>
      </c>
      <c r="S1279" s="49">
        <v>0</v>
      </c>
    </row>
    <row r="1280" spans="1:19" ht="18">
      <c r="A1280" s="49">
        <v>6166</v>
      </c>
      <c r="B1280" s="49" t="s">
        <v>1037</v>
      </c>
      <c r="C1280" s="49">
        <v>12.31</v>
      </c>
      <c r="D1280" s="49">
        <v>5.12</v>
      </c>
      <c r="E1280" s="49">
        <v>40.85</v>
      </c>
      <c r="F1280" s="49">
        <v>11.15</v>
      </c>
      <c r="G1280" s="49">
        <v>9.34</v>
      </c>
      <c r="H1280" s="49">
        <v>22.01</v>
      </c>
      <c r="I1280" s="49">
        <v>23.39</v>
      </c>
      <c r="J1280" s="49">
        <v>25.41</v>
      </c>
      <c r="K1280" s="49">
        <v>23.82</v>
      </c>
      <c r="L1280" s="49">
        <v>44.93</v>
      </c>
      <c r="M1280" s="49">
        <v>25.7</v>
      </c>
      <c r="N1280" s="49">
        <v>33.32</v>
      </c>
      <c r="O1280" s="49">
        <v>23.88</v>
      </c>
      <c r="P1280" s="49">
        <v>46.96</v>
      </c>
      <c r="Q1280" s="49">
        <v>158.05000000000001</v>
      </c>
      <c r="R1280" s="49">
        <v>14.23</v>
      </c>
      <c r="S1280" s="49">
        <v>39.43</v>
      </c>
    </row>
    <row r="1281" spans="1:19" ht="18">
      <c r="A1281" s="49">
        <v>6167</v>
      </c>
      <c r="B1281" s="49" t="s">
        <v>1751</v>
      </c>
      <c r="C1281" s="49">
        <v>59.72</v>
      </c>
      <c r="D1281" s="49">
        <v>0</v>
      </c>
      <c r="E1281" s="49">
        <v>0</v>
      </c>
      <c r="F1281" s="49">
        <v>0</v>
      </c>
      <c r="G1281" s="49">
        <v>0</v>
      </c>
      <c r="H1281" s="49">
        <v>3.91</v>
      </c>
      <c r="I1281" s="49">
        <v>0</v>
      </c>
      <c r="J1281" s="49">
        <v>0</v>
      </c>
      <c r="K1281" s="49">
        <v>4.0199999999999996</v>
      </c>
      <c r="L1281" s="49">
        <v>8.42</v>
      </c>
      <c r="M1281" s="49">
        <v>7.8</v>
      </c>
      <c r="N1281" s="49">
        <v>6.29</v>
      </c>
      <c r="O1281" s="49">
        <v>7.66</v>
      </c>
      <c r="P1281" s="49">
        <v>16.37</v>
      </c>
      <c r="Q1281" s="49">
        <v>53.23</v>
      </c>
      <c r="R1281" s="49">
        <v>8.84</v>
      </c>
      <c r="S1281" s="49">
        <v>11.65</v>
      </c>
    </row>
    <row r="1282" spans="1:19" ht="18">
      <c r="A1282" s="49">
        <v>6168</v>
      </c>
      <c r="B1282" s="49" t="s">
        <v>1038</v>
      </c>
      <c r="C1282" s="49">
        <v>22.74</v>
      </c>
      <c r="D1282" s="49">
        <v>7.5</v>
      </c>
      <c r="E1282" s="49">
        <v>70.209999999999994</v>
      </c>
      <c r="F1282" s="49">
        <v>20.63</v>
      </c>
      <c r="G1282" s="49">
        <v>120.71</v>
      </c>
      <c r="H1282" s="49">
        <v>0</v>
      </c>
      <c r="I1282" s="49">
        <v>0</v>
      </c>
      <c r="J1282" s="49">
        <v>8.25</v>
      </c>
      <c r="K1282" s="49">
        <v>46.55</v>
      </c>
      <c r="L1282" s="49">
        <v>0</v>
      </c>
      <c r="M1282" s="49">
        <v>18.36</v>
      </c>
      <c r="N1282" s="49">
        <v>13.72</v>
      </c>
      <c r="O1282" s="49">
        <v>22.67</v>
      </c>
      <c r="P1282" s="49">
        <v>49.03</v>
      </c>
      <c r="Q1282" s="49">
        <v>15.48</v>
      </c>
      <c r="R1282" s="49">
        <v>9.4600000000000009</v>
      </c>
      <c r="S1282" s="49">
        <v>36.1</v>
      </c>
    </row>
    <row r="1283" spans="1:19" ht="18">
      <c r="A1283" s="49">
        <v>6169</v>
      </c>
      <c r="B1283" s="49" t="s">
        <v>1752</v>
      </c>
      <c r="C1283" s="49">
        <v>29.58</v>
      </c>
      <c r="D1283" s="49">
        <v>38.82</v>
      </c>
      <c r="E1283" s="49">
        <v>5.59</v>
      </c>
      <c r="F1283" s="49">
        <v>0</v>
      </c>
      <c r="G1283" s="49">
        <v>16.440000000000001</v>
      </c>
      <c r="H1283" s="49">
        <v>0</v>
      </c>
      <c r="I1283" s="49">
        <v>0</v>
      </c>
      <c r="J1283" s="49">
        <v>0</v>
      </c>
      <c r="K1283" s="49">
        <v>0</v>
      </c>
      <c r="L1283" s="49">
        <v>0</v>
      </c>
      <c r="M1283" s="49">
        <v>0</v>
      </c>
      <c r="N1283" s="49">
        <v>0</v>
      </c>
      <c r="O1283" s="49">
        <v>0</v>
      </c>
      <c r="P1283" s="49">
        <v>0</v>
      </c>
      <c r="Q1283" s="49">
        <v>0</v>
      </c>
      <c r="R1283" s="49">
        <v>0</v>
      </c>
      <c r="S1283" s="49">
        <v>0</v>
      </c>
    </row>
    <row r="1284" spans="1:19" ht="18">
      <c r="A1284" s="49">
        <v>6170</v>
      </c>
      <c r="B1284" s="49" t="s">
        <v>1753</v>
      </c>
      <c r="C1284" s="49">
        <v>12.45</v>
      </c>
      <c r="D1284" s="49">
        <v>8.26</v>
      </c>
      <c r="E1284" s="49">
        <v>80.38</v>
      </c>
      <c r="F1284" s="49">
        <v>0</v>
      </c>
      <c r="G1284" s="49">
        <v>17.57</v>
      </c>
      <c r="H1284" s="49">
        <v>23.02</v>
      </c>
      <c r="I1284" s="49">
        <v>0</v>
      </c>
      <c r="J1284" s="49">
        <v>0</v>
      </c>
      <c r="K1284" s="49">
        <v>31.36</v>
      </c>
      <c r="L1284" s="49">
        <v>57.19</v>
      </c>
      <c r="M1284" s="49">
        <v>101.25</v>
      </c>
      <c r="N1284" s="49">
        <v>0</v>
      </c>
      <c r="O1284" s="49">
        <v>24.67</v>
      </c>
      <c r="P1284" s="49">
        <v>12.76</v>
      </c>
      <c r="Q1284" s="49">
        <v>31.14</v>
      </c>
      <c r="R1284" s="49">
        <v>11.21</v>
      </c>
      <c r="S1284" s="49">
        <v>20</v>
      </c>
    </row>
    <row r="1285" spans="1:19" ht="18">
      <c r="A1285" s="49">
        <v>6171</v>
      </c>
      <c r="B1285" s="49" t="s">
        <v>1754</v>
      </c>
      <c r="C1285" s="49">
        <v>46</v>
      </c>
      <c r="D1285" s="49">
        <v>21.77</v>
      </c>
      <c r="E1285" s="49">
        <v>173.57</v>
      </c>
      <c r="F1285" s="49">
        <v>510</v>
      </c>
      <c r="G1285" s="49">
        <v>0</v>
      </c>
      <c r="H1285" s="49">
        <v>0</v>
      </c>
      <c r="I1285" s="49">
        <v>0</v>
      </c>
      <c r="J1285" s="49">
        <v>0</v>
      </c>
      <c r="K1285" s="49">
        <v>116.36</v>
      </c>
      <c r="L1285" s="49">
        <v>6.38</v>
      </c>
      <c r="M1285" s="49">
        <v>50</v>
      </c>
      <c r="N1285" s="49">
        <v>19.47</v>
      </c>
      <c r="O1285" s="49">
        <v>103.41</v>
      </c>
      <c r="P1285" s="49">
        <v>0</v>
      </c>
      <c r="Q1285" s="49">
        <v>4.6399999999999997</v>
      </c>
      <c r="R1285" s="49">
        <v>4.4800000000000004</v>
      </c>
      <c r="S1285" s="49">
        <v>0</v>
      </c>
    </row>
    <row r="1286" spans="1:19" ht="18">
      <c r="A1286" s="49">
        <v>6173</v>
      </c>
      <c r="B1286" s="49" t="s">
        <v>1755</v>
      </c>
      <c r="C1286" s="49">
        <v>14.38</v>
      </c>
      <c r="D1286" s="49">
        <v>6.11</v>
      </c>
      <c r="E1286" s="49">
        <v>178</v>
      </c>
      <c r="F1286" s="49">
        <v>16.77</v>
      </c>
      <c r="G1286" s="49">
        <v>19.62</v>
      </c>
      <c r="H1286" s="49">
        <v>0</v>
      </c>
      <c r="I1286" s="49">
        <v>170</v>
      </c>
      <c r="J1286" s="49">
        <v>24.08</v>
      </c>
      <c r="K1286" s="49">
        <v>11.02</v>
      </c>
      <c r="L1286" s="49">
        <v>12.94</v>
      </c>
      <c r="M1286" s="49">
        <v>21.63</v>
      </c>
      <c r="N1286" s="49">
        <v>8.34</v>
      </c>
      <c r="O1286" s="49">
        <v>12.56</v>
      </c>
      <c r="P1286" s="49">
        <v>15.07</v>
      </c>
      <c r="Q1286" s="49">
        <v>9.73</v>
      </c>
      <c r="R1286" s="49">
        <v>7.63</v>
      </c>
      <c r="S1286" s="49">
        <v>21.01</v>
      </c>
    </row>
    <row r="1287" spans="1:19" ht="18">
      <c r="A1287" s="49">
        <v>6174</v>
      </c>
      <c r="B1287" s="49" t="s">
        <v>1756</v>
      </c>
      <c r="C1287" s="49">
        <v>0</v>
      </c>
      <c r="D1287" s="49">
        <v>4.68</v>
      </c>
      <c r="E1287" s="49">
        <v>0</v>
      </c>
      <c r="F1287" s="49">
        <v>25.95</v>
      </c>
      <c r="G1287" s="49">
        <v>36.67</v>
      </c>
      <c r="H1287" s="49">
        <v>36.479999999999997</v>
      </c>
      <c r="I1287" s="49">
        <v>11.86</v>
      </c>
      <c r="J1287" s="49">
        <v>14.11</v>
      </c>
      <c r="K1287" s="49">
        <v>12.84</v>
      </c>
      <c r="L1287" s="49">
        <v>16.52</v>
      </c>
      <c r="M1287" s="49">
        <v>17.170000000000002</v>
      </c>
      <c r="N1287" s="49">
        <v>13.41</v>
      </c>
      <c r="O1287" s="49">
        <v>163.33000000000001</v>
      </c>
      <c r="P1287" s="49">
        <v>1235</v>
      </c>
      <c r="Q1287" s="49">
        <v>30.23</v>
      </c>
      <c r="R1287" s="49">
        <v>7.62</v>
      </c>
      <c r="S1287" s="49">
        <v>31.97</v>
      </c>
    </row>
    <row r="1288" spans="1:19" ht="18">
      <c r="A1288" s="49">
        <v>6175</v>
      </c>
      <c r="B1288" s="49" t="s">
        <v>1757</v>
      </c>
      <c r="C1288" s="49">
        <v>0</v>
      </c>
      <c r="D1288" s="49">
        <v>0</v>
      </c>
      <c r="E1288" s="49">
        <v>0</v>
      </c>
      <c r="F1288" s="49">
        <v>33.61</v>
      </c>
      <c r="G1288" s="49">
        <v>6.63</v>
      </c>
      <c r="H1288" s="49">
        <v>104.5</v>
      </c>
      <c r="I1288" s="49">
        <v>0</v>
      </c>
      <c r="J1288" s="49">
        <v>54.44</v>
      </c>
      <c r="K1288" s="49">
        <v>26.5</v>
      </c>
      <c r="L1288" s="49">
        <v>56.46</v>
      </c>
      <c r="M1288" s="49">
        <v>19.11</v>
      </c>
      <c r="N1288" s="49">
        <v>11.29</v>
      </c>
      <c r="O1288" s="49">
        <v>22.11</v>
      </c>
      <c r="P1288" s="49">
        <v>21.47</v>
      </c>
      <c r="Q1288" s="49">
        <v>14.75</v>
      </c>
      <c r="R1288" s="49">
        <v>8.7899999999999991</v>
      </c>
      <c r="S1288" s="49">
        <v>15.84</v>
      </c>
    </row>
    <row r="1289" spans="1:19" ht="18">
      <c r="A1289" s="49">
        <v>6176</v>
      </c>
      <c r="B1289" s="49" t="s">
        <v>1039</v>
      </c>
      <c r="C1289" s="49">
        <v>8.92</v>
      </c>
      <c r="D1289" s="49">
        <v>4.6100000000000003</v>
      </c>
      <c r="E1289" s="49">
        <v>21.55</v>
      </c>
      <c r="F1289" s="49">
        <v>10.88</v>
      </c>
      <c r="G1289" s="49">
        <v>9.02</v>
      </c>
      <c r="H1289" s="49">
        <v>10.36</v>
      </c>
      <c r="I1289" s="49">
        <v>11.65</v>
      </c>
      <c r="J1289" s="49">
        <v>11.93</v>
      </c>
      <c r="K1289" s="49">
        <v>11.34</v>
      </c>
      <c r="L1289" s="49">
        <v>7.58</v>
      </c>
      <c r="M1289" s="49">
        <v>9.81</v>
      </c>
      <c r="N1289" s="49">
        <v>9.6999999999999993</v>
      </c>
      <c r="O1289" s="49">
        <v>8.1</v>
      </c>
      <c r="P1289" s="49">
        <v>11.2</v>
      </c>
      <c r="Q1289" s="49">
        <v>8.57</v>
      </c>
      <c r="R1289" s="49">
        <v>7.46</v>
      </c>
      <c r="S1289" s="49">
        <v>10.28</v>
      </c>
    </row>
    <row r="1290" spans="1:19" ht="18">
      <c r="A1290" s="49">
        <v>6177</v>
      </c>
      <c r="B1290" s="49" t="s">
        <v>1040</v>
      </c>
      <c r="C1290" s="49">
        <v>0</v>
      </c>
      <c r="D1290" s="49">
        <v>3.68</v>
      </c>
      <c r="E1290" s="49">
        <v>0</v>
      </c>
      <c r="F1290" s="49">
        <v>18.71</v>
      </c>
      <c r="G1290" s="49">
        <v>4.26</v>
      </c>
      <c r="H1290" s="49">
        <v>9.2899999999999991</v>
      </c>
      <c r="I1290" s="49">
        <v>13.09</v>
      </c>
      <c r="J1290" s="49">
        <v>4.5599999999999996</v>
      </c>
      <c r="K1290" s="49">
        <v>12.26</v>
      </c>
      <c r="L1290" s="49">
        <v>4.8499999999999996</v>
      </c>
      <c r="M1290" s="49">
        <v>8.83</v>
      </c>
      <c r="N1290" s="49">
        <v>33.06</v>
      </c>
      <c r="O1290" s="49">
        <v>7.54</v>
      </c>
      <c r="P1290" s="49">
        <v>40</v>
      </c>
      <c r="Q1290" s="49">
        <v>16.64</v>
      </c>
      <c r="R1290" s="49">
        <v>5.27</v>
      </c>
      <c r="S1290" s="49">
        <v>35.93</v>
      </c>
    </row>
    <row r="1291" spans="1:19" ht="18">
      <c r="A1291" s="49">
        <v>6179</v>
      </c>
      <c r="B1291" s="49" t="s">
        <v>1758</v>
      </c>
      <c r="C1291" s="49">
        <v>0</v>
      </c>
      <c r="D1291" s="49">
        <v>0</v>
      </c>
      <c r="E1291" s="49">
        <v>0</v>
      </c>
      <c r="F1291" s="49">
        <v>0</v>
      </c>
      <c r="G1291" s="49">
        <v>0</v>
      </c>
      <c r="H1291" s="49">
        <v>0</v>
      </c>
      <c r="I1291" s="49">
        <v>0</v>
      </c>
      <c r="J1291" s="49">
        <v>0</v>
      </c>
      <c r="K1291" s="49">
        <v>14.15</v>
      </c>
      <c r="L1291" s="49">
        <v>15.12</v>
      </c>
      <c r="M1291" s="49">
        <v>15.81</v>
      </c>
      <c r="N1291" s="49">
        <v>58.81</v>
      </c>
      <c r="O1291" s="49">
        <v>25.4</v>
      </c>
      <c r="P1291" s="49">
        <v>17.239999999999998</v>
      </c>
      <c r="Q1291" s="49">
        <v>13.33</v>
      </c>
      <c r="R1291" s="49">
        <v>68.89</v>
      </c>
      <c r="S1291" s="49">
        <v>0</v>
      </c>
    </row>
    <row r="1292" spans="1:19" ht="18">
      <c r="A1292" s="49">
        <v>6180</v>
      </c>
      <c r="B1292" s="49" t="s">
        <v>1759</v>
      </c>
      <c r="C1292" s="49">
        <v>8.9</v>
      </c>
      <c r="D1292" s="49">
        <v>11.41</v>
      </c>
      <c r="E1292" s="49">
        <v>28.64</v>
      </c>
      <c r="F1292" s="49">
        <v>39.75</v>
      </c>
      <c r="G1292" s="49">
        <v>18.329999999999998</v>
      </c>
      <c r="H1292" s="49">
        <v>0</v>
      </c>
      <c r="I1292" s="49">
        <v>0</v>
      </c>
      <c r="J1292" s="49">
        <v>269.64</v>
      </c>
      <c r="K1292" s="49">
        <v>16.899999999999999</v>
      </c>
      <c r="L1292" s="49">
        <v>0</v>
      </c>
      <c r="M1292" s="49">
        <v>0</v>
      </c>
      <c r="N1292" s="49">
        <v>8.8699999999999992</v>
      </c>
      <c r="O1292" s="49">
        <v>10.71</v>
      </c>
      <c r="P1292" s="49">
        <v>12.11</v>
      </c>
      <c r="Q1292" s="49">
        <v>12.7</v>
      </c>
      <c r="R1292" s="49">
        <v>8.4</v>
      </c>
      <c r="S1292" s="49">
        <v>21.39</v>
      </c>
    </row>
    <row r="1293" spans="1:19" ht="18">
      <c r="A1293" s="49">
        <v>6182</v>
      </c>
      <c r="B1293" s="49" t="s">
        <v>1760</v>
      </c>
      <c r="C1293" s="49">
        <v>31.45</v>
      </c>
      <c r="D1293" s="49">
        <v>6.81</v>
      </c>
      <c r="E1293" s="49">
        <v>0</v>
      </c>
      <c r="F1293" s="49">
        <v>20.100000000000001</v>
      </c>
      <c r="G1293" s="49">
        <v>11.45</v>
      </c>
      <c r="H1293" s="49">
        <v>0</v>
      </c>
      <c r="I1293" s="49">
        <v>0</v>
      </c>
      <c r="J1293" s="49">
        <v>0</v>
      </c>
      <c r="K1293" s="49">
        <v>0</v>
      </c>
      <c r="L1293" s="49">
        <v>0</v>
      </c>
      <c r="M1293" s="49">
        <v>0</v>
      </c>
      <c r="N1293" s="49">
        <v>11.43</v>
      </c>
      <c r="O1293" s="49">
        <v>10.98</v>
      </c>
      <c r="P1293" s="49">
        <v>45.05</v>
      </c>
      <c r="Q1293" s="49">
        <v>55.52</v>
      </c>
      <c r="R1293" s="49">
        <v>10.54</v>
      </c>
      <c r="S1293" s="49">
        <v>23.53</v>
      </c>
    </row>
    <row r="1294" spans="1:19" ht="18">
      <c r="A1294" s="49">
        <v>6183</v>
      </c>
      <c r="B1294" s="49" t="s">
        <v>1041</v>
      </c>
      <c r="C1294" s="49">
        <v>18.100000000000001</v>
      </c>
      <c r="D1294" s="49">
        <v>13.22</v>
      </c>
      <c r="E1294" s="49">
        <v>18.350000000000001</v>
      </c>
      <c r="F1294" s="49">
        <v>19.8</v>
      </c>
      <c r="G1294" s="49">
        <v>16.18</v>
      </c>
      <c r="H1294" s="49">
        <v>16.53</v>
      </c>
      <c r="I1294" s="49">
        <v>22.73</v>
      </c>
      <c r="J1294" s="49">
        <v>21.34</v>
      </c>
      <c r="K1294" s="49">
        <v>18.55</v>
      </c>
      <c r="L1294" s="49">
        <v>24.2</v>
      </c>
      <c r="M1294" s="49">
        <v>18.25</v>
      </c>
      <c r="N1294" s="49">
        <v>18.170000000000002</v>
      </c>
      <c r="O1294" s="49">
        <v>20.5</v>
      </c>
      <c r="P1294" s="49">
        <v>22.65</v>
      </c>
      <c r="Q1294" s="49">
        <v>19.5</v>
      </c>
      <c r="R1294" s="49">
        <v>17.3</v>
      </c>
      <c r="S1294" s="49">
        <v>22.53</v>
      </c>
    </row>
    <row r="1295" spans="1:19" ht="18">
      <c r="A1295" s="49">
        <v>6184</v>
      </c>
      <c r="B1295" s="49" t="s">
        <v>1042</v>
      </c>
      <c r="C1295" s="49">
        <v>9.6300000000000008</v>
      </c>
      <c r="D1295" s="49">
        <v>13.56</v>
      </c>
      <c r="E1295" s="49">
        <v>10.45</v>
      </c>
      <c r="F1295" s="49">
        <v>12.37</v>
      </c>
      <c r="G1295" s="49">
        <v>12.76</v>
      </c>
      <c r="H1295" s="49">
        <v>14.62</v>
      </c>
      <c r="I1295" s="49">
        <v>17.12</v>
      </c>
      <c r="J1295" s="49">
        <v>15.09</v>
      </c>
      <c r="K1295" s="49">
        <v>15.7</v>
      </c>
      <c r="L1295" s="49">
        <v>0</v>
      </c>
      <c r="M1295" s="49">
        <v>26.15</v>
      </c>
      <c r="N1295" s="49">
        <v>12.78</v>
      </c>
      <c r="O1295" s="49">
        <v>12.33</v>
      </c>
      <c r="P1295" s="49">
        <v>12.46</v>
      </c>
      <c r="Q1295" s="49">
        <v>14.31</v>
      </c>
      <c r="R1295" s="49">
        <v>12.88</v>
      </c>
      <c r="S1295" s="49">
        <v>14.66</v>
      </c>
    </row>
    <row r="1296" spans="1:19" ht="18">
      <c r="A1296" s="49">
        <v>6185</v>
      </c>
      <c r="B1296" s="49" t="s">
        <v>1761</v>
      </c>
      <c r="C1296" s="49">
        <v>8.5299999999999994</v>
      </c>
      <c r="D1296" s="49">
        <v>7.38</v>
      </c>
      <c r="E1296" s="49">
        <v>25.16</v>
      </c>
      <c r="F1296" s="49">
        <v>8.48</v>
      </c>
      <c r="G1296" s="49">
        <v>10</v>
      </c>
      <c r="H1296" s="49">
        <v>14.4</v>
      </c>
      <c r="I1296" s="49">
        <v>10.56</v>
      </c>
      <c r="J1296" s="49">
        <v>10.029999999999999</v>
      </c>
      <c r="K1296" s="49">
        <v>9.35</v>
      </c>
      <c r="L1296" s="49">
        <v>9.5</v>
      </c>
      <c r="M1296" s="49">
        <v>10.82</v>
      </c>
      <c r="N1296" s="49">
        <v>13.98</v>
      </c>
      <c r="O1296" s="49">
        <v>38.97</v>
      </c>
      <c r="P1296" s="49">
        <v>0</v>
      </c>
      <c r="Q1296" s="49">
        <v>0</v>
      </c>
      <c r="R1296" s="49">
        <v>0</v>
      </c>
      <c r="S1296" s="49">
        <v>21.54</v>
      </c>
    </row>
    <row r="1297" spans="1:19" ht="18">
      <c r="A1297" s="49">
        <v>6186</v>
      </c>
      <c r="B1297" s="49" t="s">
        <v>1762</v>
      </c>
      <c r="C1297" s="49">
        <v>0</v>
      </c>
      <c r="D1297" s="49">
        <v>0</v>
      </c>
      <c r="E1297" s="49">
        <v>0</v>
      </c>
      <c r="F1297" s="49">
        <v>15.38</v>
      </c>
      <c r="G1297" s="49">
        <v>0</v>
      </c>
      <c r="H1297" s="49">
        <v>617.5</v>
      </c>
      <c r="I1297" s="49">
        <v>56.23</v>
      </c>
      <c r="J1297" s="49">
        <v>3.45</v>
      </c>
      <c r="K1297" s="49">
        <v>6.51</v>
      </c>
      <c r="L1297" s="49">
        <v>2.72</v>
      </c>
      <c r="M1297" s="49">
        <v>0</v>
      </c>
      <c r="N1297" s="49">
        <v>0</v>
      </c>
      <c r="O1297" s="49">
        <v>122.69</v>
      </c>
      <c r="P1297" s="49">
        <v>5.73</v>
      </c>
      <c r="Q1297" s="49">
        <v>5.51</v>
      </c>
      <c r="R1297" s="49">
        <v>0</v>
      </c>
      <c r="S1297" s="49">
        <v>16.010000000000002</v>
      </c>
    </row>
    <row r="1298" spans="1:19" ht="18">
      <c r="A1298" s="49">
        <v>6187</v>
      </c>
      <c r="B1298" s="49" t="s">
        <v>1763</v>
      </c>
      <c r="C1298" s="49">
        <v>18.82</v>
      </c>
      <c r="D1298" s="49">
        <v>4.21</v>
      </c>
      <c r="E1298" s="49">
        <v>36.15</v>
      </c>
      <c r="F1298" s="49">
        <v>10.56</v>
      </c>
      <c r="G1298" s="49">
        <v>0</v>
      </c>
      <c r="H1298" s="49">
        <v>95.33</v>
      </c>
      <c r="I1298" s="49">
        <v>0</v>
      </c>
      <c r="J1298" s="49">
        <v>18.940000000000001</v>
      </c>
      <c r="K1298" s="49">
        <v>14.05</v>
      </c>
      <c r="L1298" s="49">
        <v>14.22</v>
      </c>
      <c r="M1298" s="49">
        <v>17.71</v>
      </c>
      <c r="N1298" s="49">
        <v>10.93</v>
      </c>
      <c r="O1298" s="49">
        <v>28.16</v>
      </c>
      <c r="P1298" s="49">
        <v>38.450000000000003</v>
      </c>
      <c r="Q1298" s="49">
        <v>19.63</v>
      </c>
      <c r="R1298" s="49">
        <v>9.34</v>
      </c>
      <c r="S1298" s="49">
        <v>123.68</v>
      </c>
    </row>
    <row r="1299" spans="1:19" ht="18">
      <c r="A1299" s="49">
        <v>6188</v>
      </c>
      <c r="B1299" s="49" t="s">
        <v>1764</v>
      </c>
      <c r="C1299" s="49">
        <v>10.07</v>
      </c>
      <c r="D1299" s="49">
        <v>5.32</v>
      </c>
      <c r="E1299" s="49">
        <v>12.23</v>
      </c>
      <c r="F1299" s="49">
        <v>11.7</v>
      </c>
      <c r="G1299" s="49">
        <v>9.84</v>
      </c>
      <c r="H1299" s="49">
        <v>15.86</v>
      </c>
      <c r="I1299" s="49">
        <v>9.2200000000000006</v>
      </c>
      <c r="J1299" s="49">
        <v>8.99</v>
      </c>
      <c r="K1299" s="49">
        <v>13.7</v>
      </c>
      <c r="L1299" s="49">
        <v>21.51</v>
      </c>
      <c r="M1299" s="49">
        <v>24.96</v>
      </c>
      <c r="N1299" s="49">
        <v>22.79</v>
      </c>
      <c r="O1299" s="49">
        <v>17.989999999999998</v>
      </c>
      <c r="P1299" s="49">
        <v>1296.67</v>
      </c>
      <c r="Q1299" s="49">
        <v>15.59</v>
      </c>
      <c r="R1299" s="49">
        <v>9.94</v>
      </c>
      <c r="S1299" s="49">
        <v>22.22</v>
      </c>
    </row>
    <row r="1300" spans="1:19" ht="18">
      <c r="A1300" s="49">
        <v>6189</v>
      </c>
      <c r="B1300" s="49" t="s">
        <v>1043</v>
      </c>
      <c r="C1300" s="49">
        <v>8.4700000000000006</v>
      </c>
      <c r="D1300" s="49">
        <v>4.55</v>
      </c>
      <c r="E1300" s="49">
        <v>14.88</v>
      </c>
      <c r="F1300" s="49">
        <v>8.8800000000000008</v>
      </c>
      <c r="G1300" s="49">
        <v>9.84</v>
      </c>
      <c r="H1300" s="49">
        <v>8.5</v>
      </c>
      <c r="I1300" s="49">
        <v>10.44</v>
      </c>
      <c r="J1300" s="49">
        <v>10.82</v>
      </c>
      <c r="K1300" s="49">
        <v>9.1</v>
      </c>
      <c r="L1300" s="49">
        <v>12.71</v>
      </c>
      <c r="M1300" s="49">
        <v>12.81</v>
      </c>
      <c r="N1300" s="49">
        <v>9.83</v>
      </c>
      <c r="O1300" s="49">
        <v>11.73</v>
      </c>
      <c r="P1300" s="49">
        <v>13.01</v>
      </c>
      <c r="Q1300" s="49">
        <v>10.65</v>
      </c>
      <c r="R1300" s="49">
        <v>8.7200000000000006</v>
      </c>
      <c r="S1300" s="49">
        <v>14</v>
      </c>
    </row>
    <row r="1301" spans="1:19" ht="18">
      <c r="A1301" s="49">
        <v>6190</v>
      </c>
      <c r="B1301" s="49" t="s">
        <v>1765</v>
      </c>
      <c r="C1301" s="49">
        <v>10.19</v>
      </c>
      <c r="D1301" s="49">
        <v>6.13</v>
      </c>
      <c r="E1301" s="49">
        <v>0</v>
      </c>
      <c r="F1301" s="49">
        <v>9.08</v>
      </c>
      <c r="G1301" s="49">
        <v>30.92</v>
      </c>
      <c r="H1301" s="49">
        <v>0</v>
      </c>
      <c r="I1301" s="49">
        <v>0</v>
      </c>
      <c r="J1301" s="49">
        <v>0</v>
      </c>
      <c r="K1301" s="49">
        <v>291.5</v>
      </c>
      <c r="L1301" s="49">
        <v>33.61</v>
      </c>
      <c r="M1301" s="49">
        <v>17.079999999999998</v>
      </c>
      <c r="N1301" s="49">
        <v>14.76</v>
      </c>
      <c r="O1301" s="49">
        <v>12.59</v>
      </c>
      <c r="P1301" s="49">
        <v>28.02</v>
      </c>
      <c r="Q1301" s="49">
        <v>28.09</v>
      </c>
      <c r="R1301" s="49">
        <v>9.2100000000000009</v>
      </c>
      <c r="S1301" s="49">
        <v>27.17</v>
      </c>
    </row>
    <row r="1302" spans="1:19" ht="18">
      <c r="A1302" s="49">
        <v>6191</v>
      </c>
      <c r="B1302" s="49" t="s">
        <v>1044</v>
      </c>
      <c r="C1302" s="49">
        <v>8.2899999999999991</v>
      </c>
      <c r="D1302" s="49">
        <v>4.3</v>
      </c>
      <c r="E1302" s="49">
        <v>23.36</v>
      </c>
      <c r="F1302" s="49">
        <v>11.22</v>
      </c>
      <c r="G1302" s="49">
        <v>7.07</v>
      </c>
      <c r="H1302" s="49">
        <v>21.22</v>
      </c>
      <c r="I1302" s="49">
        <v>0</v>
      </c>
      <c r="J1302" s="49">
        <v>0</v>
      </c>
      <c r="K1302" s="49">
        <v>0</v>
      </c>
      <c r="L1302" s="49">
        <v>59.29</v>
      </c>
      <c r="M1302" s="49">
        <v>15.7</v>
      </c>
      <c r="N1302" s="49">
        <v>10.5</v>
      </c>
      <c r="O1302" s="49">
        <v>9.8000000000000007</v>
      </c>
      <c r="P1302" s="49">
        <v>9.08</v>
      </c>
      <c r="Q1302" s="49">
        <v>6.42</v>
      </c>
      <c r="R1302" s="49">
        <v>4.96</v>
      </c>
      <c r="S1302" s="49">
        <v>10.25</v>
      </c>
    </row>
    <row r="1303" spans="1:19" ht="18">
      <c r="A1303" s="49">
        <v>6192</v>
      </c>
      <c r="B1303" s="49" t="s">
        <v>1045</v>
      </c>
      <c r="C1303" s="49">
        <v>12.95</v>
      </c>
      <c r="D1303" s="49">
        <v>6.86</v>
      </c>
      <c r="E1303" s="49">
        <v>11.55</v>
      </c>
      <c r="F1303" s="49">
        <v>13.32</v>
      </c>
      <c r="G1303" s="49">
        <v>9.43</v>
      </c>
      <c r="H1303" s="49">
        <v>11.83</v>
      </c>
      <c r="I1303" s="49">
        <v>13.16</v>
      </c>
      <c r="J1303" s="49">
        <v>12.39</v>
      </c>
      <c r="K1303" s="49">
        <v>9.74</v>
      </c>
      <c r="L1303" s="49">
        <v>10.58</v>
      </c>
      <c r="M1303" s="49">
        <v>12.1</v>
      </c>
      <c r="N1303" s="49">
        <v>9.44</v>
      </c>
      <c r="O1303" s="49">
        <v>10.3</v>
      </c>
      <c r="P1303" s="49">
        <v>11.55</v>
      </c>
      <c r="Q1303" s="49">
        <v>9.7899999999999991</v>
      </c>
      <c r="R1303" s="49">
        <v>7.36</v>
      </c>
      <c r="S1303" s="49">
        <v>10.1</v>
      </c>
    </row>
    <row r="1304" spans="1:19" ht="18">
      <c r="A1304" s="49">
        <v>6194</v>
      </c>
      <c r="B1304" s="49" t="s">
        <v>1766</v>
      </c>
      <c r="C1304" s="49">
        <v>8.15</v>
      </c>
      <c r="D1304" s="49">
        <v>3.73</v>
      </c>
      <c r="E1304" s="49">
        <v>15.85</v>
      </c>
      <c r="F1304" s="49">
        <v>12.41</v>
      </c>
      <c r="G1304" s="49">
        <v>8.36</v>
      </c>
      <c r="H1304" s="49">
        <v>15.42</v>
      </c>
      <c r="I1304" s="49">
        <v>17.95</v>
      </c>
      <c r="J1304" s="49">
        <v>26.74</v>
      </c>
      <c r="K1304" s="49">
        <v>0</v>
      </c>
      <c r="L1304" s="49">
        <v>0</v>
      </c>
      <c r="M1304" s="49">
        <v>0</v>
      </c>
      <c r="N1304" s="49">
        <v>61.54</v>
      </c>
      <c r="O1304" s="49">
        <v>11.61</v>
      </c>
      <c r="P1304" s="49">
        <v>14.37</v>
      </c>
      <c r="Q1304" s="49">
        <v>28.06</v>
      </c>
      <c r="R1304" s="49">
        <v>0</v>
      </c>
      <c r="S1304" s="49">
        <v>13.9</v>
      </c>
    </row>
    <row r="1305" spans="1:19" ht="18">
      <c r="A1305" s="49">
        <v>6195</v>
      </c>
      <c r="B1305" s="49" t="s">
        <v>1767</v>
      </c>
      <c r="C1305" s="49">
        <v>0</v>
      </c>
      <c r="D1305" s="49">
        <v>2.23</v>
      </c>
      <c r="E1305" s="49">
        <v>0</v>
      </c>
      <c r="F1305" s="49">
        <v>19.37</v>
      </c>
      <c r="G1305" s="49">
        <v>7.9</v>
      </c>
      <c r="H1305" s="49">
        <v>9.08</v>
      </c>
      <c r="I1305" s="49">
        <v>16.829999999999998</v>
      </c>
      <c r="J1305" s="49">
        <v>12.09</v>
      </c>
      <c r="K1305" s="49">
        <v>9.92</v>
      </c>
      <c r="L1305" s="49">
        <v>12.8</v>
      </c>
      <c r="M1305" s="49">
        <v>12.22</v>
      </c>
      <c r="N1305" s="49">
        <v>10.3</v>
      </c>
      <c r="O1305" s="49">
        <v>18.489999999999998</v>
      </c>
      <c r="P1305" s="49">
        <v>12.82</v>
      </c>
      <c r="Q1305" s="49">
        <v>9.6199999999999992</v>
      </c>
      <c r="R1305" s="49">
        <v>8.33</v>
      </c>
      <c r="S1305" s="49">
        <v>15.16</v>
      </c>
    </row>
    <row r="1306" spans="1:19" ht="18">
      <c r="A1306" s="49">
        <v>6196</v>
      </c>
      <c r="B1306" s="49" t="s">
        <v>1046</v>
      </c>
      <c r="C1306" s="49">
        <v>8.4700000000000006</v>
      </c>
      <c r="D1306" s="49">
        <v>5.13</v>
      </c>
      <c r="E1306" s="49">
        <v>0</v>
      </c>
      <c r="F1306" s="49">
        <v>0</v>
      </c>
      <c r="G1306" s="49">
        <v>6.51</v>
      </c>
      <c r="H1306" s="49">
        <v>20.18</v>
      </c>
      <c r="I1306" s="49">
        <v>13.8</v>
      </c>
      <c r="J1306" s="49">
        <v>10.24</v>
      </c>
      <c r="K1306" s="49">
        <v>9.57</v>
      </c>
      <c r="L1306" s="49">
        <v>9.2899999999999991</v>
      </c>
      <c r="M1306" s="49">
        <v>11.57</v>
      </c>
      <c r="N1306" s="49">
        <v>9.18</v>
      </c>
      <c r="O1306" s="49">
        <v>26.26</v>
      </c>
      <c r="P1306" s="49">
        <v>24.89</v>
      </c>
      <c r="Q1306" s="49">
        <v>27.08</v>
      </c>
      <c r="R1306" s="49">
        <v>10.57</v>
      </c>
      <c r="S1306" s="49">
        <v>11.77</v>
      </c>
    </row>
    <row r="1307" spans="1:19" ht="18">
      <c r="A1307" s="49">
        <v>6197</v>
      </c>
      <c r="B1307" s="49" t="s">
        <v>1047</v>
      </c>
      <c r="C1307" s="49">
        <v>26.23</v>
      </c>
      <c r="D1307" s="49">
        <v>32.81</v>
      </c>
      <c r="E1307" s="49">
        <v>131.37</v>
      </c>
      <c r="F1307" s="49">
        <v>81.760000000000005</v>
      </c>
      <c r="G1307" s="49">
        <v>0</v>
      </c>
      <c r="H1307" s="49">
        <v>0</v>
      </c>
      <c r="I1307" s="49">
        <v>25.58</v>
      </c>
      <c r="J1307" s="49">
        <v>23.64</v>
      </c>
      <c r="K1307" s="49">
        <v>14.06</v>
      </c>
      <c r="L1307" s="49">
        <v>16.079999999999998</v>
      </c>
      <c r="M1307" s="49">
        <v>10.1</v>
      </c>
      <c r="N1307" s="49">
        <v>14.59</v>
      </c>
      <c r="O1307" s="49">
        <v>12.43</v>
      </c>
      <c r="P1307" s="49">
        <v>18.29</v>
      </c>
      <c r="Q1307" s="49">
        <v>16.41</v>
      </c>
      <c r="R1307" s="49">
        <v>9.64</v>
      </c>
      <c r="S1307" s="49">
        <v>19.829999999999998</v>
      </c>
    </row>
    <row r="1308" spans="1:19" ht="18">
      <c r="A1308" s="49">
        <v>6198</v>
      </c>
      <c r="B1308" s="49" t="s">
        <v>1768</v>
      </c>
      <c r="C1308" s="49">
        <v>0</v>
      </c>
      <c r="D1308" s="49">
        <v>0</v>
      </c>
      <c r="E1308" s="49">
        <v>0</v>
      </c>
      <c r="F1308" s="49">
        <v>0</v>
      </c>
      <c r="G1308" s="49">
        <v>0</v>
      </c>
      <c r="H1308" s="49">
        <v>0</v>
      </c>
      <c r="I1308" s="49">
        <v>0</v>
      </c>
      <c r="J1308" s="49">
        <v>0</v>
      </c>
      <c r="K1308" s="49">
        <v>0</v>
      </c>
      <c r="L1308" s="49">
        <v>0</v>
      </c>
      <c r="M1308" s="49">
        <v>0</v>
      </c>
      <c r="N1308" s="49">
        <v>0</v>
      </c>
      <c r="O1308" s="49">
        <v>0</v>
      </c>
      <c r="P1308" s="49">
        <v>0</v>
      </c>
      <c r="Q1308" s="49">
        <v>179.25</v>
      </c>
      <c r="R1308" s="49">
        <v>0</v>
      </c>
      <c r="S1308" s="49">
        <v>10.72</v>
      </c>
    </row>
    <row r="1309" spans="1:19" ht="18">
      <c r="A1309" s="49">
        <v>6199</v>
      </c>
      <c r="B1309" s="49" t="s">
        <v>1769</v>
      </c>
      <c r="C1309" s="49">
        <v>33.450000000000003</v>
      </c>
      <c r="D1309" s="49">
        <v>20.53</v>
      </c>
      <c r="E1309" s="49">
        <v>0</v>
      </c>
      <c r="F1309" s="49">
        <v>0</v>
      </c>
      <c r="G1309" s="49">
        <v>0</v>
      </c>
      <c r="H1309" s="49">
        <v>0</v>
      </c>
      <c r="I1309" s="49">
        <v>0</v>
      </c>
      <c r="J1309" s="49">
        <v>0</v>
      </c>
      <c r="K1309" s="49">
        <v>27.24</v>
      </c>
      <c r="L1309" s="49">
        <v>46.43</v>
      </c>
      <c r="M1309" s="49">
        <v>48.98</v>
      </c>
      <c r="N1309" s="49">
        <v>20.97</v>
      </c>
      <c r="O1309" s="49">
        <v>0</v>
      </c>
      <c r="P1309" s="49">
        <v>35.76</v>
      </c>
      <c r="Q1309" s="49">
        <v>14.31</v>
      </c>
      <c r="R1309" s="49">
        <v>0</v>
      </c>
      <c r="S1309" s="49">
        <v>55.58</v>
      </c>
    </row>
    <row r="1310" spans="1:19" ht="18">
      <c r="A1310" s="49">
        <v>6201</v>
      </c>
      <c r="B1310" s="49" t="s">
        <v>1048</v>
      </c>
      <c r="C1310" s="49">
        <v>9.2899999999999991</v>
      </c>
      <c r="D1310" s="49">
        <v>5.71</v>
      </c>
      <c r="E1310" s="49">
        <v>12.77</v>
      </c>
      <c r="F1310" s="49">
        <v>10.7</v>
      </c>
      <c r="G1310" s="49">
        <v>11.44</v>
      </c>
      <c r="H1310" s="49">
        <v>13.95</v>
      </c>
      <c r="I1310" s="49">
        <v>26.97</v>
      </c>
      <c r="J1310" s="49">
        <v>14.73</v>
      </c>
      <c r="K1310" s="49">
        <v>10.24</v>
      </c>
      <c r="L1310" s="49">
        <v>11.49</v>
      </c>
      <c r="M1310" s="49">
        <v>13.05</v>
      </c>
      <c r="N1310" s="49">
        <v>11.11</v>
      </c>
      <c r="O1310" s="49">
        <v>9.49</v>
      </c>
      <c r="P1310" s="49">
        <v>14.14</v>
      </c>
      <c r="Q1310" s="49">
        <v>11.99</v>
      </c>
      <c r="R1310" s="49">
        <v>11.44</v>
      </c>
      <c r="S1310" s="49">
        <v>12.48</v>
      </c>
    </row>
    <row r="1311" spans="1:19" ht="18">
      <c r="A1311" s="49">
        <v>6202</v>
      </c>
      <c r="B1311" s="49" t="s">
        <v>1049</v>
      </c>
      <c r="C1311" s="49">
        <v>11.94</v>
      </c>
      <c r="D1311" s="49">
        <v>6.16</v>
      </c>
      <c r="E1311" s="49">
        <v>21.62</v>
      </c>
      <c r="F1311" s="49">
        <v>11.56</v>
      </c>
      <c r="G1311" s="49">
        <v>11</v>
      </c>
      <c r="H1311" s="49">
        <v>12.29</v>
      </c>
      <c r="I1311" s="49">
        <v>15.57</v>
      </c>
      <c r="J1311" s="49">
        <v>16.690000000000001</v>
      </c>
      <c r="K1311" s="49">
        <v>14.11</v>
      </c>
      <c r="L1311" s="49">
        <v>14.29</v>
      </c>
      <c r="M1311" s="49">
        <v>18.149999999999999</v>
      </c>
      <c r="N1311" s="49">
        <v>12.25</v>
      </c>
      <c r="O1311" s="49">
        <v>16.47</v>
      </c>
      <c r="P1311" s="49">
        <v>18.100000000000001</v>
      </c>
      <c r="Q1311" s="49">
        <v>13.14</v>
      </c>
      <c r="R1311" s="49">
        <v>9.9</v>
      </c>
      <c r="S1311" s="49">
        <v>104.22</v>
      </c>
    </row>
    <row r="1312" spans="1:19" ht="18">
      <c r="A1312" s="49">
        <v>6203</v>
      </c>
      <c r="B1312" s="49" t="s">
        <v>1770</v>
      </c>
      <c r="C1312" s="49">
        <v>24.78</v>
      </c>
      <c r="D1312" s="49">
        <v>4.53</v>
      </c>
      <c r="E1312" s="49">
        <v>12.03</v>
      </c>
      <c r="F1312" s="49">
        <v>11.07</v>
      </c>
      <c r="G1312" s="49">
        <v>10.27</v>
      </c>
      <c r="H1312" s="49">
        <v>7.63</v>
      </c>
      <c r="I1312" s="49">
        <v>11.22</v>
      </c>
      <c r="J1312" s="49">
        <v>10.81</v>
      </c>
      <c r="K1312" s="49">
        <v>12.35</v>
      </c>
      <c r="L1312" s="49">
        <v>12.9</v>
      </c>
      <c r="M1312" s="49">
        <v>18.93</v>
      </c>
      <c r="N1312" s="49">
        <v>8.26</v>
      </c>
      <c r="O1312" s="49">
        <v>10.58</v>
      </c>
      <c r="P1312" s="49">
        <v>13.04</v>
      </c>
      <c r="Q1312" s="49">
        <v>8.2799999999999994</v>
      </c>
      <c r="R1312" s="49">
        <v>8.42</v>
      </c>
      <c r="S1312" s="49">
        <v>12.8</v>
      </c>
    </row>
    <row r="1313" spans="1:19" ht="18">
      <c r="A1313" s="49">
        <v>6204</v>
      </c>
      <c r="B1313" s="49" t="s">
        <v>1771</v>
      </c>
      <c r="C1313" s="49">
        <v>9.76</v>
      </c>
      <c r="D1313" s="49">
        <v>5.68</v>
      </c>
      <c r="E1313" s="49">
        <v>14.77</v>
      </c>
      <c r="F1313" s="49">
        <v>8.02</v>
      </c>
      <c r="G1313" s="49">
        <v>9.3000000000000007</v>
      </c>
      <c r="H1313" s="49">
        <v>10.54</v>
      </c>
      <c r="I1313" s="49">
        <v>11.92</v>
      </c>
      <c r="J1313" s="49">
        <v>12.88</v>
      </c>
      <c r="K1313" s="49">
        <v>14.28</v>
      </c>
      <c r="L1313" s="49">
        <v>18.2</v>
      </c>
      <c r="M1313" s="49">
        <v>13.23</v>
      </c>
      <c r="N1313" s="49">
        <v>15.96</v>
      </c>
      <c r="O1313" s="49">
        <v>17.36</v>
      </c>
      <c r="P1313" s="49">
        <v>90.73</v>
      </c>
      <c r="Q1313" s="49">
        <v>5.74</v>
      </c>
      <c r="R1313" s="49">
        <v>54.26</v>
      </c>
      <c r="S1313" s="49">
        <v>7.82</v>
      </c>
    </row>
    <row r="1314" spans="1:19" ht="18">
      <c r="A1314" s="49">
        <v>6205</v>
      </c>
      <c r="B1314" s="49" t="s">
        <v>1050</v>
      </c>
      <c r="C1314" s="49">
        <v>10.55</v>
      </c>
      <c r="D1314" s="49">
        <v>5.97</v>
      </c>
      <c r="E1314" s="49">
        <v>16.61</v>
      </c>
      <c r="F1314" s="49">
        <v>16.7</v>
      </c>
      <c r="G1314" s="49">
        <v>20.45</v>
      </c>
      <c r="H1314" s="49">
        <v>13.65</v>
      </c>
      <c r="I1314" s="49">
        <v>13.28</v>
      </c>
      <c r="J1314" s="49">
        <v>10.3</v>
      </c>
      <c r="K1314" s="49">
        <v>7.69</v>
      </c>
      <c r="L1314" s="49">
        <v>9.27</v>
      </c>
      <c r="M1314" s="49">
        <v>12.96</v>
      </c>
      <c r="N1314" s="49">
        <v>11.61</v>
      </c>
      <c r="O1314" s="49">
        <v>14.83</v>
      </c>
      <c r="P1314" s="49">
        <v>26.91</v>
      </c>
      <c r="Q1314" s="49">
        <v>43.35</v>
      </c>
      <c r="R1314" s="49">
        <v>18.93</v>
      </c>
      <c r="S1314" s="49">
        <v>25.82</v>
      </c>
    </row>
    <row r="1315" spans="1:19" ht="18">
      <c r="A1315" s="49">
        <v>6206</v>
      </c>
      <c r="B1315" s="49" t="s">
        <v>1051</v>
      </c>
      <c r="C1315" s="49">
        <v>13.09</v>
      </c>
      <c r="D1315" s="49">
        <v>7.4</v>
      </c>
      <c r="E1315" s="49">
        <v>12.62</v>
      </c>
      <c r="F1315" s="49">
        <v>11.22</v>
      </c>
      <c r="G1315" s="49">
        <v>10.09</v>
      </c>
      <c r="H1315" s="49">
        <v>12.07</v>
      </c>
      <c r="I1315" s="49">
        <v>16.79</v>
      </c>
      <c r="J1315" s="49">
        <v>16.29</v>
      </c>
      <c r="K1315" s="49">
        <v>13.77</v>
      </c>
      <c r="L1315" s="49">
        <v>15.01</v>
      </c>
      <c r="M1315" s="49">
        <v>15.19</v>
      </c>
      <c r="N1315" s="49">
        <v>11.43</v>
      </c>
      <c r="O1315" s="49">
        <v>14.4</v>
      </c>
      <c r="P1315" s="49">
        <v>13.95</v>
      </c>
      <c r="Q1315" s="49">
        <v>20.82</v>
      </c>
      <c r="R1315" s="49">
        <v>8</v>
      </c>
      <c r="S1315" s="49">
        <v>23.58</v>
      </c>
    </row>
    <row r="1316" spans="1:19" ht="18">
      <c r="A1316" s="49">
        <v>6207</v>
      </c>
      <c r="B1316" s="49" t="s">
        <v>1772</v>
      </c>
      <c r="C1316" s="49">
        <v>9.17</v>
      </c>
      <c r="D1316" s="49">
        <v>11.25</v>
      </c>
      <c r="E1316" s="49">
        <v>27.21</v>
      </c>
      <c r="F1316" s="49">
        <v>12.93</v>
      </c>
      <c r="G1316" s="49">
        <v>8.99</v>
      </c>
      <c r="H1316" s="49">
        <v>20.72</v>
      </c>
      <c r="I1316" s="49">
        <v>32.36</v>
      </c>
      <c r="J1316" s="49">
        <v>38.19</v>
      </c>
      <c r="K1316" s="49">
        <v>7.84</v>
      </c>
      <c r="L1316" s="49">
        <v>16.760000000000002</v>
      </c>
      <c r="M1316" s="49">
        <v>10.33</v>
      </c>
      <c r="N1316" s="49">
        <v>7.59</v>
      </c>
      <c r="O1316" s="49">
        <v>16.27</v>
      </c>
      <c r="P1316" s="49">
        <v>14.47</v>
      </c>
      <c r="Q1316" s="49">
        <v>16.71</v>
      </c>
      <c r="R1316" s="49">
        <v>8.9499999999999993</v>
      </c>
      <c r="S1316" s="49">
        <v>24.07</v>
      </c>
    </row>
    <row r="1317" spans="1:19" ht="18">
      <c r="A1317" s="49">
        <v>6208</v>
      </c>
      <c r="B1317" s="49" t="s">
        <v>1773</v>
      </c>
      <c r="C1317" s="49">
        <v>16.23</v>
      </c>
      <c r="D1317" s="49">
        <v>6.81</v>
      </c>
      <c r="E1317" s="49">
        <v>0</v>
      </c>
      <c r="F1317" s="49">
        <v>17.559999999999999</v>
      </c>
      <c r="G1317" s="49">
        <v>5.87</v>
      </c>
      <c r="H1317" s="49">
        <v>42.8</v>
      </c>
      <c r="I1317" s="49">
        <v>14.82</v>
      </c>
      <c r="J1317" s="49">
        <v>14.57</v>
      </c>
      <c r="K1317" s="49">
        <v>12.03</v>
      </c>
      <c r="L1317" s="49">
        <v>12.64</v>
      </c>
      <c r="M1317" s="49">
        <v>18.39</v>
      </c>
      <c r="N1317" s="49">
        <v>10.55</v>
      </c>
      <c r="O1317" s="49">
        <v>12.18</v>
      </c>
      <c r="P1317" s="49">
        <v>14.57</v>
      </c>
      <c r="Q1317" s="49">
        <v>18.05</v>
      </c>
      <c r="R1317" s="49">
        <v>13.52</v>
      </c>
      <c r="S1317" s="49">
        <v>15.12</v>
      </c>
    </row>
    <row r="1318" spans="1:19" ht="18">
      <c r="A1318" s="49">
        <v>6209</v>
      </c>
      <c r="B1318" s="49" t="s">
        <v>1052</v>
      </c>
      <c r="C1318" s="49">
        <v>17.5</v>
      </c>
      <c r="D1318" s="49">
        <v>13.42</v>
      </c>
      <c r="E1318" s="49">
        <v>0</v>
      </c>
      <c r="F1318" s="49">
        <v>30.3</v>
      </c>
      <c r="G1318" s="49">
        <v>15.27</v>
      </c>
      <c r="H1318" s="49">
        <v>9.64</v>
      </c>
      <c r="I1318" s="49">
        <v>54.63</v>
      </c>
      <c r="J1318" s="49">
        <v>0</v>
      </c>
      <c r="K1318" s="49">
        <v>0</v>
      </c>
      <c r="L1318" s="49">
        <v>0</v>
      </c>
      <c r="M1318" s="49">
        <v>0</v>
      </c>
      <c r="N1318" s="49">
        <v>0</v>
      </c>
      <c r="O1318" s="49">
        <v>0</v>
      </c>
      <c r="P1318" s="49">
        <v>0</v>
      </c>
      <c r="Q1318" s="49">
        <v>0</v>
      </c>
      <c r="R1318" s="49">
        <v>64.209999999999994</v>
      </c>
      <c r="S1318" s="49">
        <v>250.91</v>
      </c>
    </row>
    <row r="1319" spans="1:19" ht="18">
      <c r="A1319" s="49">
        <v>6210</v>
      </c>
      <c r="B1319" s="49" t="s">
        <v>1774</v>
      </c>
      <c r="C1319" s="49">
        <v>21.05</v>
      </c>
      <c r="D1319" s="49">
        <v>5.78</v>
      </c>
      <c r="E1319" s="49">
        <v>46.43</v>
      </c>
      <c r="F1319" s="49">
        <v>8.93</v>
      </c>
      <c r="G1319" s="49">
        <v>8.18</v>
      </c>
      <c r="H1319" s="49">
        <v>9.41</v>
      </c>
      <c r="I1319" s="49">
        <v>11.6</v>
      </c>
      <c r="J1319" s="49">
        <v>9.4600000000000009</v>
      </c>
      <c r="K1319" s="49">
        <v>7.1</v>
      </c>
      <c r="L1319" s="49">
        <v>10.42</v>
      </c>
      <c r="M1319" s="49">
        <v>9.14</v>
      </c>
      <c r="N1319" s="49">
        <v>10.83</v>
      </c>
      <c r="O1319" s="49">
        <v>12.55</v>
      </c>
      <c r="P1319" s="49">
        <v>11.1</v>
      </c>
      <c r="Q1319" s="49">
        <v>13.28</v>
      </c>
      <c r="R1319" s="49">
        <v>18.87</v>
      </c>
      <c r="S1319" s="49">
        <v>0</v>
      </c>
    </row>
    <row r="1320" spans="1:19" ht="18">
      <c r="A1320" s="49">
        <v>6212</v>
      </c>
      <c r="B1320" s="49" t="s">
        <v>1775</v>
      </c>
      <c r="C1320" s="49">
        <v>0</v>
      </c>
      <c r="D1320" s="49">
        <v>8.82</v>
      </c>
      <c r="E1320" s="49">
        <v>10.86</v>
      </c>
      <c r="F1320" s="49">
        <v>7.76</v>
      </c>
      <c r="G1320" s="49">
        <v>52.27</v>
      </c>
      <c r="H1320" s="49">
        <v>56.14</v>
      </c>
      <c r="I1320" s="49">
        <v>13.99</v>
      </c>
      <c r="J1320" s="49">
        <v>0</v>
      </c>
      <c r="K1320" s="49">
        <v>29.55</v>
      </c>
      <c r="L1320" s="49">
        <v>5.35</v>
      </c>
      <c r="M1320" s="49">
        <v>19.43</v>
      </c>
      <c r="N1320" s="49">
        <v>5.38</v>
      </c>
      <c r="O1320" s="49">
        <v>0</v>
      </c>
      <c r="P1320" s="49">
        <v>55.77</v>
      </c>
      <c r="Q1320" s="49">
        <v>10.97</v>
      </c>
      <c r="R1320" s="49">
        <v>20</v>
      </c>
      <c r="S1320" s="49">
        <v>33.9</v>
      </c>
    </row>
    <row r="1321" spans="1:19" ht="18">
      <c r="A1321" s="49">
        <v>6213</v>
      </c>
      <c r="B1321" s="49" t="s">
        <v>1053</v>
      </c>
      <c r="C1321" s="49">
        <v>10.39</v>
      </c>
      <c r="D1321" s="49">
        <v>3.49</v>
      </c>
      <c r="E1321" s="49">
        <v>25.93</v>
      </c>
      <c r="F1321" s="49">
        <v>8.86</v>
      </c>
      <c r="G1321" s="49">
        <v>7.2</v>
      </c>
      <c r="H1321" s="49">
        <v>9.07</v>
      </c>
      <c r="I1321" s="49">
        <v>12.36</v>
      </c>
      <c r="J1321" s="49">
        <v>13.95</v>
      </c>
      <c r="K1321" s="49">
        <v>13.08</v>
      </c>
      <c r="L1321" s="49">
        <v>10.57</v>
      </c>
      <c r="M1321" s="49">
        <v>17.14</v>
      </c>
      <c r="N1321" s="49">
        <v>9.67</v>
      </c>
      <c r="O1321" s="49">
        <v>16.62</v>
      </c>
      <c r="P1321" s="49">
        <v>17.989999999999998</v>
      </c>
      <c r="Q1321" s="49">
        <v>17.47</v>
      </c>
      <c r="R1321" s="49">
        <v>11.31</v>
      </c>
      <c r="S1321" s="49">
        <v>44.87</v>
      </c>
    </row>
    <row r="1322" spans="1:19" ht="18">
      <c r="A1322" s="49">
        <v>6214</v>
      </c>
      <c r="B1322" s="49" t="s">
        <v>1054</v>
      </c>
      <c r="C1322" s="49">
        <v>9.82</v>
      </c>
      <c r="D1322" s="49">
        <v>0</v>
      </c>
      <c r="E1322" s="49">
        <v>35.85</v>
      </c>
      <c r="F1322" s="49">
        <v>15.53</v>
      </c>
      <c r="G1322" s="49">
        <v>19.75</v>
      </c>
      <c r="H1322" s="49">
        <v>21.82</v>
      </c>
      <c r="I1322" s="49">
        <v>24.14</v>
      </c>
      <c r="J1322" s="49">
        <v>21.04</v>
      </c>
      <c r="K1322" s="49">
        <v>21.67</v>
      </c>
      <c r="L1322" s="49">
        <v>11.83</v>
      </c>
      <c r="M1322" s="49">
        <v>13.57</v>
      </c>
      <c r="N1322" s="49">
        <v>12.08</v>
      </c>
      <c r="O1322" s="49">
        <v>17.079999999999998</v>
      </c>
      <c r="P1322" s="49">
        <v>10.220000000000001</v>
      </c>
      <c r="Q1322" s="49">
        <v>14.9</v>
      </c>
      <c r="R1322" s="49">
        <v>18.78</v>
      </c>
      <c r="S1322" s="49">
        <v>18.420000000000002</v>
      </c>
    </row>
    <row r="1323" spans="1:19" ht="18">
      <c r="A1323" s="49">
        <v>6215</v>
      </c>
      <c r="B1323" s="49" t="s">
        <v>1055</v>
      </c>
      <c r="C1323" s="49">
        <v>0</v>
      </c>
      <c r="D1323" s="49">
        <v>7.73</v>
      </c>
      <c r="E1323" s="49">
        <v>126.92</v>
      </c>
      <c r="F1323" s="49">
        <v>19.46</v>
      </c>
      <c r="G1323" s="49">
        <v>16.12</v>
      </c>
      <c r="H1323" s="49">
        <v>0</v>
      </c>
      <c r="I1323" s="49">
        <v>54.84</v>
      </c>
      <c r="J1323" s="49">
        <v>20</v>
      </c>
      <c r="K1323" s="49">
        <v>25.4</v>
      </c>
      <c r="L1323" s="49">
        <v>38.28</v>
      </c>
      <c r="M1323" s="49">
        <v>17.73</v>
      </c>
      <c r="N1323" s="49">
        <v>55.58</v>
      </c>
      <c r="O1323" s="49">
        <v>25.92</v>
      </c>
      <c r="P1323" s="49">
        <v>15.9</v>
      </c>
      <c r="Q1323" s="49">
        <v>10.1</v>
      </c>
      <c r="R1323" s="49">
        <v>7.64</v>
      </c>
      <c r="S1323" s="49">
        <v>20.82</v>
      </c>
    </row>
    <row r="1324" spans="1:19" ht="18">
      <c r="A1324" s="49">
        <v>6216</v>
      </c>
      <c r="B1324" s="49" t="s">
        <v>1056</v>
      </c>
      <c r="C1324" s="49">
        <v>10</v>
      </c>
      <c r="D1324" s="49">
        <v>5.0199999999999996</v>
      </c>
      <c r="E1324" s="49">
        <v>19.739999999999998</v>
      </c>
      <c r="F1324" s="49">
        <v>12.16</v>
      </c>
      <c r="G1324" s="49">
        <v>12.17</v>
      </c>
      <c r="H1324" s="49">
        <v>10.7</v>
      </c>
      <c r="I1324" s="49">
        <v>15.38</v>
      </c>
      <c r="J1324" s="49">
        <v>10.73</v>
      </c>
      <c r="K1324" s="49">
        <v>8.68</v>
      </c>
      <c r="L1324" s="49">
        <v>10.38</v>
      </c>
      <c r="M1324" s="49">
        <v>12.25</v>
      </c>
      <c r="N1324" s="49">
        <v>11.34</v>
      </c>
      <c r="O1324" s="49">
        <v>14.43</v>
      </c>
      <c r="P1324" s="49">
        <v>20.309999999999999</v>
      </c>
      <c r="Q1324" s="49">
        <v>18.170000000000002</v>
      </c>
      <c r="R1324" s="49">
        <v>9.66</v>
      </c>
      <c r="S1324" s="49">
        <v>22.85</v>
      </c>
    </row>
    <row r="1325" spans="1:19" ht="18">
      <c r="A1325" s="49">
        <v>6217</v>
      </c>
      <c r="B1325" s="49" t="s">
        <v>1776</v>
      </c>
      <c r="C1325" s="49">
        <v>0</v>
      </c>
      <c r="D1325" s="49">
        <v>0</v>
      </c>
      <c r="E1325" s="49">
        <v>324.29000000000002</v>
      </c>
      <c r="F1325" s="49">
        <v>20.41</v>
      </c>
      <c r="G1325" s="49">
        <v>14.1</v>
      </c>
      <c r="H1325" s="49">
        <v>50.7</v>
      </c>
      <c r="I1325" s="49">
        <v>16.55</v>
      </c>
      <c r="J1325" s="49">
        <v>17.690000000000001</v>
      </c>
      <c r="K1325" s="49">
        <v>12.45</v>
      </c>
      <c r="L1325" s="49">
        <v>15.08</v>
      </c>
      <c r="M1325" s="49">
        <v>11.42</v>
      </c>
      <c r="N1325" s="49">
        <v>19.690000000000001</v>
      </c>
      <c r="O1325" s="49">
        <v>20.21</v>
      </c>
      <c r="P1325" s="49">
        <v>48.55</v>
      </c>
      <c r="Q1325" s="49">
        <v>21.8</v>
      </c>
      <c r="R1325" s="49">
        <v>13.41</v>
      </c>
      <c r="S1325" s="49">
        <v>0</v>
      </c>
    </row>
    <row r="1326" spans="1:19" ht="18">
      <c r="A1326" s="49">
        <v>6218</v>
      </c>
      <c r="B1326" s="49" t="s">
        <v>1777</v>
      </c>
      <c r="C1326" s="49">
        <v>12.85</v>
      </c>
      <c r="D1326" s="49">
        <v>5.01</v>
      </c>
      <c r="E1326" s="49">
        <v>16.23</v>
      </c>
      <c r="F1326" s="49">
        <v>9.6300000000000008</v>
      </c>
      <c r="G1326" s="49">
        <v>6.08</v>
      </c>
      <c r="H1326" s="49">
        <v>16.899999999999999</v>
      </c>
      <c r="I1326" s="49">
        <v>24.47</v>
      </c>
      <c r="J1326" s="49">
        <v>18.190000000000001</v>
      </c>
      <c r="K1326" s="49">
        <v>15.05</v>
      </c>
      <c r="L1326" s="49">
        <v>20.260000000000002</v>
      </c>
      <c r="M1326" s="49">
        <v>16.48</v>
      </c>
      <c r="N1326" s="49">
        <v>13.19</v>
      </c>
      <c r="O1326" s="49">
        <v>13.46</v>
      </c>
      <c r="P1326" s="49">
        <v>18.760000000000002</v>
      </c>
      <c r="Q1326" s="49">
        <v>26</v>
      </c>
      <c r="R1326" s="49">
        <v>150.83000000000001</v>
      </c>
      <c r="S1326" s="49">
        <v>20.81</v>
      </c>
    </row>
    <row r="1327" spans="1:19" ht="18">
      <c r="A1327" s="49">
        <v>6219</v>
      </c>
      <c r="B1327" s="49" t="s">
        <v>1778</v>
      </c>
      <c r="C1327" s="49">
        <v>37.19</v>
      </c>
      <c r="D1327" s="49">
        <v>0</v>
      </c>
      <c r="E1327" s="49">
        <v>0</v>
      </c>
      <c r="F1327" s="49">
        <v>145.33000000000001</v>
      </c>
      <c r="G1327" s="49">
        <v>11.03</v>
      </c>
      <c r="H1327" s="49">
        <v>51.04</v>
      </c>
      <c r="I1327" s="49">
        <v>10.53</v>
      </c>
      <c r="J1327" s="49">
        <v>6.9</v>
      </c>
      <c r="K1327" s="49">
        <v>12.29</v>
      </c>
      <c r="L1327" s="49">
        <v>33.18</v>
      </c>
      <c r="M1327" s="49">
        <v>49.76</v>
      </c>
      <c r="N1327" s="49">
        <v>16.97</v>
      </c>
      <c r="O1327" s="49">
        <v>9.48</v>
      </c>
      <c r="P1327" s="49">
        <v>22.2</v>
      </c>
      <c r="Q1327" s="49">
        <v>20.69</v>
      </c>
      <c r="R1327" s="49">
        <v>0</v>
      </c>
      <c r="S1327" s="49">
        <v>34.26</v>
      </c>
    </row>
    <row r="1328" spans="1:19" ht="18">
      <c r="A1328" s="49">
        <v>6220</v>
      </c>
      <c r="B1328" s="49" t="s">
        <v>1779</v>
      </c>
      <c r="C1328" s="49">
        <v>17.77</v>
      </c>
      <c r="D1328" s="49">
        <v>9.5299999999999994</v>
      </c>
      <c r="E1328" s="49">
        <v>0</v>
      </c>
      <c r="F1328" s="49">
        <v>10.11</v>
      </c>
      <c r="G1328" s="49">
        <v>37</v>
      </c>
      <c r="H1328" s="49">
        <v>0</v>
      </c>
      <c r="I1328" s="49">
        <v>62.94</v>
      </c>
      <c r="J1328" s="49">
        <v>21.82</v>
      </c>
      <c r="K1328" s="49">
        <v>9.41</v>
      </c>
      <c r="L1328" s="49">
        <v>34.340000000000003</v>
      </c>
      <c r="M1328" s="49">
        <v>13.16</v>
      </c>
      <c r="N1328" s="49">
        <v>11.16</v>
      </c>
      <c r="O1328" s="49">
        <v>12.54</v>
      </c>
      <c r="P1328" s="49">
        <v>12.81</v>
      </c>
      <c r="Q1328" s="49">
        <v>21.18</v>
      </c>
      <c r="R1328" s="49">
        <v>3.04</v>
      </c>
      <c r="S1328" s="49">
        <v>0</v>
      </c>
    </row>
    <row r="1329" spans="1:19" ht="18">
      <c r="A1329" s="49">
        <v>6221</v>
      </c>
      <c r="B1329" s="49" t="s">
        <v>1780</v>
      </c>
      <c r="C1329" s="49">
        <v>8.99</v>
      </c>
      <c r="D1329" s="49">
        <v>5.96</v>
      </c>
      <c r="E1329" s="49">
        <v>0</v>
      </c>
      <c r="F1329" s="49">
        <v>19.510000000000002</v>
      </c>
      <c r="G1329" s="49">
        <v>7.56</v>
      </c>
      <c r="H1329" s="49">
        <v>8.93</v>
      </c>
      <c r="I1329" s="49">
        <v>12.3</v>
      </c>
      <c r="J1329" s="49">
        <v>17.98</v>
      </c>
      <c r="K1329" s="49">
        <v>9.98</v>
      </c>
      <c r="L1329" s="49">
        <v>16.03</v>
      </c>
      <c r="M1329" s="49">
        <v>13.23</v>
      </c>
      <c r="N1329" s="49">
        <v>10.39</v>
      </c>
      <c r="O1329" s="49">
        <v>10.119999999999999</v>
      </c>
      <c r="P1329" s="49">
        <v>10.06</v>
      </c>
      <c r="Q1329" s="49">
        <v>12.81</v>
      </c>
      <c r="R1329" s="49">
        <v>13.33</v>
      </c>
      <c r="S1329" s="49">
        <v>22.87</v>
      </c>
    </row>
    <row r="1330" spans="1:19" ht="18">
      <c r="A1330" s="49">
        <v>6222</v>
      </c>
      <c r="B1330" s="49" t="s">
        <v>1781</v>
      </c>
      <c r="C1330" s="49">
        <v>0</v>
      </c>
      <c r="D1330" s="49">
        <v>0</v>
      </c>
      <c r="E1330" s="49">
        <v>0</v>
      </c>
      <c r="F1330" s="49">
        <v>21.76</v>
      </c>
      <c r="G1330" s="49">
        <v>0</v>
      </c>
      <c r="H1330" s="49">
        <v>14.54</v>
      </c>
      <c r="I1330" s="49">
        <v>0</v>
      </c>
      <c r="J1330" s="49">
        <v>0</v>
      </c>
      <c r="K1330" s="49">
        <v>0</v>
      </c>
      <c r="L1330" s="49">
        <v>0</v>
      </c>
      <c r="M1330" s="49">
        <v>58.8</v>
      </c>
      <c r="N1330" s="49">
        <v>12.5</v>
      </c>
      <c r="O1330" s="49">
        <v>33.33</v>
      </c>
      <c r="P1330" s="49">
        <v>66.819999999999993</v>
      </c>
      <c r="Q1330" s="49">
        <v>245.83</v>
      </c>
      <c r="R1330" s="49">
        <v>293</v>
      </c>
      <c r="S1330" s="49">
        <v>0</v>
      </c>
    </row>
    <row r="1331" spans="1:19" ht="18">
      <c r="A1331" s="49">
        <v>6223</v>
      </c>
      <c r="B1331" s="49" t="s">
        <v>1782</v>
      </c>
      <c r="C1331" s="49">
        <v>15.34</v>
      </c>
      <c r="D1331" s="49">
        <v>5.16</v>
      </c>
      <c r="E1331" s="49">
        <v>238.89</v>
      </c>
      <c r="F1331" s="49">
        <v>15.6</v>
      </c>
      <c r="G1331" s="49">
        <v>6.33</v>
      </c>
      <c r="H1331" s="49">
        <v>19.05</v>
      </c>
      <c r="I1331" s="49">
        <v>13.27</v>
      </c>
      <c r="J1331" s="49">
        <v>21.79</v>
      </c>
      <c r="K1331" s="49">
        <v>12.38</v>
      </c>
      <c r="L1331" s="49">
        <v>15.99</v>
      </c>
      <c r="M1331" s="49">
        <v>15.92</v>
      </c>
      <c r="N1331" s="49">
        <v>30.94</v>
      </c>
      <c r="O1331" s="49">
        <v>14.39</v>
      </c>
      <c r="P1331" s="49">
        <v>13.94</v>
      </c>
      <c r="Q1331" s="49">
        <v>18.260000000000002</v>
      </c>
      <c r="R1331" s="49">
        <v>8.8800000000000008</v>
      </c>
      <c r="S1331" s="49">
        <v>16.05</v>
      </c>
    </row>
    <row r="1332" spans="1:19" ht="18">
      <c r="A1332" s="49">
        <v>6224</v>
      </c>
      <c r="B1332" s="49" t="s">
        <v>1057</v>
      </c>
      <c r="C1332" s="49">
        <v>12.7</v>
      </c>
      <c r="D1332" s="49">
        <v>6.06</v>
      </c>
      <c r="E1332" s="49">
        <v>30.05</v>
      </c>
      <c r="F1332" s="49">
        <v>13.68</v>
      </c>
      <c r="G1332" s="49">
        <v>9.9600000000000009</v>
      </c>
      <c r="H1332" s="49">
        <v>11.4</v>
      </c>
      <c r="I1332" s="49">
        <v>13.64</v>
      </c>
      <c r="J1332" s="49">
        <v>13.31</v>
      </c>
      <c r="K1332" s="49">
        <v>11.6</v>
      </c>
      <c r="L1332" s="49">
        <v>11.15</v>
      </c>
      <c r="M1332" s="49">
        <v>13.49</v>
      </c>
      <c r="N1332" s="49">
        <v>11.63</v>
      </c>
      <c r="O1332" s="49">
        <v>16.98</v>
      </c>
      <c r="P1332" s="49">
        <v>19.899999999999999</v>
      </c>
      <c r="Q1332" s="49">
        <v>19.29</v>
      </c>
      <c r="R1332" s="49">
        <v>28.64</v>
      </c>
      <c r="S1332" s="49">
        <v>46.45</v>
      </c>
    </row>
    <row r="1333" spans="1:19" ht="18">
      <c r="A1333" s="49">
        <v>6225</v>
      </c>
      <c r="B1333" s="49" t="s">
        <v>1058</v>
      </c>
      <c r="C1333" s="49">
        <v>0</v>
      </c>
      <c r="D1333" s="49">
        <v>51.3</v>
      </c>
      <c r="E1333" s="49">
        <v>0</v>
      </c>
      <c r="F1333" s="49">
        <v>0</v>
      </c>
      <c r="G1333" s="49">
        <v>0</v>
      </c>
      <c r="H1333" s="49">
        <v>0</v>
      </c>
      <c r="I1333" s="49">
        <v>0</v>
      </c>
      <c r="J1333" s="49">
        <v>0</v>
      </c>
      <c r="K1333" s="49">
        <v>0</v>
      </c>
      <c r="L1333" s="49">
        <v>0</v>
      </c>
      <c r="M1333" s="49">
        <v>0</v>
      </c>
      <c r="N1333" s="49">
        <v>0</v>
      </c>
      <c r="O1333" s="49">
        <v>0</v>
      </c>
      <c r="P1333" s="49">
        <v>0</v>
      </c>
      <c r="Q1333" s="49">
        <v>0</v>
      </c>
      <c r="R1333" s="49">
        <v>0</v>
      </c>
      <c r="S1333" s="49">
        <v>0</v>
      </c>
    </row>
    <row r="1334" spans="1:19" ht="18">
      <c r="A1334" s="49">
        <v>6226</v>
      </c>
      <c r="B1334" s="49" t="s">
        <v>1059</v>
      </c>
      <c r="C1334" s="49">
        <v>20.13</v>
      </c>
      <c r="D1334" s="49">
        <v>6.23</v>
      </c>
      <c r="E1334" s="49">
        <v>0</v>
      </c>
      <c r="F1334" s="49">
        <v>21.43</v>
      </c>
      <c r="G1334" s="49">
        <v>0</v>
      </c>
      <c r="H1334" s="49">
        <v>0</v>
      </c>
      <c r="I1334" s="49">
        <v>0</v>
      </c>
      <c r="J1334" s="49">
        <v>20.83</v>
      </c>
      <c r="K1334" s="49">
        <v>0</v>
      </c>
      <c r="L1334" s="49">
        <v>0</v>
      </c>
      <c r="M1334" s="49">
        <v>14.03</v>
      </c>
      <c r="N1334" s="49">
        <v>68.08</v>
      </c>
      <c r="O1334" s="49">
        <v>414</v>
      </c>
      <c r="P1334" s="49">
        <v>12.76</v>
      </c>
      <c r="Q1334" s="49">
        <v>137.5</v>
      </c>
      <c r="R1334" s="49">
        <v>1020</v>
      </c>
      <c r="S1334" s="49">
        <v>0</v>
      </c>
    </row>
    <row r="1335" spans="1:19" ht="18">
      <c r="A1335" s="49">
        <v>6227</v>
      </c>
      <c r="B1335" s="49" t="s">
        <v>1783</v>
      </c>
      <c r="C1335" s="49">
        <v>7.74</v>
      </c>
      <c r="D1335" s="49">
        <v>7.71</v>
      </c>
      <c r="E1335" s="49">
        <v>17.53</v>
      </c>
      <c r="F1335" s="49">
        <v>9.44</v>
      </c>
      <c r="G1335" s="49">
        <v>15.87</v>
      </c>
      <c r="H1335" s="49">
        <v>12.28</v>
      </c>
      <c r="I1335" s="49">
        <v>55.87</v>
      </c>
      <c r="J1335" s="49">
        <v>12.13</v>
      </c>
      <c r="K1335" s="49">
        <v>10.029999999999999</v>
      </c>
      <c r="L1335" s="49">
        <v>9.75</v>
      </c>
      <c r="M1335" s="49">
        <v>12.83</v>
      </c>
      <c r="N1335" s="49">
        <v>9.02</v>
      </c>
      <c r="O1335" s="49">
        <v>9.75</v>
      </c>
      <c r="P1335" s="49">
        <v>12.95</v>
      </c>
      <c r="Q1335" s="49">
        <v>8.67</v>
      </c>
      <c r="R1335" s="49">
        <v>5.34</v>
      </c>
      <c r="S1335" s="49">
        <v>8.18</v>
      </c>
    </row>
    <row r="1336" spans="1:19" ht="18">
      <c r="A1336" s="49">
        <v>6228</v>
      </c>
      <c r="B1336" s="49" t="s">
        <v>1784</v>
      </c>
      <c r="C1336" s="49">
        <v>12.44</v>
      </c>
      <c r="D1336" s="49">
        <v>20.82</v>
      </c>
      <c r="E1336" s="49">
        <v>0</v>
      </c>
      <c r="F1336" s="49">
        <v>19.739999999999998</v>
      </c>
      <c r="G1336" s="49">
        <v>0</v>
      </c>
      <c r="H1336" s="49">
        <v>0</v>
      </c>
      <c r="I1336" s="49">
        <v>189.25</v>
      </c>
      <c r="J1336" s="49">
        <v>0</v>
      </c>
      <c r="K1336" s="49">
        <v>0</v>
      </c>
      <c r="L1336" s="49">
        <v>0</v>
      </c>
      <c r="M1336" s="49">
        <v>0</v>
      </c>
      <c r="N1336" s="49">
        <v>0</v>
      </c>
      <c r="O1336" s="49">
        <v>0</v>
      </c>
      <c r="P1336" s="49">
        <v>0</v>
      </c>
      <c r="Q1336" s="49">
        <v>0</v>
      </c>
      <c r="R1336" s="49">
        <v>0</v>
      </c>
      <c r="S1336" s="49">
        <v>0</v>
      </c>
    </row>
    <row r="1337" spans="1:19" ht="18">
      <c r="A1337" s="49">
        <v>6229</v>
      </c>
      <c r="B1337" s="49" t="s">
        <v>1785</v>
      </c>
      <c r="C1337" s="49">
        <v>15.06</v>
      </c>
      <c r="D1337" s="49">
        <v>7.44</v>
      </c>
      <c r="E1337" s="49">
        <v>66.56</v>
      </c>
      <c r="F1337" s="49">
        <v>12.5</v>
      </c>
      <c r="G1337" s="49">
        <v>13.69</v>
      </c>
      <c r="H1337" s="49">
        <v>103.64</v>
      </c>
      <c r="I1337" s="49">
        <v>20.52</v>
      </c>
      <c r="J1337" s="49">
        <v>22</v>
      </c>
      <c r="K1337" s="49">
        <v>31.43</v>
      </c>
      <c r="L1337" s="49">
        <v>26.5</v>
      </c>
      <c r="M1337" s="49">
        <v>24.93</v>
      </c>
      <c r="N1337" s="49">
        <v>15.12</v>
      </c>
      <c r="O1337" s="49">
        <v>26</v>
      </c>
      <c r="P1337" s="49">
        <v>26.49</v>
      </c>
      <c r="Q1337" s="49">
        <v>11.66</v>
      </c>
      <c r="R1337" s="49">
        <v>7.41</v>
      </c>
      <c r="S1337" s="49">
        <v>0</v>
      </c>
    </row>
    <row r="1338" spans="1:19" ht="18">
      <c r="A1338" s="49">
        <v>6230</v>
      </c>
      <c r="B1338" s="49" t="s">
        <v>1060</v>
      </c>
      <c r="C1338" s="49">
        <v>10.02</v>
      </c>
      <c r="D1338" s="49">
        <v>6.67</v>
      </c>
      <c r="E1338" s="49">
        <v>15.46</v>
      </c>
      <c r="F1338" s="49">
        <v>9.1</v>
      </c>
      <c r="G1338" s="49">
        <v>9.3800000000000008</v>
      </c>
      <c r="H1338" s="49">
        <v>10.69</v>
      </c>
      <c r="I1338" s="49">
        <v>17.7</v>
      </c>
      <c r="J1338" s="49">
        <v>12.81</v>
      </c>
      <c r="K1338" s="49">
        <v>18.86</v>
      </c>
      <c r="L1338" s="49">
        <v>13.05</v>
      </c>
      <c r="M1338" s="49">
        <v>12.83</v>
      </c>
      <c r="N1338" s="49">
        <v>23.15</v>
      </c>
      <c r="O1338" s="49">
        <v>31.17</v>
      </c>
      <c r="P1338" s="49">
        <v>27.23</v>
      </c>
      <c r="Q1338" s="49">
        <v>26.39</v>
      </c>
      <c r="R1338" s="49">
        <v>25.11</v>
      </c>
      <c r="S1338" s="49">
        <v>16.3</v>
      </c>
    </row>
    <row r="1339" spans="1:19" ht="18">
      <c r="A1339" s="49">
        <v>6231</v>
      </c>
      <c r="B1339" s="49" t="s">
        <v>1786</v>
      </c>
      <c r="C1339" s="49">
        <v>82.83</v>
      </c>
      <c r="D1339" s="49">
        <v>19.2</v>
      </c>
      <c r="E1339" s="49">
        <v>23.15</v>
      </c>
      <c r="F1339" s="49">
        <v>19.79</v>
      </c>
      <c r="G1339" s="49">
        <v>14.76</v>
      </c>
      <c r="H1339" s="49">
        <v>15.98</v>
      </c>
      <c r="I1339" s="49">
        <v>139.86000000000001</v>
      </c>
      <c r="J1339" s="49">
        <v>68.489999999999995</v>
      </c>
      <c r="K1339" s="49">
        <v>18.97</v>
      </c>
      <c r="L1339" s="49">
        <v>0</v>
      </c>
      <c r="M1339" s="49">
        <v>54.11</v>
      </c>
      <c r="N1339" s="49">
        <v>21.07</v>
      </c>
      <c r="O1339" s="49">
        <v>30.6</v>
      </c>
      <c r="P1339" s="49">
        <v>26.13</v>
      </c>
      <c r="Q1339" s="49">
        <v>21.17</v>
      </c>
      <c r="R1339" s="49">
        <v>9.76</v>
      </c>
      <c r="S1339" s="49">
        <v>52.96</v>
      </c>
    </row>
    <row r="1340" spans="1:19" ht="18">
      <c r="A1340" s="49">
        <v>6233</v>
      </c>
      <c r="B1340" s="49" t="s">
        <v>1787</v>
      </c>
      <c r="C1340" s="49">
        <v>41.75</v>
      </c>
      <c r="D1340" s="49">
        <v>199.29</v>
      </c>
      <c r="E1340" s="49">
        <v>700</v>
      </c>
      <c r="F1340" s="49">
        <v>0</v>
      </c>
      <c r="G1340" s="49">
        <v>107.86</v>
      </c>
      <c r="H1340" s="49">
        <v>0</v>
      </c>
      <c r="I1340" s="49">
        <v>0</v>
      </c>
      <c r="J1340" s="49">
        <v>0</v>
      </c>
      <c r="K1340" s="49">
        <v>0</v>
      </c>
      <c r="L1340" s="49">
        <v>0</v>
      </c>
      <c r="M1340" s="49">
        <v>0</v>
      </c>
      <c r="N1340" s="49">
        <v>0</v>
      </c>
      <c r="O1340" s="49">
        <v>0</v>
      </c>
      <c r="P1340" s="49">
        <v>795</v>
      </c>
      <c r="Q1340" s="49">
        <v>55.55</v>
      </c>
      <c r="R1340" s="49">
        <v>29.57</v>
      </c>
      <c r="S1340" s="49">
        <v>784</v>
      </c>
    </row>
    <row r="1341" spans="1:19" ht="18">
      <c r="A1341" s="49">
        <v>6234</v>
      </c>
      <c r="B1341" s="49" t="s">
        <v>1788</v>
      </c>
      <c r="C1341" s="49">
        <v>12.67</v>
      </c>
      <c r="D1341" s="49">
        <v>20.73</v>
      </c>
      <c r="E1341" s="49">
        <v>0</v>
      </c>
      <c r="F1341" s="49">
        <v>0</v>
      </c>
      <c r="G1341" s="49">
        <v>89.62</v>
      </c>
      <c r="H1341" s="49">
        <v>0</v>
      </c>
      <c r="I1341" s="49">
        <v>0</v>
      </c>
      <c r="J1341" s="49">
        <v>0</v>
      </c>
      <c r="K1341" s="49">
        <v>8.39</v>
      </c>
      <c r="L1341" s="49">
        <v>8.93</v>
      </c>
      <c r="M1341" s="49">
        <v>41</v>
      </c>
      <c r="N1341" s="49">
        <v>29.67</v>
      </c>
      <c r="O1341" s="49">
        <v>15.84</v>
      </c>
      <c r="P1341" s="49">
        <v>16.73</v>
      </c>
      <c r="Q1341" s="49">
        <v>17.46</v>
      </c>
      <c r="R1341" s="49">
        <v>12.9</v>
      </c>
      <c r="S1341" s="49">
        <v>19.43</v>
      </c>
    </row>
    <row r="1342" spans="1:19" ht="18">
      <c r="A1342" s="49">
        <v>6235</v>
      </c>
      <c r="B1342" s="49" t="s">
        <v>1061</v>
      </c>
      <c r="C1342" s="49">
        <v>0</v>
      </c>
      <c r="D1342" s="49">
        <v>0</v>
      </c>
      <c r="E1342" s="49">
        <v>0</v>
      </c>
      <c r="F1342" s="49">
        <v>0</v>
      </c>
      <c r="G1342" s="49">
        <v>0</v>
      </c>
      <c r="H1342" s="49">
        <v>0</v>
      </c>
      <c r="I1342" s="49">
        <v>0</v>
      </c>
      <c r="J1342" s="49">
        <v>0</v>
      </c>
      <c r="K1342" s="49">
        <v>0</v>
      </c>
      <c r="L1342" s="49">
        <v>20.68</v>
      </c>
      <c r="M1342" s="49">
        <v>2.85</v>
      </c>
      <c r="N1342" s="49">
        <v>16.47</v>
      </c>
      <c r="O1342" s="49">
        <v>0</v>
      </c>
      <c r="P1342" s="49">
        <v>5.62</v>
      </c>
      <c r="Q1342" s="49">
        <v>44.6</v>
      </c>
      <c r="R1342" s="49">
        <v>21.68</v>
      </c>
      <c r="S1342" s="49">
        <v>29.36</v>
      </c>
    </row>
    <row r="1343" spans="1:19" ht="18">
      <c r="A1343" s="49">
        <v>6236</v>
      </c>
      <c r="B1343" s="49" t="s">
        <v>1789</v>
      </c>
      <c r="C1343" s="49">
        <v>0</v>
      </c>
      <c r="D1343" s="49">
        <v>0</v>
      </c>
      <c r="E1343" s="49">
        <v>0</v>
      </c>
      <c r="F1343" s="49">
        <v>0</v>
      </c>
      <c r="G1343" s="49">
        <v>16.579999999999998</v>
      </c>
      <c r="H1343" s="49">
        <v>0</v>
      </c>
      <c r="I1343" s="49">
        <v>0</v>
      </c>
      <c r="J1343" s="49">
        <v>54.88</v>
      </c>
      <c r="K1343" s="49">
        <v>0</v>
      </c>
      <c r="L1343" s="49">
        <v>0</v>
      </c>
      <c r="M1343" s="49">
        <v>0</v>
      </c>
      <c r="N1343" s="49">
        <v>0</v>
      </c>
      <c r="O1343" s="49">
        <v>0</v>
      </c>
      <c r="P1343" s="49">
        <v>0</v>
      </c>
      <c r="Q1343" s="49">
        <v>0</v>
      </c>
      <c r="R1343" s="49">
        <v>0</v>
      </c>
      <c r="S1343" s="49">
        <v>0</v>
      </c>
    </row>
    <row r="1344" spans="1:19" ht="18">
      <c r="A1344" s="49">
        <v>6237</v>
      </c>
      <c r="B1344" s="49" t="s">
        <v>1790</v>
      </c>
      <c r="C1344" s="49">
        <v>16.39</v>
      </c>
      <c r="D1344" s="49">
        <v>13.75</v>
      </c>
      <c r="E1344" s="49">
        <v>0</v>
      </c>
      <c r="F1344" s="49">
        <v>42.67</v>
      </c>
      <c r="G1344" s="49">
        <v>0</v>
      </c>
      <c r="H1344" s="49">
        <v>0</v>
      </c>
      <c r="I1344" s="49">
        <v>0</v>
      </c>
      <c r="J1344" s="49">
        <v>22.06</v>
      </c>
      <c r="K1344" s="49">
        <v>23.8</v>
      </c>
      <c r="L1344" s="49">
        <v>43.31</v>
      </c>
      <c r="M1344" s="49">
        <v>9.82</v>
      </c>
      <c r="N1344" s="49">
        <v>358</v>
      </c>
      <c r="O1344" s="49">
        <v>0</v>
      </c>
      <c r="P1344" s="49">
        <v>61.77</v>
      </c>
      <c r="Q1344" s="49">
        <v>14.23</v>
      </c>
      <c r="R1344" s="49">
        <v>0</v>
      </c>
      <c r="S1344" s="49">
        <v>0</v>
      </c>
    </row>
    <row r="1345" spans="1:19" ht="18">
      <c r="A1345" s="49">
        <v>6239</v>
      </c>
      <c r="B1345" s="49" t="s">
        <v>1062</v>
      </c>
      <c r="C1345" s="49">
        <v>11.01</v>
      </c>
      <c r="D1345" s="49">
        <v>5.14</v>
      </c>
      <c r="E1345" s="49">
        <v>14.84</v>
      </c>
      <c r="F1345" s="49">
        <v>9.24</v>
      </c>
      <c r="G1345" s="49">
        <v>7.46</v>
      </c>
      <c r="H1345" s="49">
        <v>13.45</v>
      </c>
      <c r="I1345" s="49">
        <v>15.13</v>
      </c>
      <c r="J1345" s="49">
        <v>0</v>
      </c>
      <c r="K1345" s="49">
        <v>14.08</v>
      </c>
      <c r="L1345" s="49">
        <v>14.67</v>
      </c>
      <c r="M1345" s="49">
        <v>12.15</v>
      </c>
      <c r="N1345" s="49">
        <v>7.87</v>
      </c>
      <c r="O1345" s="49">
        <v>15.14</v>
      </c>
      <c r="P1345" s="49">
        <v>10.36</v>
      </c>
      <c r="Q1345" s="49">
        <v>9.32</v>
      </c>
      <c r="R1345" s="49">
        <v>6.02</v>
      </c>
      <c r="S1345" s="49">
        <v>19.53</v>
      </c>
    </row>
    <row r="1346" spans="1:19" ht="18">
      <c r="A1346" s="49">
        <v>6240</v>
      </c>
      <c r="B1346" s="49" t="s">
        <v>1791</v>
      </c>
      <c r="C1346" s="49">
        <v>0</v>
      </c>
      <c r="D1346" s="49">
        <v>0</v>
      </c>
      <c r="E1346" s="49">
        <v>0</v>
      </c>
      <c r="F1346" s="49">
        <v>0</v>
      </c>
      <c r="G1346" s="49">
        <v>0</v>
      </c>
      <c r="H1346" s="49">
        <v>5.72</v>
      </c>
      <c r="I1346" s="49">
        <v>0</v>
      </c>
      <c r="J1346" s="49">
        <v>8.49</v>
      </c>
      <c r="K1346" s="49">
        <v>11.13</v>
      </c>
      <c r="L1346" s="49">
        <v>108.62</v>
      </c>
      <c r="M1346" s="49">
        <v>0</v>
      </c>
      <c r="N1346" s="49">
        <v>0</v>
      </c>
      <c r="O1346" s="49">
        <v>20.440000000000001</v>
      </c>
      <c r="P1346" s="49">
        <v>0</v>
      </c>
      <c r="Q1346" s="49">
        <v>11.37</v>
      </c>
      <c r="R1346" s="49">
        <v>11.06</v>
      </c>
      <c r="S1346" s="49">
        <v>0</v>
      </c>
    </row>
    <row r="1347" spans="1:19" ht="18">
      <c r="A1347" s="49">
        <v>6241</v>
      </c>
      <c r="B1347" s="49" t="s">
        <v>1792</v>
      </c>
      <c r="C1347" s="49">
        <v>0</v>
      </c>
      <c r="D1347" s="49">
        <v>0</v>
      </c>
      <c r="E1347" s="49">
        <v>62.97</v>
      </c>
      <c r="F1347" s="49">
        <v>15.87</v>
      </c>
      <c r="G1347" s="49">
        <v>0</v>
      </c>
      <c r="H1347" s="49">
        <v>10.97</v>
      </c>
      <c r="I1347" s="49">
        <v>15.41</v>
      </c>
      <c r="J1347" s="49">
        <v>15.6</v>
      </c>
      <c r="K1347" s="49">
        <v>0</v>
      </c>
      <c r="L1347" s="49">
        <v>0</v>
      </c>
      <c r="M1347" s="49">
        <v>0</v>
      </c>
      <c r="N1347" s="49">
        <v>0</v>
      </c>
      <c r="O1347" s="49">
        <v>0</v>
      </c>
      <c r="P1347" s="49">
        <v>102.14</v>
      </c>
      <c r="Q1347" s="49">
        <v>0</v>
      </c>
      <c r="R1347" s="49">
        <v>0</v>
      </c>
      <c r="S1347" s="49">
        <v>0</v>
      </c>
    </row>
    <row r="1348" spans="1:19" ht="18">
      <c r="A1348" s="49">
        <v>6242</v>
      </c>
      <c r="B1348" s="49" t="s">
        <v>1793</v>
      </c>
      <c r="C1348" s="49">
        <v>36.200000000000003</v>
      </c>
      <c r="D1348" s="49">
        <v>0</v>
      </c>
      <c r="E1348" s="49">
        <v>0</v>
      </c>
      <c r="F1348" s="49">
        <v>0</v>
      </c>
      <c r="G1348" s="49">
        <v>0</v>
      </c>
      <c r="H1348" s="49">
        <v>0</v>
      </c>
      <c r="I1348" s="49">
        <v>0</v>
      </c>
      <c r="J1348" s="49">
        <v>0</v>
      </c>
      <c r="K1348" s="49">
        <v>76.5</v>
      </c>
      <c r="L1348" s="49">
        <v>19.16</v>
      </c>
      <c r="M1348" s="49">
        <v>10.84</v>
      </c>
      <c r="N1348" s="49">
        <v>11.21</v>
      </c>
      <c r="O1348" s="49">
        <v>12.78</v>
      </c>
      <c r="P1348" s="49">
        <v>13.64</v>
      </c>
      <c r="Q1348" s="49">
        <v>14.24</v>
      </c>
      <c r="R1348" s="49">
        <v>13.46</v>
      </c>
      <c r="S1348" s="49">
        <v>13.46</v>
      </c>
    </row>
    <row r="1349" spans="1:19" ht="18">
      <c r="A1349" s="49">
        <v>6243</v>
      </c>
      <c r="B1349" s="49" t="s">
        <v>1063</v>
      </c>
      <c r="C1349" s="49">
        <v>15.41</v>
      </c>
      <c r="D1349" s="49">
        <v>16.55</v>
      </c>
      <c r="E1349" s="49">
        <v>50.69</v>
      </c>
      <c r="F1349" s="49">
        <v>17.239999999999998</v>
      </c>
      <c r="G1349" s="49">
        <v>217.86</v>
      </c>
      <c r="H1349" s="49">
        <v>0</v>
      </c>
      <c r="I1349" s="49">
        <v>0</v>
      </c>
      <c r="J1349" s="49">
        <v>0</v>
      </c>
      <c r="K1349" s="49">
        <v>0</v>
      </c>
      <c r="L1349" s="49">
        <v>0</v>
      </c>
      <c r="M1349" s="49">
        <v>0</v>
      </c>
      <c r="N1349" s="49">
        <v>0</v>
      </c>
      <c r="O1349" s="49">
        <v>0</v>
      </c>
      <c r="P1349" s="49">
        <v>0</v>
      </c>
      <c r="Q1349" s="49">
        <v>137.21</v>
      </c>
      <c r="R1349" s="49">
        <v>13.39</v>
      </c>
      <c r="S1349" s="49">
        <v>42.87</v>
      </c>
    </row>
    <row r="1350" spans="1:19" ht="18">
      <c r="A1350" s="49">
        <v>6244</v>
      </c>
      <c r="B1350" s="49" t="s">
        <v>1794</v>
      </c>
      <c r="C1350" s="49">
        <v>22.33</v>
      </c>
      <c r="D1350" s="49">
        <v>8.0299999999999994</v>
      </c>
      <c r="E1350" s="49">
        <v>262.07</v>
      </c>
      <c r="F1350" s="49">
        <v>11.79</v>
      </c>
      <c r="G1350" s="49">
        <v>22.41</v>
      </c>
      <c r="H1350" s="49">
        <v>0</v>
      </c>
      <c r="I1350" s="49">
        <v>0</v>
      </c>
      <c r="J1350" s="49">
        <v>0</v>
      </c>
      <c r="K1350" s="49">
        <v>0</v>
      </c>
      <c r="L1350" s="49">
        <v>29.18</v>
      </c>
      <c r="M1350" s="49">
        <v>0</v>
      </c>
      <c r="N1350" s="49">
        <v>0</v>
      </c>
      <c r="O1350" s="49">
        <v>0</v>
      </c>
      <c r="P1350" s="49">
        <v>0</v>
      </c>
      <c r="Q1350" s="49">
        <v>517.14</v>
      </c>
      <c r="R1350" s="49">
        <v>55.88</v>
      </c>
      <c r="S1350" s="49">
        <v>33</v>
      </c>
    </row>
    <row r="1351" spans="1:19" ht="18">
      <c r="A1351" s="49">
        <v>6245</v>
      </c>
      <c r="B1351" s="49" t="s">
        <v>1795</v>
      </c>
      <c r="C1351" s="49">
        <v>15.65</v>
      </c>
      <c r="D1351" s="49">
        <v>4.34</v>
      </c>
      <c r="E1351" s="49">
        <v>0</v>
      </c>
      <c r="F1351" s="49">
        <v>94.47</v>
      </c>
      <c r="G1351" s="49">
        <v>13.4</v>
      </c>
      <c r="H1351" s="49">
        <v>11.27</v>
      </c>
      <c r="I1351" s="49">
        <v>16.68</v>
      </c>
      <c r="J1351" s="49">
        <v>15.33</v>
      </c>
      <c r="K1351" s="49">
        <v>11.15</v>
      </c>
      <c r="L1351" s="49">
        <v>11.67</v>
      </c>
      <c r="M1351" s="49">
        <v>14.2</v>
      </c>
      <c r="N1351" s="49">
        <v>11.9</v>
      </c>
      <c r="O1351" s="49">
        <v>16.04</v>
      </c>
      <c r="P1351" s="49">
        <v>13.69</v>
      </c>
      <c r="Q1351" s="49">
        <v>14.17</v>
      </c>
      <c r="R1351" s="49">
        <v>11.87</v>
      </c>
      <c r="S1351" s="49">
        <v>12.84</v>
      </c>
    </row>
    <row r="1352" spans="1:19" ht="18">
      <c r="A1352" s="49">
        <v>6246</v>
      </c>
      <c r="B1352" s="49" t="s">
        <v>1796</v>
      </c>
      <c r="C1352" s="49">
        <v>0</v>
      </c>
      <c r="D1352" s="49">
        <v>0</v>
      </c>
      <c r="E1352" s="49">
        <v>0</v>
      </c>
      <c r="F1352" s="49">
        <v>37.54</v>
      </c>
      <c r="G1352" s="49">
        <v>10.64</v>
      </c>
      <c r="H1352" s="49">
        <v>0</v>
      </c>
      <c r="I1352" s="49">
        <v>0</v>
      </c>
      <c r="J1352" s="49">
        <v>0</v>
      </c>
      <c r="K1352" s="49">
        <v>0</v>
      </c>
      <c r="L1352" s="49">
        <v>10.99</v>
      </c>
      <c r="M1352" s="49">
        <v>3.08</v>
      </c>
      <c r="N1352" s="49">
        <v>24.02</v>
      </c>
      <c r="O1352" s="49">
        <v>0</v>
      </c>
      <c r="P1352" s="49">
        <v>0</v>
      </c>
      <c r="Q1352" s="49">
        <v>15.71</v>
      </c>
      <c r="R1352" s="49">
        <v>23.33</v>
      </c>
      <c r="S1352" s="49">
        <v>0</v>
      </c>
    </row>
    <row r="1353" spans="1:19" ht="18">
      <c r="A1353" s="49">
        <v>6247</v>
      </c>
      <c r="B1353" s="49" t="s">
        <v>1797</v>
      </c>
      <c r="C1353" s="49">
        <v>43.33</v>
      </c>
      <c r="D1353" s="49">
        <v>27.07</v>
      </c>
      <c r="E1353" s="49">
        <v>27.47</v>
      </c>
      <c r="F1353" s="49">
        <v>11.15</v>
      </c>
      <c r="G1353" s="49">
        <v>0</v>
      </c>
      <c r="H1353" s="49">
        <v>0</v>
      </c>
      <c r="I1353" s="49">
        <v>37.5</v>
      </c>
      <c r="J1353" s="49">
        <v>0</v>
      </c>
      <c r="K1353" s="49">
        <v>6.86</v>
      </c>
      <c r="L1353" s="49">
        <v>187.2</v>
      </c>
      <c r="M1353" s="49">
        <v>0</v>
      </c>
      <c r="N1353" s="49">
        <v>0</v>
      </c>
      <c r="O1353" s="49">
        <v>0</v>
      </c>
      <c r="P1353" s="49">
        <v>0</v>
      </c>
      <c r="Q1353" s="49">
        <v>0</v>
      </c>
      <c r="R1353" s="49">
        <v>0</v>
      </c>
      <c r="S1353" s="49">
        <v>0</v>
      </c>
    </row>
    <row r="1354" spans="1:19" ht="18">
      <c r="A1354" s="49">
        <v>6248</v>
      </c>
      <c r="B1354" s="49" t="s">
        <v>1798</v>
      </c>
      <c r="C1354" s="49">
        <v>347.5</v>
      </c>
      <c r="D1354" s="49">
        <v>0</v>
      </c>
      <c r="E1354" s="49">
        <v>0</v>
      </c>
      <c r="F1354" s="49">
        <v>0</v>
      </c>
      <c r="G1354" s="49">
        <v>0</v>
      </c>
      <c r="H1354" s="49">
        <v>0</v>
      </c>
      <c r="I1354" s="49">
        <v>0</v>
      </c>
      <c r="J1354" s="49">
        <v>0</v>
      </c>
      <c r="K1354" s="49">
        <v>18.12</v>
      </c>
      <c r="L1354" s="49">
        <v>13.29</v>
      </c>
      <c r="M1354" s="49">
        <v>37.32</v>
      </c>
      <c r="N1354" s="49">
        <v>0</v>
      </c>
      <c r="O1354" s="49">
        <v>11.75</v>
      </c>
      <c r="P1354" s="49">
        <v>12.72</v>
      </c>
      <c r="Q1354" s="49">
        <v>15.72</v>
      </c>
      <c r="R1354" s="49">
        <v>9.51</v>
      </c>
      <c r="S1354" s="49">
        <v>10.39</v>
      </c>
    </row>
    <row r="1355" spans="1:19" ht="18">
      <c r="A1355" s="49">
        <v>6257</v>
      </c>
      <c r="B1355" s="49" t="s">
        <v>1064</v>
      </c>
      <c r="C1355" s="49">
        <v>8.52</v>
      </c>
      <c r="D1355" s="49">
        <v>3.94</v>
      </c>
      <c r="E1355" s="49">
        <v>26.14</v>
      </c>
      <c r="F1355" s="49">
        <v>8.01</v>
      </c>
      <c r="G1355" s="49">
        <v>8.84</v>
      </c>
      <c r="H1355" s="49">
        <v>10.97</v>
      </c>
      <c r="I1355" s="49">
        <v>10.31</v>
      </c>
      <c r="J1355" s="49">
        <v>10.89</v>
      </c>
      <c r="K1355" s="49">
        <v>9.8000000000000007</v>
      </c>
      <c r="L1355" s="49">
        <v>11.42</v>
      </c>
      <c r="M1355" s="49">
        <v>15.25</v>
      </c>
      <c r="N1355" s="49">
        <v>7.8</v>
      </c>
      <c r="O1355" s="49">
        <v>13.79</v>
      </c>
      <c r="P1355" s="49">
        <v>10.96</v>
      </c>
      <c r="Q1355" s="49">
        <v>10.24</v>
      </c>
      <c r="R1355" s="49">
        <v>6.37</v>
      </c>
      <c r="S1355" s="49">
        <v>17.34</v>
      </c>
    </row>
    <row r="1356" spans="1:19" ht="18">
      <c r="A1356" s="49">
        <v>6259</v>
      </c>
      <c r="B1356" s="49" t="s">
        <v>1799</v>
      </c>
      <c r="C1356" s="49">
        <v>0</v>
      </c>
      <c r="D1356" s="49">
        <v>0</v>
      </c>
      <c r="E1356" s="49">
        <v>0</v>
      </c>
      <c r="F1356" s="49">
        <v>27.93</v>
      </c>
      <c r="G1356" s="49">
        <v>214</v>
      </c>
      <c r="H1356" s="49">
        <v>0</v>
      </c>
      <c r="I1356" s="49">
        <v>0</v>
      </c>
      <c r="J1356" s="49">
        <v>0</v>
      </c>
      <c r="K1356" s="49">
        <v>0</v>
      </c>
      <c r="L1356" s="49">
        <v>0</v>
      </c>
      <c r="M1356" s="49">
        <v>0</v>
      </c>
      <c r="N1356" s="49">
        <v>0</v>
      </c>
      <c r="O1356" s="49">
        <v>4.12</v>
      </c>
      <c r="P1356" s="49">
        <v>56.52</v>
      </c>
      <c r="Q1356" s="49">
        <v>60.29</v>
      </c>
      <c r="R1356" s="49">
        <v>14.89</v>
      </c>
      <c r="S1356" s="49">
        <v>25.33</v>
      </c>
    </row>
    <row r="1357" spans="1:19" ht="18">
      <c r="A1357" s="49">
        <v>6261</v>
      </c>
      <c r="B1357" s="49" t="s">
        <v>1800</v>
      </c>
      <c r="C1357" s="49">
        <v>12.74</v>
      </c>
      <c r="D1357" s="49">
        <v>4.25</v>
      </c>
      <c r="E1357" s="49">
        <v>22.69</v>
      </c>
      <c r="F1357" s="49">
        <v>10.82</v>
      </c>
      <c r="G1357" s="49">
        <v>7.62</v>
      </c>
      <c r="H1357" s="49">
        <v>11.96</v>
      </c>
      <c r="I1357" s="49">
        <v>13.72</v>
      </c>
      <c r="J1357" s="49">
        <v>11.84</v>
      </c>
      <c r="K1357" s="49">
        <v>12.4</v>
      </c>
      <c r="L1357" s="49">
        <v>13.05</v>
      </c>
      <c r="M1357" s="49">
        <v>16.239999999999998</v>
      </c>
      <c r="N1357" s="49">
        <v>11.34</v>
      </c>
      <c r="O1357" s="49">
        <v>16.18</v>
      </c>
      <c r="P1357" s="49">
        <v>13.63</v>
      </c>
      <c r="Q1357" s="49">
        <v>11.14</v>
      </c>
      <c r="R1357" s="49">
        <v>7.41</v>
      </c>
      <c r="S1357" s="49">
        <v>20.97</v>
      </c>
    </row>
    <row r="1358" spans="1:19" ht="18">
      <c r="A1358" s="49">
        <v>6263</v>
      </c>
      <c r="B1358" s="49" t="s">
        <v>1801</v>
      </c>
      <c r="C1358" s="49">
        <v>10.050000000000001</v>
      </c>
      <c r="D1358" s="49">
        <v>6.67</v>
      </c>
      <c r="E1358" s="49">
        <v>17.600000000000001</v>
      </c>
      <c r="F1358" s="49">
        <v>13.7</v>
      </c>
      <c r="G1358" s="49">
        <v>14.83</v>
      </c>
      <c r="H1358" s="49">
        <v>10.48</v>
      </c>
      <c r="I1358" s="49">
        <v>12.79</v>
      </c>
      <c r="J1358" s="49">
        <v>11.55</v>
      </c>
      <c r="K1358" s="49">
        <v>10.17</v>
      </c>
      <c r="L1358" s="49">
        <v>11.13</v>
      </c>
      <c r="M1358" s="49">
        <v>13.25</v>
      </c>
      <c r="N1358" s="49">
        <v>11.64</v>
      </c>
      <c r="O1358" s="49">
        <v>13.16</v>
      </c>
      <c r="P1358" s="49">
        <v>14.12</v>
      </c>
      <c r="Q1358" s="49">
        <v>13.8</v>
      </c>
      <c r="R1358" s="49">
        <v>14.23</v>
      </c>
      <c r="S1358" s="49">
        <v>17.84</v>
      </c>
    </row>
    <row r="1359" spans="1:19" ht="18">
      <c r="A1359" s="49">
        <v>6264</v>
      </c>
      <c r="B1359" s="49" t="s">
        <v>1802</v>
      </c>
      <c r="C1359" s="49">
        <v>0</v>
      </c>
      <c r="D1359" s="49">
        <v>0</v>
      </c>
      <c r="E1359" s="49">
        <v>0</v>
      </c>
      <c r="F1359" s="49">
        <v>0</v>
      </c>
      <c r="G1359" s="49">
        <v>50</v>
      </c>
      <c r="H1359" s="49">
        <v>0</v>
      </c>
      <c r="I1359" s="49">
        <v>0</v>
      </c>
      <c r="J1359" s="49">
        <v>133.57</v>
      </c>
      <c r="K1359" s="49">
        <v>0</v>
      </c>
      <c r="L1359" s="49">
        <v>0</v>
      </c>
      <c r="M1359" s="49">
        <v>9.5399999999999991</v>
      </c>
      <c r="N1359" s="49">
        <v>0</v>
      </c>
      <c r="O1359" s="49">
        <v>0</v>
      </c>
      <c r="P1359" s="49">
        <v>0</v>
      </c>
      <c r="Q1359" s="49">
        <v>99.44</v>
      </c>
      <c r="R1359" s="49">
        <v>0</v>
      </c>
      <c r="S1359" s="49">
        <v>0</v>
      </c>
    </row>
    <row r="1360" spans="1:19" ht="18">
      <c r="A1360" s="49">
        <v>6265</v>
      </c>
      <c r="B1360" s="49" t="s">
        <v>1803</v>
      </c>
      <c r="C1360" s="49">
        <v>37.86</v>
      </c>
      <c r="D1360" s="49">
        <v>4.1399999999999997</v>
      </c>
      <c r="E1360" s="49">
        <v>0</v>
      </c>
      <c r="F1360" s="49">
        <v>15.88</v>
      </c>
      <c r="G1360" s="49">
        <v>0</v>
      </c>
      <c r="H1360" s="49">
        <v>0</v>
      </c>
      <c r="I1360" s="49">
        <v>32.590000000000003</v>
      </c>
      <c r="J1360" s="49">
        <v>20.329999999999998</v>
      </c>
      <c r="K1360" s="49">
        <v>10.08</v>
      </c>
      <c r="L1360" s="49">
        <v>180.75</v>
      </c>
      <c r="M1360" s="49">
        <v>0</v>
      </c>
      <c r="N1360" s="49">
        <v>0</v>
      </c>
      <c r="O1360" s="49">
        <v>14.87</v>
      </c>
      <c r="P1360" s="49">
        <v>0</v>
      </c>
      <c r="Q1360" s="49">
        <v>27.08</v>
      </c>
      <c r="R1360" s="49">
        <v>25.49</v>
      </c>
      <c r="S1360" s="49">
        <v>0</v>
      </c>
    </row>
    <row r="1361" spans="1:19" ht="18">
      <c r="A1361" s="49">
        <v>6266</v>
      </c>
      <c r="B1361" s="49" t="s">
        <v>1804</v>
      </c>
      <c r="C1361" s="49">
        <v>9.94</v>
      </c>
      <c r="D1361" s="49">
        <v>17.399999999999999</v>
      </c>
      <c r="E1361" s="49">
        <v>0</v>
      </c>
      <c r="F1361" s="49">
        <v>8.68</v>
      </c>
      <c r="G1361" s="49">
        <v>21.43</v>
      </c>
      <c r="H1361" s="49">
        <v>14</v>
      </c>
      <c r="I1361" s="49">
        <v>133.86000000000001</v>
      </c>
      <c r="J1361" s="49">
        <v>9.7100000000000009</v>
      </c>
      <c r="K1361" s="49">
        <v>9.57</v>
      </c>
      <c r="L1361" s="49">
        <v>10.35</v>
      </c>
      <c r="M1361" s="49">
        <v>10.23</v>
      </c>
      <c r="N1361" s="49">
        <v>9.18</v>
      </c>
      <c r="O1361" s="49">
        <v>10.98</v>
      </c>
      <c r="P1361" s="49">
        <v>10.81</v>
      </c>
      <c r="Q1361" s="49">
        <v>22.23</v>
      </c>
      <c r="R1361" s="49">
        <v>8.67</v>
      </c>
      <c r="S1361" s="49">
        <v>12.94</v>
      </c>
    </row>
    <row r="1362" spans="1:19" ht="18">
      <c r="A1362" s="49">
        <v>6269</v>
      </c>
      <c r="B1362" s="49" t="s">
        <v>1065</v>
      </c>
      <c r="C1362" s="49">
        <v>70.19</v>
      </c>
      <c r="D1362" s="49">
        <v>5.52</v>
      </c>
      <c r="E1362" s="49">
        <v>21.95</v>
      </c>
      <c r="F1362" s="49">
        <v>13.26</v>
      </c>
      <c r="G1362" s="49">
        <v>15.69</v>
      </c>
      <c r="H1362" s="49">
        <v>13.06</v>
      </c>
      <c r="I1362" s="49">
        <v>11.02</v>
      </c>
      <c r="J1362" s="49">
        <v>11.68</v>
      </c>
      <c r="K1362" s="49">
        <v>7.31</v>
      </c>
      <c r="L1362" s="49">
        <v>11.25</v>
      </c>
      <c r="M1362" s="49">
        <v>12.21</v>
      </c>
      <c r="N1362" s="49">
        <v>8.35</v>
      </c>
      <c r="O1362" s="49">
        <v>13.25</v>
      </c>
      <c r="P1362" s="49">
        <v>13.36</v>
      </c>
      <c r="Q1362" s="49">
        <v>12.09</v>
      </c>
      <c r="R1362" s="49">
        <v>7.38</v>
      </c>
      <c r="S1362" s="49">
        <v>14.38</v>
      </c>
    </row>
    <row r="1363" spans="1:19" ht="18">
      <c r="A1363" s="49">
        <v>6270</v>
      </c>
      <c r="B1363" s="49" t="s">
        <v>1805</v>
      </c>
      <c r="C1363" s="49">
        <v>7.8</v>
      </c>
      <c r="D1363" s="49">
        <v>4.66</v>
      </c>
      <c r="E1363" s="49">
        <v>16.52</v>
      </c>
      <c r="F1363" s="49">
        <v>10.47</v>
      </c>
      <c r="G1363" s="49">
        <v>10.81</v>
      </c>
      <c r="H1363" s="49">
        <v>0</v>
      </c>
      <c r="I1363" s="49">
        <v>0</v>
      </c>
      <c r="J1363" s="49">
        <v>26</v>
      </c>
      <c r="K1363" s="49">
        <v>30.44</v>
      </c>
      <c r="L1363" s="49">
        <v>28.47</v>
      </c>
      <c r="M1363" s="49">
        <v>36.76</v>
      </c>
      <c r="N1363" s="49">
        <v>15.6</v>
      </c>
      <c r="O1363" s="49">
        <v>13.6</v>
      </c>
      <c r="P1363" s="49">
        <v>16.559999999999999</v>
      </c>
      <c r="Q1363" s="49">
        <v>11.69</v>
      </c>
      <c r="R1363" s="49">
        <v>9.69</v>
      </c>
      <c r="S1363" s="49">
        <v>18.38</v>
      </c>
    </row>
    <row r="1364" spans="1:19" ht="18">
      <c r="A1364" s="49">
        <v>6271</v>
      </c>
      <c r="B1364" s="49" t="s">
        <v>1066</v>
      </c>
      <c r="C1364" s="49">
        <v>24.36</v>
      </c>
      <c r="D1364" s="49">
        <v>5.85</v>
      </c>
      <c r="E1364" s="49">
        <v>41.58</v>
      </c>
      <c r="F1364" s="49">
        <v>25.3</v>
      </c>
      <c r="G1364" s="49">
        <v>13.51</v>
      </c>
      <c r="H1364" s="49">
        <v>16.11</v>
      </c>
      <c r="I1364" s="49">
        <v>13.03</v>
      </c>
      <c r="J1364" s="49">
        <v>11.19</v>
      </c>
      <c r="K1364" s="49">
        <v>11.08</v>
      </c>
      <c r="L1364" s="49">
        <v>18.55</v>
      </c>
      <c r="M1364" s="49">
        <v>22.73</v>
      </c>
      <c r="N1364" s="49">
        <v>17.420000000000002</v>
      </c>
      <c r="O1364" s="49">
        <v>32.74</v>
      </c>
      <c r="P1364" s="49">
        <v>26.22</v>
      </c>
      <c r="Q1364" s="49">
        <v>21.07</v>
      </c>
      <c r="R1364" s="49">
        <v>10.01</v>
      </c>
      <c r="S1364" s="49">
        <v>29.22</v>
      </c>
    </row>
    <row r="1365" spans="1:19" ht="18">
      <c r="A1365" s="49">
        <v>6274</v>
      </c>
      <c r="B1365" s="49" t="s">
        <v>1806</v>
      </c>
      <c r="C1365" s="49">
        <v>10.41</v>
      </c>
      <c r="D1365" s="49">
        <v>3.2</v>
      </c>
      <c r="E1365" s="49">
        <v>0</v>
      </c>
      <c r="F1365" s="49">
        <v>11.82</v>
      </c>
      <c r="G1365" s="49">
        <v>10.78</v>
      </c>
      <c r="H1365" s="49">
        <v>8.83</v>
      </c>
      <c r="I1365" s="49">
        <v>10.09</v>
      </c>
      <c r="J1365" s="49">
        <v>9.35</v>
      </c>
      <c r="K1365" s="49">
        <v>8.2799999999999994</v>
      </c>
      <c r="L1365" s="49">
        <v>10.92</v>
      </c>
      <c r="M1365" s="49">
        <v>18.62</v>
      </c>
      <c r="N1365" s="49">
        <v>14.12</v>
      </c>
      <c r="O1365" s="49">
        <v>20.36</v>
      </c>
      <c r="P1365" s="49">
        <v>17.41</v>
      </c>
      <c r="Q1365" s="49">
        <v>15.25</v>
      </c>
      <c r="R1365" s="49">
        <v>10.199999999999999</v>
      </c>
      <c r="S1365" s="49">
        <v>47.01</v>
      </c>
    </row>
    <row r="1366" spans="1:19" ht="18">
      <c r="A1366" s="49">
        <v>6275</v>
      </c>
      <c r="B1366" s="49" t="s">
        <v>1807</v>
      </c>
      <c r="C1366" s="49">
        <v>20.9</v>
      </c>
      <c r="D1366" s="49">
        <v>13.3</v>
      </c>
      <c r="E1366" s="49">
        <v>0</v>
      </c>
      <c r="F1366" s="49">
        <v>24.7</v>
      </c>
      <c r="G1366" s="49">
        <v>25.33</v>
      </c>
      <c r="H1366" s="49">
        <v>0</v>
      </c>
      <c r="I1366" s="49">
        <v>52.8</v>
      </c>
      <c r="J1366" s="49">
        <v>25.47</v>
      </c>
      <c r="K1366" s="49">
        <v>29.15</v>
      </c>
      <c r="L1366" s="49">
        <v>17.62</v>
      </c>
      <c r="M1366" s="49">
        <v>17.010000000000002</v>
      </c>
      <c r="N1366" s="49">
        <v>0</v>
      </c>
      <c r="O1366" s="49">
        <v>22.93</v>
      </c>
      <c r="P1366" s="49">
        <v>15.86</v>
      </c>
      <c r="Q1366" s="49">
        <v>14.52</v>
      </c>
      <c r="R1366" s="49">
        <v>8.66</v>
      </c>
      <c r="S1366" s="49">
        <v>20.92</v>
      </c>
    </row>
    <row r="1367" spans="1:19" ht="18">
      <c r="A1367" s="49">
        <v>6276</v>
      </c>
      <c r="B1367" s="49" t="s">
        <v>1808</v>
      </c>
      <c r="C1367" s="49">
        <v>0</v>
      </c>
      <c r="D1367" s="49">
        <v>0</v>
      </c>
      <c r="E1367" s="49">
        <v>0</v>
      </c>
      <c r="F1367" s="49">
        <v>0</v>
      </c>
      <c r="G1367" s="49">
        <v>0</v>
      </c>
      <c r="H1367" s="49">
        <v>0</v>
      </c>
      <c r="I1367" s="49">
        <v>21.63</v>
      </c>
      <c r="J1367" s="49">
        <v>20.36</v>
      </c>
      <c r="K1367" s="49">
        <v>0</v>
      </c>
      <c r="L1367" s="49">
        <v>0</v>
      </c>
      <c r="M1367" s="49">
        <v>0</v>
      </c>
      <c r="N1367" s="49">
        <v>0</v>
      </c>
      <c r="O1367" s="49">
        <v>30.95</v>
      </c>
      <c r="P1367" s="49">
        <v>15.2</v>
      </c>
      <c r="Q1367" s="49">
        <v>8.94</v>
      </c>
      <c r="R1367" s="49">
        <v>0</v>
      </c>
      <c r="S1367" s="49">
        <v>18.66</v>
      </c>
    </row>
    <row r="1368" spans="1:19" ht="18">
      <c r="A1368" s="49">
        <v>6277</v>
      </c>
      <c r="B1368" s="49" t="s">
        <v>1067</v>
      </c>
      <c r="C1368" s="49">
        <v>12.57</v>
      </c>
      <c r="D1368" s="49">
        <v>10.73</v>
      </c>
      <c r="E1368" s="49">
        <v>30.65</v>
      </c>
      <c r="F1368" s="49">
        <v>10.77</v>
      </c>
      <c r="G1368" s="49">
        <v>10.63</v>
      </c>
      <c r="H1368" s="49">
        <v>12.03</v>
      </c>
      <c r="I1368" s="49">
        <v>16.02</v>
      </c>
      <c r="J1368" s="49">
        <v>12.98</v>
      </c>
      <c r="K1368" s="49">
        <v>11.67</v>
      </c>
      <c r="L1368" s="49">
        <v>12.21</v>
      </c>
      <c r="M1368" s="49">
        <v>14.33</v>
      </c>
      <c r="N1368" s="49">
        <v>10.36</v>
      </c>
      <c r="O1368" s="49">
        <v>8.39</v>
      </c>
      <c r="P1368" s="49">
        <v>6.12</v>
      </c>
      <c r="Q1368" s="49">
        <v>17.16</v>
      </c>
      <c r="R1368" s="49">
        <v>13.36</v>
      </c>
      <c r="S1368" s="49">
        <v>14.65</v>
      </c>
    </row>
    <row r="1369" spans="1:19" ht="18">
      <c r="A1369" s="49">
        <v>6278</v>
      </c>
      <c r="B1369" s="49" t="s">
        <v>1068</v>
      </c>
      <c r="C1369" s="49">
        <v>8.1300000000000008</v>
      </c>
      <c r="D1369" s="49">
        <v>3.88</v>
      </c>
      <c r="E1369" s="49">
        <v>16.46</v>
      </c>
      <c r="F1369" s="49">
        <v>9.0399999999999991</v>
      </c>
      <c r="G1369" s="49">
        <v>9.84</v>
      </c>
      <c r="H1369" s="49">
        <v>12.25</v>
      </c>
      <c r="I1369" s="49">
        <v>10.39</v>
      </c>
      <c r="J1369" s="49">
        <v>11.57</v>
      </c>
      <c r="K1369" s="49">
        <v>8.1</v>
      </c>
      <c r="L1369" s="49">
        <v>11.95</v>
      </c>
      <c r="M1369" s="49">
        <v>14.43</v>
      </c>
      <c r="N1369" s="49">
        <v>20.58</v>
      </c>
      <c r="O1369" s="49">
        <v>18.63</v>
      </c>
      <c r="P1369" s="49">
        <v>18.14</v>
      </c>
      <c r="Q1369" s="49">
        <v>11.51</v>
      </c>
      <c r="R1369" s="49">
        <v>5.86</v>
      </c>
      <c r="S1369" s="49">
        <v>10.199999999999999</v>
      </c>
    </row>
    <row r="1370" spans="1:19" ht="18">
      <c r="A1370" s="49">
        <v>6279</v>
      </c>
      <c r="B1370" s="49" t="s">
        <v>1809</v>
      </c>
      <c r="C1370" s="49">
        <v>11.78</v>
      </c>
      <c r="D1370" s="49">
        <v>5.36</v>
      </c>
      <c r="E1370" s="49">
        <v>29.33</v>
      </c>
      <c r="F1370" s="49">
        <v>13.36</v>
      </c>
      <c r="G1370" s="49">
        <v>12.66</v>
      </c>
      <c r="H1370" s="49">
        <v>10.06</v>
      </c>
      <c r="I1370" s="49">
        <v>14.39</v>
      </c>
      <c r="J1370" s="49">
        <v>14.67</v>
      </c>
      <c r="K1370" s="49">
        <v>15.1</v>
      </c>
      <c r="L1370" s="49">
        <v>18.350000000000001</v>
      </c>
      <c r="M1370" s="49">
        <v>14.13</v>
      </c>
      <c r="N1370" s="49">
        <v>11.71</v>
      </c>
      <c r="O1370" s="49">
        <v>20.41</v>
      </c>
      <c r="P1370" s="49">
        <v>24.2</v>
      </c>
      <c r="Q1370" s="49">
        <v>16.28</v>
      </c>
      <c r="R1370" s="49">
        <v>14.38</v>
      </c>
      <c r="S1370" s="49">
        <v>19.510000000000002</v>
      </c>
    </row>
    <row r="1371" spans="1:19" ht="18">
      <c r="A1371" s="49">
        <v>6281</v>
      </c>
      <c r="B1371" s="49" t="s">
        <v>1069</v>
      </c>
      <c r="C1371" s="49">
        <v>12.25</v>
      </c>
      <c r="D1371" s="49">
        <v>7.13</v>
      </c>
      <c r="E1371" s="49">
        <v>14.03</v>
      </c>
      <c r="F1371" s="49">
        <v>11.39</v>
      </c>
      <c r="G1371" s="49">
        <v>12.39</v>
      </c>
      <c r="H1371" s="49">
        <v>12.26</v>
      </c>
      <c r="I1371" s="49">
        <v>14.11</v>
      </c>
      <c r="J1371" s="49">
        <v>14.33</v>
      </c>
      <c r="K1371" s="49">
        <v>13.4</v>
      </c>
      <c r="L1371" s="49">
        <v>12.49</v>
      </c>
      <c r="M1371" s="49">
        <v>13.75</v>
      </c>
      <c r="N1371" s="49">
        <v>13.89</v>
      </c>
      <c r="O1371" s="49">
        <v>17.309999999999999</v>
      </c>
      <c r="P1371" s="49">
        <v>12.97</v>
      </c>
      <c r="Q1371" s="49">
        <v>14.63</v>
      </c>
      <c r="R1371" s="49">
        <v>13.05</v>
      </c>
      <c r="S1371" s="49">
        <v>15.98</v>
      </c>
    </row>
    <row r="1372" spans="1:19" ht="18">
      <c r="A1372" s="49">
        <v>6282</v>
      </c>
      <c r="B1372" s="49" t="s">
        <v>1070</v>
      </c>
      <c r="C1372" s="49">
        <v>0</v>
      </c>
      <c r="D1372" s="49">
        <v>6.68</v>
      </c>
      <c r="E1372" s="49">
        <v>14.14</v>
      </c>
      <c r="F1372" s="49">
        <v>10.63</v>
      </c>
      <c r="G1372" s="49">
        <v>18.079999999999998</v>
      </c>
      <c r="H1372" s="49">
        <v>10.7</v>
      </c>
      <c r="I1372" s="49">
        <v>13.33</v>
      </c>
      <c r="J1372" s="49">
        <v>15.9</v>
      </c>
      <c r="K1372" s="49">
        <v>15.5</v>
      </c>
      <c r="L1372" s="49">
        <v>22.69</v>
      </c>
      <c r="M1372" s="49">
        <v>27.47</v>
      </c>
      <c r="N1372" s="49">
        <v>10.050000000000001</v>
      </c>
      <c r="O1372" s="49">
        <v>8.16</v>
      </c>
      <c r="P1372" s="49">
        <v>10.38</v>
      </c>
      <c r="Q1372" s="49">
        <v>48.8</v>
      </c>
      <c r="R1372" s="49">
        <v>18.54</v>
      </c>
      <c r="S1372" s="49">
        <v>0</v>
      </c>
    </row>
    <row r="1373" spans="1:19" ht="18">
      <c r="A1373" s="49">
        <v>6283</v>
      </c>
      <c r="B1373" s="49" t="s">
        <v>1071</v>
      </c>
      <c r="C1373" s="49">
        <v>10.11</v>
      </c>
      <c r="D1373" s="49">
        <v>9.6300000000000008</v>
      </c>
      <c r="E1373" s="49">
        <v>46.45</v>
      </c>
      <c r="F1373" s="49">
        <v>0</v>
      </c>
      <c r="G1373" s="49">
        <v>0</v>
      </c>
      <c r="H1373" s="49">
        <v>0</v>
      </c>
      <c r="I1373" s="49">
        <v>0</v>
      </c>
      <c r="J1373" s="49">
        <v>0</v>
      </c>
      <c r="K1373" s="49">
        <v>0</v>
      </c>
      <c r="L1373" s="49">
        <v>40.51</v>
      </c>
      <c r="M1373" s="49">
        <v>87.68</v>
      </c>
      <c r="N1373" s="49">
        <v>311.82</v>
      </c>
      <c r="O1373" s="49">
        <v>140.44999999999999</v>
      </c>
      <c r="P1373" s="49">
        <v>0</v>
      </c>
      <c r="Q1373" s="49">
        <v>0</v>
      </c>
      <c r="R1373" s="49">
        <v>83.95</v>
      </c>
      <c r="S1373" s="49">
        <v>0</v>
      </c>
    </row>
    <row r="1374" spans="1:19" ht="18">
      <c r="A1374" s="49">
        <v>6284</v>
      </c>
      <c r="B1374" s="49" t="s">
        <v>1810</v>
      </c>
      <c r="C1374" s="49">
        <v>9.81</v>
      </c>
      <c r="D1374" s="49">
        <v>4.4000000000000004</v>
      </c>
      <c r="E1374" s="49">
        <v>0</v>
      </c>
      <c r="F1374" s="49">
        <v>14.74</v>
      </c>
      <c r="G1374" s="49">
        <v>16.260000000000002</v>
      </c>
      <c r="H1374" s="49">
        <v>0</v>
      </c>
      <c r="I1374" s="49">
        <v>0</v>
      </c>
      <c r="J1374" s="49">
        <v>47.67</v>
      </c>
      <c r="K1374" s="49">
        <v>15.27</v>
      </c>
      <c r="L1374" s="49">
        <v>169.17</v>
      </c>
      <c r="M1374" s="49">
        <v>26.37</v>
      </c>
      <c r="N1374" s="49">
        <v>17.309999999999999</v>
      </c>
      <c r="O1374" s="49">
        <v>30</v>
      </c>
      <c r="P1374" s="49">
        <v>30.75</v>
      </c>
      <c r="Q1374" s="49">
        <v>19.97</v>
      </c>
      <c r="R1374" s="49">
        <v>9.94</v>
      </c>
      <c r="S1374" s="49">
        <v>20.93</v>
      </c>
    </row>
    <row r="1375" spans="1:19" ht="18">
      <c r="A1375" s="49">
        <v>6285</v>
      </c>
      <c r="B1375" s="49" t="s">
        <v>1072</v>
      </c>
      <c r="C1375" s="49">
        <v>9.23</v>
      </c>
      <c r="D1375" s="49">
        <v>5.78</v>
      </c>
      <c r="E1375" s="49">
        <v>22.07</v>
      </c>
      <c r="F1375" s="49">
        <v>13.71</v>
      </c>
      <c r="G1375" s="49">
        <v>7.7</v>
      </c>
      <c r="H1375" s="49">
        <v>11.57</v>
      </c>
      <c r="I1375" s="49">
        <v>16.899999999999999</v>
      </c>
      <c r="J1375" s="49">
        <v>17.14</v>
      </c>
      <c r="K1375" s="49">
        <v>15.8</v>
      </c>
      <c r="L1375" s="49">
        <v>14.55</v>
      </c>
      <c r="M1375" s="49">
        <v>14.44</v>
      </c>
      <c r="N1375" s="49">
        <v>16.93</v>
      </c>
      <c r="O1375" s="49">
        <v>16.93</v>
      </c>
      <c r="P1375" s="49">
        <v>22.01</v>
      </c>
      <c r="Q1375" s="49">
        <v>25</v>
      </c>
      <c r="R1375" s="49">
        <v>12.81</v>
      </c>
      <c r="S1375" s="49">
        <v>17.010000000000002</v>
      </c>
    </row>
    <row r="1376" spans="1:19" ht="18">
      <c r="A1376" s="49">
        <v>6287</v>
      </c>
      <c r="B1376" s="49" t="s">
        <v>1811</v>
      </c>
      <c r="C1376" s="49">
        <v>0</v>
      </c>
      <c r="D1376" s="49">
        <v>72.709999999999994</v>
      </c>
      <c r="E1376" s="49">
        <v>0</v>
      </c>
      <c r="F1376" s="49">
        <v>0</v>
      </c>
      <c r="G1376" s="49">
        <v>0</v>
      </c>
      <c r="H1376" s="49">
        <v>0</v>
      </c>
      <c r="I1376" s="49">
        <v>0</v>
      </c>
      <c r="J1376" s="49">
        <v>0</v>
      </c>
      <c r="K1376" s="49">
        <v>0</v>
      </c>
      <c r="L1376" s="49">
        <v>0</v>
      </c>
      <c r="M1376" s="49">
        <v>0</v>
      </c>
      <c r="N1376" s="49">
        <v>0</v>
      </c>
      <c r="O1376" s="49">
        <v>0</v>
      </c>
      <c r="P1376" s="49">
        <v>0</v>
      </c>
      <c r="Q1376" s="49">
        <v>122.5</v>
      </c>
      <c r="R1376" s="49">
        <v>9.81</v>
      </c>
      <c r="S1376" s="49">
        <v>0</v>
      </c>
    </row>
    <row r="1377" spans="1:19" ht="18">
      <c r="A1377" s="49">
        <v>6288</v>
      </c>
      <c r="B1377" s="49" t="s">
        <v>1073</v>
      </c>
      <c r="C1377" s="49">
        <v>0</v>
      </c>
      <c r="D1377" s="49">
        <v>0</v>
      </c>
      <c r="E1377" s="49">
        <v>0</v>
      </c>
      <c r="F1377" s="49">
        <v>0</v>
      </c>
      <c r="G1377" s="49">
        <v>0</v>
      </c>
      <c r="H1377" s="49">
        <v>0</v>
      </c>
      <c r="I1377" s="49">
        <v>0</v>
      </c>
      <c r="J1377" s="49">
        <v>0</v>
      </c>
      <c r="K1377" s="49">
        <v>0</v>
      </c>
      <c r="L1377" s="49">
        <v>0</v>
      </c>
      <c r="M1377" s="49">
        <v>0</v>
      </c>
      <c r="N1377" s="49">
        <v>16.399999999999999</v>
      </c>
      <c r="O1377" s="49">
        <v>23.6</v>
      </c>
      <c r="P1377" s="49">
        <v>34.630000000000003</v>
      </c>
      <c r="Q1377" s="49">
        <v>125.45</v>
      </c>
      <c r="R1377" s="49">
        <v>102.05</v>
      </c>
      <c r="S1377" s="49">
        <v>0</v>
      </c>
    </row>
    <row r="1378" spans="1:19" ht="18">
      <c r="A1378" s="49">
        <v>6290</v>
      </c>
      <c r="B1378" s="49" t="s">
        <v>1812</v>
      </c>
      <c r="C1378" s="49">
        <v>0</v>
      </c>
      <c r="D1378" s="49">
        <v>4.28</v>
      </c>
      <c r="E1378" s="49">
        <v>18.899999999999999</v>
      </c>
      <c r="F1378" s="49">
        <v>10.33</v>
      </c>
      <c r="G1378" s="49">
        <v>27.64</v>
      </c>
      <c r="H1378" s="49">
        <v>9.07</v>
      </c>
      <c r="I1378" s="49">
        <v>19.05</v>
      </c>
      <c r="J1378" s="49">
        <v>12.55</v>
      </c>
      <c r="K1378" s="49">
        <v>13.26</v>
      </c>
      <c r="L1378" s="49">
        <v>8.44</v>
      </c>
      <c r="M1378" s="49">
        <v>30</v>
      </c>
      <c r="N1378" s="49">
        <v>28.62</v>
      </c>
      <c r="O1378" s="49">
        <v>12.93</v>
      </c>
      <c r="P1378" s="49">
        <v>10.85</v>
      </c>
      <c r="Q1378" s="49">
        <v>13.13</v>
      </c>
      <c r="R1378" s="49">
        <v>11.73</v>
      </c>
      <c r="S1378" s="49">
        <v>12.43</v>
      </c>
    </row>
    <row r="1379" spans="1:19" ht="18">
      <c r="A1379" s="49">
        <v>6291</v>
      </c>
      <c r="B1379" s="49" t="s">
        <v>1813</v>
      </c>
      <c r="C1379" s="49">
        <v>0</v>
      </c>
      <c r="D1379" s="49">
        <v>11.73</v>
      </c>
      <c r="E1379" s="49">
        <v>0</v>
      </c>
      <c r="F1379" s="49">
        <v>0</v>
      </c>
      <c r="G1379" s="49">
        <v>0</v>
      </c>
      <c r="H1379" s="49">
        <v>0</v>
      </c>
      <c r="I1379" s="49">
        <v>0</v>
      </c>
      <c r="J1379" s="49">
        <v>0</v>
      </c>
      <c r="K1379" s="49">
        <v>0</v>
      </c>
      <c r="L1379" s="49">
        <v>0</v>
      </c>
      <c r="M1379" s="49">
        <v>0</v>
      </c>
      <c r="N1379" s="49">
        <v>0</v>
      </c>
      <c r="O1379" s="49">
        <v>0</v>
      </c>
      <c r="P1379" s="49">
        <v>1670</v>
      </c>
      <c r="Q1379" s="49">
        <v>87.5</v>
      </c>
      <c r="R1379" s="49">
        <v>24.94</v>
      </c>
      <c r="S1379" s="49">
        <v>23.71</v>
      </c>
    </row>
    <row r="1380" spans="1:19" ht="18">
      <c r="A1380" s="49">
        <v>6292</v>
      </c>
      <c r="B1380" s="49" t="s">
        <v>1814</v>
      </c>
      <c r="C1380" s="49">
        <v>8.7200000000000006</v>
      </c>
      <c r="D1380" s="49">
        <v>10.35</v>
      </c>
      <c r="E1380" s="49">
        <v>0</v>
      </c>
      <c r="F1380" s="49">
        <v>11.01</v>
      </c>
      <c r="G1380" s="49">
        <v>7.34</v>
      </c>
      <c r="H1380" s="49">
        <v>8.94</v>
      </c>
      <c r="I1380" s="49">
        <v>11.67</v>
      </c>
      <c r="J1380" s="49">
        <v>12.17</v>
      </c>
      <c r="K1380" s="49">
        <v>8.39</v>
      </c>
      <c r="L1380" s="49">
        <v>11.33</v>
      </c>
      <c r="M1380" s="49">
        <v>10.64</v>
      </c>
      <c r="N1380" s="49">
        <v>9.48</v>
      </c>
      <c r="O1380" s="49">
        <v>10.66</v>
      </c>
      <c r="P1380" s="49">
        <v>13.32</v>
      </c>
      <c r="Q1380" s="49">
        <v>9.15</v>
      </c>
      <c r="R1380" s="49">
        <v>11.99</v>
      </c>
      <c r="S1380" s="49">
        <v>10.15</v>
      </c>
    </row>
    <row r="1381" spans="1:19" ht="18">
      <c r="A1381" s="49">
        <v>6294</v>
      </c>
      <c r="B1381" s="49" t="s">
        <v>1815</v>
      </c>
      <c r="C1381" s="49">
        <v>0</v>
      </c>
      <c r="D1381" s="49">
        <v>0</v>
      </c>
      <c r="E1381" s="49">
        <v>0</v>
      </c>
      <c r="F1381" s="49">
        <v>0</v>
      </c>
      <c r="G1381" s="49">
        <v>0</v>
      </c>
      <c r="H1381" s="49">
        <v>12.72</v>
      </c>
      <c r="I1381" s="49">
        <v>65.92</v>
      </c>
      <c r="J1381" s="49">
        <v>50</v>
      </c>
      <c r="K1381" s="49">
        <v>15.17</v>
      </c>
      <c r="L1381" s="49">
        <v>10.98</v>
      </c>
      <c r="M1381" s="49">
        <v>11.42</v>
      </c>
      <c r="N1381" s="49">
        <v>11.11</v>
      </c>
      <c r="O1381" s="49">
        <v>12.86</v>
      </c>
      <c r="P1381" s="49">
        <v>11.6</v>
      </c>
      <c r="Q1381" s="49">
        <v>10.61</v>
      </c>
      <c r="R1381" s="49">
        <v>11.65</v>
      </c>
      <c r="S1381" s="49">
        <v>11.98</v>
      </c>
    </row>
    <row r="1382" spans="1:19" ht="18">
      <c r="A1382" s="49">
        <v>6404</v>
      </c>
      <c r="B1382" s="49" t="s">
        <v>1816</v>
      </c>
      <c r="C1382" s="49">
        <v>0</v>
      </c>
      <c r="D1382" s="49">
        <v>0</v>
      </c>
      <c r="E1382" s="49">
        <v>0</v>
      </c>
      <c r="F1382" s="49">
        <v>0</v>
      </c>
      <c r="G1382" s="49">
        <v>0</v>
      </c>
      <c r="H1382" s="49">
        <v>0</v>
      </c>
      <c r="I1382" s="49">
        <v>0</v>
      </c>
      <c r="J1382" s="49">
        <v>15.78</v>
      </c>
      <c r="K1382" s="49">
        <v>16.059999999999999</v>
      </c>
      <c r="L1382" s="49">
        <v>0</v>
      </c>
      <c r="M1382" s="49">
        <v>0</v>
      </c>
      <c r="N1382" s="49">
        <v>0</v>
      </c>
      <c r="O1382" s="49">
        <v>0</v>
      </c>
      <c r="P1382" s="49">
        <v>0</v>
      </c>
      <c r="Q1382" s="49">
        <v>0</v>
      </c>
      <c r="R1382" s="49">
        <v>0</v>
      </c>
      <c r="S1382" s="49">
        <v>0</v>
      </c>
    </row>
    <row r="1383" spans="1:19" ht="18">
      <c r="A1383" s="49">
        <v>6405</v>
      </c>
      <c r="B1383" s="49" t="s">
        <v>1074</v>
      </c>
      <c r="C1383" s="49">
        <v>0</v>
      </c>
      <c r="D1383" s="49">
        <v>0</v>
      </c>
      <c r="E1383" s="49">
        <v>0</v>
      </c>
      <c r="F1383" s="49">
        <v>0</v>
      </c>
      <c r="G1383" s="49">
        <v>0</v>
      </c>
      <c r="H1383" s="49">
        <v>0</v>
      </c>
      <c r="I1383" s="49">
        <v>11.46</v>
      </c>
      <c r="J1383" s="49">
        <v>9.16</v>
      </c>
      <c r="K1383" s="49">
        <v>10.69</v>
      </c>
      <c r="L1383" s="49">
        <v>0</v>
      </c>
      <c r="M1383" s="49">
        <v>32.049999999999997</v>
      </c>
      <c r="N1383" s="49">
        <v>40.83</v>
      </c>
      <c r="O1383" s="49">
        <v>750</v>
      </c>
      <c r="P1383" s="49">
        <v>11.85</v>
      </c>
      <c r="Q1383" s="49">
        <v>40.94</v>
      </c>
      <c r="R1383" s="49">
        <v>20.92</v>
      </c>
      <c r="S1383" s="49">
        <v>0</v>
      </c>
    </row>
    <row r="1384" spans="1:19" ht="18">
      <c r="A1384" s="49">
        <v>6409</v>
      </c>
      <c r="B1384" s="49" t="s">
        <v>1075</v>
      </c>
      <c r="C1384" s="49">
        <v>0</v>
      </c>
      <c r="D1384" s="49">
        <v>0</v>
      </c>
      <c r="E1384" s="49">
        <v>0</v>
      </c>
      <c r="F1384" s="49">
        <v>0</v>
      </c>
      <c r="G1384" s="49">
        <v>0</v>
      </c>
      <c r="H1384" s="49">
        <v>0</v>
      </c>
      <c r="I1384" s="49">
        <v>0</v>
      </c>
      <c r="J1384" s="49">
        <v>23.05</v>
      </c>
      <c r="K1384" s="49">
        <v>26.88</v>
      </c>
      <c r="L1384" s="49">
        <v>25.11</v>
      </c>
      <c r="M1384" s="49">
        <v>29.56</v>
      </c>
      <c r="N1384" s="49">
        <v>24.61</v>
      </c>
      <c r="O1384" s="49">
        <v>28.71</v>
      </c>
      <c r="P1384" s="49">
        <v>43.31</v>
      </c>
      <c r="Q1384" s="49">
        <v>61.87</v>
      </c>
      <c r="R1384" s="49">
        <v>34.6</v>
      </c>
      <c r="S1384" s="49">
        <v>39.03</v>
      </c>
    </row>
    <row r="1385" spans="1:19" ht="18">
      <c r="A1385" s="49">
        <v>6411</v>
      </c>
      <c r="B1385" s="49" t="s">
        <v>1817</v>
      </c>
      <c r="C1385" s="49">
        <v>0</v>
      </c>
      <c r="D1385" s="49">
        <v>0</v>
      </c>
      <c r="E1385" s="49">
        <v>0</v>
      </c>
      <c r="F1385" s="49">
        <v>0</v>
      </c>
      <c r="G1385" s="49">
        <v>0</v>
      </c>
      <c r="H1385" s="49">
        <v>0</v>
      </c>
      <c r="I1385" s="49">
        <v>0</v>
      </c>
      <c r="J1385" s="49">
        <v>23.79</v>
      </c>
      <c r="K1385" s="49">
        <v>14.39</v>
      </c>
      <c r="L1385" s="49">
        <v>15.35</v>
      </c>
      <c r="M1385" s="49">
        <v>13.04</v>
      </c>
      <c r="N1385" s="49">
        <v>9.1300000000000008</v>
      </c>
      <c r="O1385" s="49">
        <v>14.75</v>
      </c>
      <c r="P1385" s="49">
        <v>18.34</v>
      </c>
      <c r="Q1385" s="49">
        <v>28.65</v>
      </c>
      <c r="R1385" s="49">
        <v>9.1</v>
      </c>
      <c r="S1385" s="49">
        <v>38.409999999999997</v>
      </c>
    </row>
    <row r="1386" spans="1:19" ht="18">
      <c r="A1386" s="49">
        <v>6412</v>
      </c>
      <c r="B1386" s="49" t="s">
        <v>1076</v>
      </c>
      <c r="C1386" s="49">
        <v>0</v>
      </c>
      <c r="D1386" s="49">
        <v>0</v>
      </c>
      <c r="E1386" s="49">
        <v>0</v>
      </c>
      <c r="F1386" s="49">
        <v>0</v>
      </c>
      <c r="G1386" s="49">
        <v>0</v>
      </c>
      <c r="H1386" s="49">
        <v>0</v>
      </c>
      <c r="I1386" s="49">
        <v>16.22</v>
      </c>
      <c r="J1386" s="49">
        <v>17.309999999999999</v>
      </c>
      <c r="K1386" s="49">
        <v>14.29</v>
      </c>
      <c r="L1386" s="49">
        <v>18.73</v>
      </c>
      <c r="M1386" s="49">
        <v>11.9</v>
      </c>
      <c r="N1386" s="49">
        <v>14.71</v>
      </c>
      <c r="O1386" s="49">
        <v>14.95</v>
      </c>
      <c r="P1386" s="49">
        <v>14.09</v>
      </c>
      <c r="Q1386" s="49">
        <v>11.6</v>
      </c>
      <c r="R1386" s="49">
        <v>8.85</v>
      </c>
      <c r="S1386" s="49">
        <v>18.95</v>
      </c>
    </row>
    <row r="1387" spans="1:19" ht="18">
      <c r="A1387" s="49">
        <v>6414</v>
      </c>
      <c r="B1387" s="49" t="s">
        <v>1077</v>
      </c>
      <c r="C1387" s="49">
        <v>0</v>
      </c>
      <c r="D1387" s="49">
        <v>0</v>
      </c>
      <c r="E1387" s="49">
        <v>0</v>
      </c>
      <c r="F1387" s="49">
        <v>0</v>
      </c>
      <c r="G1387" s="49">
        <v>0</v>
      </c>
      <c r="H1387" s="49">
        <v>0</v>
      </c>
      <c r="I1387" s="49">
        <v>0</v>
      </c>
      <c r="J1387" s="49">
        <v>35.950000000000003</v>
      </c>
      <c r="K1387" s="49">
        <v>30.57</v>
      </c>
      <c r="L1387" s="49">
        <v>31.33</v>
      </c>
      <c r="M1387" s="49">
        <v>32.700000000000003</v>
      </c>
      <c r="N1387" s="49">
        <v>16.48</v>
      </c>
      <c r="O1387" s="49">
        <v>20.03</v>
      </c>
      <c r="P1387" s="49">
        <v>20.52</v>
      </c>
      <c r="Q1387" s="49">
        <v>18.78</v>
      </c>
      <c r="R1387" s="49">
        <v>11.47</v>
      </c>
      <c r="S1387" s="49">
        <v>8.86</v>
      </c>
    </row>
    <row r="1388" spans="1:19" ht="18">
      <c r="A1388" s="49">
        <v>6415</v>
      </c>
      <c r="B1388" s="49" t="s">
        <v>1078</v>
      </c>
      <c r="C1388" s="49">
        <v>0</v>
      </c>
      <c r="D1388" s="49">
        <v>0</v>
      </c>
      <c r="E1388" s="49">
        <v>0</v>
      </c>
      <c r="F1388" s="49">
        <v>0</v>
      </c>
      <c r="G1388" s="49">
        <v>0</v>
      </c>
      <c r="H1388" s="49">
        <v>0</v>
      </c>
      <c r="I1388" s="49">
        <v>32.53</v>
      </c>
      <c r="J1388" s="49">
        <v>26.4</v>
      </c>
      <c r="K1388" s="49">
        <v>25.88</v>
      </c>
      <c r="L1388" s="49">
        <v>26.8</v>
      </c>
      <c r="M1388" s="49">
        <v>32.44</v>
      </c>
      <c r="N1388" s="49">
        <v>21.08</v>
      </c>
      <c r="O1388" s="49">
        <v>42.62</v>
      </c>
      <c r="P1388" s="49">
        <v>77.44</v>
      </c>
      <c r="Q1388" s="49">
        <v>86.8</v>
      </c>
      <c r="R1388" s="49">
        <v>25.5</v>
      </c>
      <c r="S1388" s="49">
        <v>126.9</v>
      </c>
    </row>
    <row r="1389" spans="1:19" ht="18">
      <c r="A1389" s="49">
        <v>6416</v>
      </c>
      <c r="B1389" s="49" t="s">
        <v>1079</v>
      </c>
      <c r="C1389" s="49">
        <v>0</v>
      </c>
      <c r="D1389" s="49">
        <v>0</v>
      </c>
      <c r="E1389" s="49">
        <v>0</v>
      </c>
      <c r="F1389" s="49">
        <v>0</v>
      </c>
      <c r="G1389" s="49">
        <v>0</v>
      </c>
      <c r="H1389" s="49">
        <v>0</v>
      </c>
      <c r="I1389" s="49">
        <v>0</v>
      </c>
      <c r="J1389" s="49">
        <v>0</v>
      </c>
      <c r="K1389" s="49">
        <v>0</v>
      </c>
      <c r="L1389" s="49">
        <v>0</v>
      </c>
      <c r="M1389" s="49">
        <v>0</v>
      </c>
      <c r="N1389" s="49">
        <v>17.71</v>
      </c>
      <c r="O1389" s="49">
        <v>20.71</v>
      </c>
      <c r="P1389" s="49">
        <v>23.92</v>
      </c>
      <c r="Q1389" s="49">
        <v>30.31</v>
      </c>
      <c r="R1389" s="49">
        <v>16.100000000000001</v>
      </c>
      <c r="S1389" s="49">
        <v>20.34</v>
      </c>
    </row>
    <row r="1390" spans="1:19" ht="18">
      <c r="A1390" s="49">
        <v>6417</v>
      </c>
      <c r="B1390" s="49" t="s">
        <v>1818</v>
      </c>
      <c r="C1390" s="49">
        <v>0</v>
      </c>
      <c r="D1390" s="49">
        <v>0</v>
      </c>
      <c r="E1390" s="49">
        <v>0</v>
      </c>
      <c r="F1390" s="49">
        <v>0</v>
      </c>
      <c r="G1390" s="49">
        <v>0</v>
      </c>
      <c r="H1390" s="49">
        <v>0</v>
      </c>
      <c r="I1390" s="49">
        <v>0</v>
      </c>
      <c r="J1390" s="49">
        <v>0</v>
      </c>
      <c r="K1390" s="49">
        <v>19.190000000000001</v>
      </c>
      <c r="L1390" s="49">
        <v>17.329999999999998</v>
      </c>
      <c r="M1390" s="49">
        <v>19.73</v>
      </c>
      <c r="N1390" s="49">
        <v>34.53</v>
      </c>
      <c r="O1390" s="49">
        <v>34.06</v>
      </c>
      <c r="P1390" s="49">
        <v>26.7</v>
      </c>
      <c r="Q1390" s="49">
        <v>35.19</v>
      </c>
      <c r="R1390" s="49">
        <v>21.85</v>
      </c>
      <c r="S1390" s="49">
        <v>21.79</v>
      </c>
    </row>
    <row r="1391" spans="1:19" ht="18">
      <c r="A1391" s="49">
        <v>6418</v>
      </c>
      <c r="B1391" s="49" t="s">
        <v>1819</v>
      </c>
      <c r="C1391" s="49">
        <v>0</v>
      </c>
      <c r="D1391" s="49">
        <v>0</v>
      </c>
      <c r="E1391" s="49">
        <v>0</v>
      </c>
      <c r="F1391" s="49">
        <v>0</v>
      </c>
      <c r="G1391" s="49">
        <v>0</v>
      </c>
      <c r="H1391" s="49">
        <v>0</v>
      </c>
      <c r="I1391" s="49">
        <v>0</v>
      </c>
      <c r="J1391" s="49">
        <v>0</v>
      </c>
      <c r="K1391" s="49">
        <v>0</v>
      </c>
      <c r="L1391" s="49">
        <v>0</v>
      </c>
      <c r="M1391" s="49">
        <v>0</v>
      </c>
      <c r="N1391" s="49">
        <v>0</v>
      </c>
      <c r="O1391" s="49">
        <v>33.700000000000003</v>
      </c>
      <c r="P1391" s="49">
        <v>35.479999999999997</v>
      </c>
      <c r="Q1391" s="49">
        <v>0</v>
      </c>
      <c r="R1391" s="49">
        <v>30</v>
      </c>
      <c r="S1391" s="49">
        <v>20.170000000000002</v>
      </c>
    </row>
    <row r="1392" spans="1:19" ht="18">
      <c r="A1392" s="49">
        <v>6419</v>
      </c>
      <c r="B1392" s="49" t="s">
        <v>1820</v>
      </c>
      <c r="C1392" s="49">
        <v>0</v>
      </c>
      <c r="D1392" s="49">
        <v>0</v>
      </c>
      <c r="E1392" s="49">
        <v>0</v>
      </c>
      <c r="F1392" s="49">
        <v>0</v>
      </c>
      <c r="G1392" s="49">
        <v>0</v>
      </c>
      <c r="H1392" s="49">
        <v>0</v>
      </c>
      <c r="I1392" s="49">
        <v>0</v>
      </c>
      <c r="J1392" s="49">
        <v>37.03</v>
      </c>
      <c r="K1392" s="49">
        <v>29</v>
      </c>
      <c r="L1392" s="49">
        <v>0</v>
      </c>
      <c r="M1392" s="49">
        <v>0</v>
      </c>
      <c r="N1392" s="49">
        <v>0</v>
      </c>
      <c r="O1392" s="49">
        <v>0</v>
      </c>
      <c r="P1392" s="49">
        <v>0</v>
      </c>
      <c r="Q1392" s="49">
        <v>8.42</v>
      </c>
      <c r="R1392" s="49">
        <v>6.59</v>
      </c>
      <c r="S1392" s="49">
        <v>34.299999999999997</v>
      </c>
    </row>
    <row r="1393" spans="1:19" ht="18">
      <c r="A1393" s="49">
        <v>6425</v>
      </c>
      <c r="B1393" s="49" t="s">
        <v>1821</v>
      </c>
      <c r="C1393" s="49">
        <v>0</v>
      </c>
      <c r="D1393" s="49">
        <v>0</v>
      </c>
      <c r="E1393" s="49">
        <v>0</v>
      </c>
      <c r="F1393" s="49">
        <v>0</v>
      </c>
      <c r="G1393" s="49">
        <v>0</v>
      </c>
      <c r="H1393" s="49">
        <v>0</v>
      </c>
      <c r="I1393" s="49">
        <v>0</v>
      </c>
      <c r="J1393" s="49">
        <v>0</v>
      </c>
      <c r="K1393" s="49">
        <v>0</v>
      </c>
      <c r="L1393" s="49">
        <v>0</v>
      </c>
      <c r="M1393" s="49">
        <v>0</v>
      </c>
      <c r="N1393" s="49">
        <v>0</v>
      </c>
      <c r="O1393" s="49">
        <v>0</v>
      </c>
      <c r="P1393" s="49">
        <v>0</v>
      </c>
      <c r="Q1393" s="49">
        <v>0</v>
      </c>
      <c r="R1393" s="49">
        <v>85.4</v>
      </c>
      <c r="S1393" s="49">
        <v>0</v>
      </c>
    </row>
    <row r="1394" spans="1:19" ht="18">
      <c r="A1394" s="49">
        <v>6426</v>
      </c>
      <c r="B1394" s="49" t="s">
        <v>1080</v>
      </c>
      <c r="C1394" s="49">
        <v>0</v>
      </c>
      <c r="D1394" s="49">
        <v>0</v>
      </c>
      <c r="E1394" s="49">
        <v>0</v>
      </c>
      <c r="F1394" s="49">
        <v>0</v>
      </c>
      <c r="G1394" s="49">
        <v>0</v>
      </c>
      <c r="H1394" s="49">
        <v>0</v>
      </c>
      <c r="I1394" s="49">
        <v>0</v>
      </c>
      <c r="J1394" s="49">
        <v>17.02</v>
      </c>
      <c r="K1394" s="49">
        <v>14.02</v>
      </c>
      <c r="L1394" s="49">
        <v>71.08</v>
      </c>
      <c r="M1394" s="49">
        <v>24.53</v>
      </c>
      <c r="N1394" s="49">
        <v>235.48</v>
      </c>
      <c r="O1394" s="49">
        <v>59.51</v>
      </c>
      <c r="P1394" s="49">
        <v>32.26</v>
      </c>
      <c r="Q1394" s="49">
        <v>173.33</v>
      </c>
      <c r="R1394" s="49">
        <v>23.94</v>
      </c>
      <c r="S1394" s="49">
        <v>0</v>
      </c>
    </row>
    <row r="1395" spans="1:19" ht="18">
      <c r="A1395" s="49">
        <v>6431</v>
      </c>
      <c r="B1395" s="49" t="s">
        <v>1081</v>
      </c>
      <c r="C1395" s="49">
        <v>0</v>
      </c>
      <c r="D1395" s="49">
        <v>0</v>
      </c>
      <c r="E1395" s="49">
        <v>0</v>
      </c>
      <c r="F1395" s="49">
        <v>0</v>
      </c>
      <c r="G1395" s="49">
        <v>0</v>
      </c>
      <c r="H1395" s="49">
        <v>0</v>
      </c>
      <c r="I1395" s="49">
        <v>0</v>
      </c>
      <c r="J1395" s="49">
        <v>15.51</v>
      </c>
      <c r="K1395" s="49">
        <v>0</v>
      </c>
      <c r="L1395" s="49">
        <v>0</v>
      </c>
      <c r="M1395" s="49">
        <v>0</v>
      </c>
      <c r="N1395" s="49">
        <v>0</v>
      </c>
      <c r="O1395" s="49">
        <v>0</v>
      </c>
      <c r="P1395" s="49">
        <v>0</v>
      </c>
      <c r="Q1395" s="49">
        <v>48.57</v>
      </c>
      <c r="R1395" s="49">
        <v>0</v>
      </c>
      <c r="S1395" s="49">
        <v>0</v>
      </c>
    </row>
    <row r="1396" spans="1:19" ht="18">
      <c r="A1396" s="49">
        <v>6432</v>
      </c>
      <c r="B1396" s="49" t="s">
        <v>1822</v>
      </c>
      <c r="C1396" s="49">
        <v>0</v>
      </c>
      <c r="D1396" s="49">
        <v>0</v>
      </c>
      <c r="E1396" s="49">
        <v>0</v>
      </c>
      <c r="F1396" s="49">
        <v>0</v>
      </c>
      <c r="G1396" s="49">
        <v>0</v>
      </c>
      <c r="H1396" s="49">
        <v>0</v>
      </c>
      <c r="I1396" s="49">
        <v>0</v>
      </c>
      <c r="J1396" s="49">
        <v>0</v>
      </c>
      <c r="K1396" s="49">
        <v>9.2899999999999991</v>
      </c>
      <c r="L1396" s="49">
        <v>11</v>
      </c>
      <c r="M1396" s="49">
        <v>27.5</v>
      </c>
      <c r="N1396" s="49">
        <v>9.2899999999999991</v>
      </c>
      <c r="O1396" s="49">
        <v>12.76</v>
      </c>
      <c r="P1396" s="49">
        <v>15.06</v>
      </c>
      <c r="Q1396" s="49">
        <v>13.13</v>
      </c>
      <c r="R1396" s="49">
        <v>13.33</v>
      </c>
      <c r="S1396" s="49">
        <v>29.27</v>
      </c>
    </row>
    <row r="1397" spans="1:19" ht="18">
      <c r="A1397" s="49">
        <v>6435</v>
      </c>
      <c r="B1397" s="49" t="s">
        <v>1823</v>
      </c>
      <c r="C1397" s="49">
        <v>0</v>
      </c>
      <c r="D1397" s="49">
        <v>0</v>
      </c>
      <c r="E1397" s="49">
        <v>0</v>
      </c>
      <c r="F1397" s="49">
        <v>0</v>
      </c>
      <c r="G1397" s="49">
        <v>0</v>
      </c>
      <c r="H1397" s="49">
        <v>0</v>
      </c>
      <c r="I1397" s="49">
        <v>0</v>
      </c>
      <c r="J1397" s="49">
        <v>0</v>
      </c>
      <c r="K1397" s="49">
        <v>0</v>
      </c>
      <c r="L1397" s="49">
        <v>10.88</v>
      </c>
      <c r="M1397" s="49">
        <v>22.52</v>
      </c>
      <c r="N1397" s="49">
        <v>13.28</v>
      </c>
      <c r="O1397" s="49">
        <v>16.87</v>
      </c>
      <c r="P1397" s="49">
        <v>22.35</v>
      </c>
      <c r="Q1397" s="49">
        <v>13.06</v>
      </c>
      <c r="R1397" s="49">
        <v>5.79</v>
      </c>
      <c r="S1397" s="49">
        <v>29.82</v>
      </c>
    </row>
    <row r="1398" spans="1:19" ht="18">
      <c r="A1398" s="49">
        <v>6438</v>
      </c>
      <c r="B1398" s="49" t="s">
        <v>1082</v>
      </c>
      <c r="C1398" s="49">
        <v>0</v>
      </c>
      <c r="D1398" s="49">
        <v>0</v>
      </c>
      <c r="E1398" s="49">
        <v>0</v>
      </c>
      <c r="F1398" s="49">
        <v>0</v>
      </c>
      <c r="G1398" s="49">
        <v>0</v>
      </c>
      <c r="H1398" s="49">
        <v>0</v>
      </c>
      <c r="I1398" s="49">
        <v>0</v>
      </c>
      <c r="J1398" s="49">
        <v>0</v>
      </c>
      <c r="K1398" s="49">
        <v>0</v>
      </c>
      <c r="L1398" s="49">
        <v>0</v>
      </c>
      <c r="M1398" s="49">
        <v>15.64</v>
      </c>
      <c r="N1398" s="49">
        <v>14.26</v>
      </c>
      <c r="O1398" s="49">
        <v>42.12</v>
      </c>
      <c r="P1398" s="49">
        <v>20.56</v>
      </c>
      <c r="Q1398" s="49">
        <v>13.14</v>
      </c>
      <c r="R1398" s="49">
        <v>8.24</v>
      </c>
      <c r="S1398" s="49">
        <v>11.86</v>
      </c>
    </row>
    <row r="1399" spans="1:19" ht="18">
      <c r="A1399" s="49">
        <v>6441</v>
      </c>
      <c r="B1399" s="49" t="s">
        <v>1824</v>
      </c>
      <c r="C1399" s="49">
        <v>0</v>
      </c>
      <c r="D1399" s="49">
        <v>0</v>
      </c>
      <c r="E1399" s="49">
        <v>0</v>
      </c>
      <c r="F1399" s="49">
        <v>0</v>
      </c>
      <c r="G1399" s="49">
        <v>0</v>
      </c>
      <c r="H1399" s="49">
        <v>0</v>
      </c>
      <c r="I1399" s="49">
        <v>0</v>
      </c>
      <c r="J1399" s="49">
        <v>0</v>
      </c>
      <c r="K1399" s="49">
        <v>0</v>
      </c>
      <c r="L1399" s="49">
        <v>0</v>
      </c>
      <c r="M1399" s="49">
        <v>13</v>
      </c>
      <c r="N1399" s="49">
        <v>14.87</v>
      </c>
      <c r="O1399" s="49">
        <v>85.83</v>
      </c>
      <c r="P1399" s="49">
        <v>0</v>
      </c>
      <c r="Q1399" s="49">
        <v>0</v>
      </c>
      <c r="R1399" s="49">
        <v>63.46</v>
      </c>
      <c r="S1399" s="49">
        <v>0</v>
      </c>
    </row>
    <row r="1400" spans="1:19" ht="18">
      <c r="A1400" s="49">
        <v>6442</v>
      </c>
      <c r="B1400" s="49" t="s">
        <v>1083</v>
      </c>
      <c r="C1400" s="49">
        <v>0</v>
      </c>
      <c r="D1400" s="49">
        <v>0</v>
      </c>
      <c r="E1400" s="49">
        <v>0</v>
      </c>
      <c r="F1400" s="49">
        <v>0</v>
      </c>
      <c r="G1400" s="49">
        <v>0</v>
      </c>
      <c r="H1400" s="49">
        <v>0</v>
      </c>
      <c r="I1400" s="49">
        <v>0</v>
      </c>
      <c r="J1400" s="49">
        <v>0</v>
      </c>
      <c r="K1400" s="49">
        <v>11.14</v>
      </c>
      <c r="L1400" s="49">
        <v>10.24</v>
      </c>
      <c r="M1400" s="49">
        <v>24.97</v>
      </c>
      <c r="N1400" s="49">
        <v>22.62</v>
      </c>
      <c r="O1400" s="49">
        <v>28.79</v>
      </c>
      <c r="P1400" s="49">
        <v>0</v>
      </c>
      <c r="Q1400" s="49">
        <v>43.31</v>
      </c>
      <c r="R1400" s="49">
        <v>8.3800000000000008</v>
      </c>
      <c r="S1400" s="49">
        <v>30.83</v>
      </c>
    </row>
    <row r="1401" spans="1:19" ht="18">
      <c r="A1401" s="49">
        <v>6443</v>
      </c>
      <c r="B1401" s="49" t="s">
        <v>1084</v>
      </c>
      <c r="C1401" s="49">
        <v>0</v>
      </c>
      <c r="D1401" s="49">
        <v>0</v>
      </c>
      <c r="E1401" s="49">
        <v>0</v>
      </c>
      <c r="F1401" s="49">
        <v>0</v>
      </c>
      <c r="G1401" s="49">
        <v>0</v>
      </c>
      <c r="H1401" s="49">
        <v>0</v>
      </c>
      <c r="I1401" s="49">
        <v>0</v>
      </c>
      <c r="J1401" s="49">
        <v>0</v>
      </c>
      <c r="K1401" s="49">
        <v>0</v>
      </c>
      <c r="L1401" s="49">
        <v>26.54</v>
      </c>
      <c r="M1401" s="49">
        <v>0</v>
      </c>
      <c r="N1401" s="49">
        <v>0</v>
      </c>
      <c r="O1401" s="49">
        <v>0</v>
      </c>
      <c r="P1401" s="49">
        <v>0</v>
      </c>
      <c r="Q1401" s="49">
        <v>0</v>
      </c>
      <c r="R1401" s="49">
        <v>53.15</v>
      </c>
      <c r="S1401" s="49">
        <v>27.13</v>
      </c>
    </row>
    <row r="1402" spans="1:19" ht="18">
      <c r="A1402" s="49">
        <v>6446</v>
      </c>
      <c r="B1402" s="49" t="s">
        <v>1825</v>
      </c>
      <c r="C1402" s="49">
        <v>0</v>
      </c>
      <c r="D1402" s="49">
        <v>0</v>
      </c>
      <c r="E1402" s="49">
        <v>0</v>
      </c>
      <c r="F1402" s="49">
        <v>0</v>
      </c>
      <c r="G1402" s="49">
        <v>0</v>
      </c>
      <c r="H1402" s="49">
        <v>0</v>
      </c>
      <c r="I1402" s="49">
        <v>0</v>
      </c>
      <c r="J1402" s="49">
        <v>0</v>
      </c>
      <c r="K1402" s="49">
        <v>0</v>
      </c>
      <c r="L1402" s="49">
        <v>0</v>
      </c>
      <c r="M1402" s="49">
        <v>0</v>
      </c>
      <c r="N1402" s="49">
        <v>0</v>
      </c>
      <c r="O1402" s="49">
        <v>0</v>
      </c>
      <c r="P1402" s="49">
        <v>0</v>
      </c>
      <c r="Q1402" s="49">
        <v>0</v>
      </c>
      <c r="R1402" s="49">
        <v>0</v>
      </c>
      <c r="S1402" s="49">
        <v>0</v>
      </c>
    </row>
    <row r="1403" spans="1:19" ht="18">
      <c r="A1403" s="49">
        <v>6449</v>
      </c>
      <c r="B1403" s="49" t="s">
        <v>1085</v>
      </c>
      <c r="C1403" s="49">
        <v>0</v>
      </c>
      <c r="D1403" s="49">
        <v>0</v>
      </c>
      <c r="E1403" s="49">
        <v>0</v>
      </c>
      <c r="F1403" s="49">
        <v>0</v>
      </c>
      <c r="G1403" s="49">
        <v>0</v>
      </c>
      <c r="H1403" s="49">
        <v>0</v>
      </c>
      <c r="I1403" s="49">
        <v>0</v>
      </c>
      <c r="J1403" s="49">
        <v>16.05</v>
      </c>
      <c r="K1403" s="49">
        <v>9.83</v>
      </c>
      <c r="L1403" s="49">
        <v>11.63</v>
      </c>
      <c r="M1403" s="49">
        <v>20.18</v>
      </c>
      <c r="N1403" s="49">
        <v>10.3</v>
      </c>
      <c r="O1403" s="49">
        <v>39.119999999999997</v>
      </c>
      <c r="P1403" s="49">
        <v>19.579999999999998</v>
      </c>
      <c r="Q1403" s="49">
        <v>18.34</v>
      </c>
      <c r="R1403" s="49">
        <v>9.69</v>
      </c>
      <c r="S1403" s="49">
        <v>20.14</v>
      </c>
    </row>
    <row r="1404" spans="1:19" ht="18">
      <c r="A1404" s="49">
        <v>6451</v>
      </c>
      <c r="B1404" s="49" t="s">
        <v>1086</v>
      </c>
      <c r="C1404" s="49">
        <v>0</v>
      </c>
      <c r="D1404" s="49">
        <v>0</v>
      </c>
      <c r="E1404" s="49">
        <v>0</v>
      </c>
      <c r="F1404" s="49">
        <v>0</v>
      </c>
      <c r="G1404" s="49">
        <v>0</v>
      </c>
      <c r="H1404" s="49">
        <v>0</v>
      </c>
      <c r="I1404" s="49">
        <v>0</v>
      </c>
      <c r="J1404" s="49">
        <v>0</v>
      </c>
      <c r="K1404" s="49">
        <v>11.57</v>
      </c>
      <c r="L1404" s="49">
        <v>10.32</v>
      </c>
      <c r="M1404" s="49">
        <v>41.67</v>
      </c>
      <c r="N1404" s="49">
        <v>84.95</v>
      </c>
      <c r="O1404" s="49">
        <v>25.84</v>
      </c>
      <c r="P1404" s="49">
        <v>20.54</v>
      </c>
      <c r="Q1404" s="49">
        <v>14.29</v>
      </c>
      <c r="R1404" s="49">
        <v>48.22</v>
      </c>
      <c r="S1404" s="49">
        <v>59.44</v>
      </c>
    </row>
    <row r="1405" spans="1:19" ht="18">
      <c r="A1405" s="49">
        <v>6456</v>
      </c>
      <c r="B1405" s="49" t="s">
        <v>1087</v>
      </c>
      <c r="C1405" s="49">
        <v>0</v>
      </c>
      <c r="D1405" s="49">
        <v>0</v>
      </c>
      <c r="E1405" s="49">
        <v>0</v>
      </c>
      <c r="F1405" s="49">
        <v>0</v>
      </c>
      <c r="G1405" s="49">
        <v>0</v>
      </c>
      <c r="H1405" s="49">
        <v>0</v>
      </c>
      <c r="I1405" s="49">
        <v>0</v>
      </c>
      <c r="J1405" s="49">
        <v>0</v>
      </c>
      <c r="K1405" s="49">
        <v>25.64</v>
      </c>
      <c r="L1405" s="49">
        <v>11.81</v>
      </c>
      <c r="M1405" s="49">
        <v>10.29</v>
      </c>
      <c r="N1405" s="49">
        <v>7</v>
      </c>
      <c r="O1405" s="49">
        <v>9.9600000000000009</v>
      </c>
      <c r="P1405" s="49">
        <v>10.68</v>
      </c>
      <c r="Q1405" s="49">
        <v>7.85</v>
      </c>
      <c r="R1405" s="49">
        <v>7.4</v>
      </c>
      <c r="S1405" s="49">
        <v>0</v>
      </c>
    </row>
    <row r="1406" spans="1:19" ht="18">
      <c r="A1406" s="49">
        <v>6457</v>
      </c>
      <c r="B1406" s="49" t="s">
        <v>1826</v>
      </c>
      <c r="C1406" s="49">
        <v>0</v>
      </c>
      <c r="D1406" s="49">
        <v>0</v>
      </c>
      <c r="E1406" s="49">
        <v>0</v>
      </c>
      <c r="F1406" s="49">
        <v>0</v>
      </c>
      <c r="G1406" s="49">
        <v>0</v>
      </c>
      <c r="H1406" s="49">
        <v>0</v>
      </c>
      <c r="I1406" s="49">
        <v>0</v>
      </c>
      <c r="J1406" s="49">
        <v>0</v>
      </c>
      <c r="K1406" s="49">
        <v>16.43</v>
      </c>
      <c r="L1406" s="49">
        <v>17.440000000000001</v>
      </c>
      <c r="M1406" s="49">
        <v>19.829999999999998</v>
      </c>
      <c r="N1406" s="49">
        <v>19.21</v>
      </c>
      <c r="O1406" s="49">
        <v>16.84</v>
      </c>
      <c r="P1406" s="49">
        <v>17.18</v>
      </c>
      <c r="Q1406" s="49">
        <v>15.68</v>
      </c>
      <c r="R1406" s="49">
        <v>10.39</v>
      </c>
      <c r="S1406" s="49">
        <v>0</v>
      </c>
    </row>
    <row r="1407" spans="1:19" ht="18">
      <c r="A1407" s="49">
        <v>6461</v>
      </c>
      <c r="B1407" s="49" t="s">
        <v>1827</v>
      </c>
      <c r="C1407" s="49">
        <v>0</v>
      </c>
      <c r="D1407" s="49">
        <v>0</v>
      </c>
      <c r="E1407" s="49">
        <v>0</v>
      </c>
      <c r="F1407" s="49">
        <v>0</v>
      </c>
      <c r="G1407" s="49">
        <v>0</v>
      </c>
      <c r="H1407" s="49">
        <v>0</v>
      </c>
      <c r="I1407" s="49">
        <v>0</v>
      </c>
      <c r="J1407" s="49">
        <v>0</v>
      </c>
      <c r="K1407" s="49">
        <v>0</v>
      </c>
      <c r="L1407" s="49">
        <v>0</v>
      </c>
      <c r="M1407" s="49">
        <v>0</v>
      </c>
      <c r="N1407" s="49">
        <v>0</v>
      </c>
      <c r="O1407" s="49">
        <v>0</v>
      </c>
      <c r="P1407" s="49">
        <v>0</v>
      </c>
      <c r="Q1407" s="49">
        <v>0</v>
      </c>
      <c r="R1407" s="49">
        <v>0</v>
      </c>
      <c r="S1407" s="49">
        <v>0</v>
      </c>
    </row>
    <row r="1408" spans="1:19" ht="18">
      <c r="A1408" s="49">
        <v>6462</v>
      </c>
      <c r="B1408" s="49" t="s">
        <v>1828</v>
      </c>
      <c r="C1408" s="49">
        <v>0</v>
      </c>
      <c r="D1408" s="49">
        <v>0</v>
      </c>
      <c r="E1408" s="49">
        <v>0</v>
      </c>
      <c r="F1408" s="49">
        <v>0</v>
      </c>
      <c r="G1408" s="49">
        <v>0</v>
      </c>
      <c r="H1408" s="49">
        <v>0</v>
      </c>
      <c r="I1408" s="49">
        <v>0</v>
      </c>
      <c r="J1408" s="49">
        <v>0</v>
      </c>
      <c r="K1408" s="49">
        <v>0</v>
      </c>
      <c r="L1408" s="49">
        <v>0</v>
      </c>
      <c r="M1408" s="49">
        <v>25.77</v>
      </c>
      <c r="N1408" s="49">
        <v>16.71</v>
      </c>
      <c r="O1408" s="49">
        <v>26.48</v>
      </c>
      <c r="P1408" s="49">
        <v>14.76</v>
      </c>
      <c r="Q1408" s="49">
        <v>0</v>
      </c>
      <c r="R1408" s="49">
        <v>0</v>
      </c>
      <c r="S1408" s="49">
        <v>0</v>
      </c>
    </row>
    <row r="1409" spans="1:19" ht="18">
      <c r="A1409" s="49">
        <v>6464</v>
      </c>
      <c r="B1409" s="49" t="s">
        <v>1088</v>
      </c>
      <c r="C1409" s="49">
        <v>0</v>
      </c>
      <c r="D1409" s="49">
        <v>0</v>
      </c>
      <c r="E1409" s="49">
        <v>0</v>
      </c>
      <c r="F1409" s="49">
        <v>0</v>
      </c>
      <c r="G1409" s="49">
        <v>0</v>
      </c>
      <c r="H1409" s="49">
        <v>0</v>
      </c>
      <c r="I1409" s="49">
        <v>0</v>
      </c>
      <c r="J1409" s="49">
        <v>0</v>
      </c>
      <c r="K1409" s="49">
        <v>14.7</v>
      </c>
      <c r="L1409" s="49">
        <v>20.11</v>
      </c>
      <c r="M1409" s="49">
        <v>24.1</v>
      </c>
      <c r="N1409" s="49">
        <v>21.88</v>
      </c>
      <c r="O1409" s="49">
        <v>21.39</v>
      </c>
      <c r="P1409" s="49">
        <v>13.76</v>
      </c>
      <c r="Q1409" s="49">
        <v>11.61</v>
      </c>
      <c r="R1409" s="49">
        <v>12.59</v>
      </c>
      <c r="S1409" s="49">
        <v>12.46</v>
      </c>
    </row>
    <row r="1410" spans="1:19" ht="18">
      <c r="A1410" s="49">
        <v>6465</v>
      </c>
      <c r="B1410" s="49" t="s">
        <v>1829</v>
      </c>
      <c r="C1410" s="49">
        <v>0</v>
      </c>
      <c r="D1410" s="49">
        <v>0</v>
      </c>
      <c r="E1410" s="49">
        <v>0</v>
      </c>
      <c r="F1410" s="49">
        <v>0</v>
      </c>
      <c r="G1410" s="49">
        <v>0</v>
      </c>
      <c r="H1410" s="49">
        <v>0</v>
      </c>
      <c r="I1410" s="49">
        <v>0</v>
      </c>
      <c r="J1410" s="49">
        <v>0</v>
      </c>
      <c r="K1410" s="49">
        <v>23.01</v>
      </c>
      <c r="L1410" s="49">
        <v>23.39</v>
      </c>
      <c r="M1410" s="49">
        <v>30.83</v>
      </c>
      <c r="N1410" s="49">
        <v>0</v>
      </c>
      <c r="O1410" s="49">
        <v>103.4</v>
      </c>
      <c r="P1410" s="49">
        <v>0</v>
      </c>
      <c r="Q1410" s="49">
        <v>0</v>
      </c>
      <c r="R1410" s="49">
        <v>0</v>
      </c>
      <c r="S1410" s="49">
        <v>0</v>
      </c>
    </row>
    <row r="1411" spans="1:19" ht="18">
      <c r="A1411" s="49">
        <v>6469</v>
      </c>
      <c r="B1411" s="49" t="s">
        <v>1830</v>
      </c>
      <c r="C1411" s="49">
        <v>0</v>
      </c>
      <c r="D1411" s="49">
        <v>0</v>
      </c>
      <c r="E1411" s="49">
        <v>0</v>
      </c>
      <c r="F1411" s="49">
        <v>0</v>
      </c>
      <c r="G1411" s="49">
        <v>0</v>
      </c>
      <c r="H1411" s="49">
        <v>0</v>
      </c>
      <c r="I1411" s="49">
        <v>0</v>
      </c>
      <c r="J1411" s="49">
        <v>0</v>
      </c>
      <c r="K1411" s="49">
        <v>0</v>
      </c>
      <c r="L1411" s="49">
        <v>20.47</v>
      </c>
      <c r="M1411" s="49">
        <v>26.96</v>
      </c>
      <c r="N1411" s="49">
        <v>20.95</v>
      </c>
      <c r="O1411" s="49">
        <v>25.06</v>
      </c>
      <c r="P1411" s="49">
        <v>29.09</v>
      </c>
      <c r="Q1411" s="49">
        <v>44.37</v>
      </c>
      <c r="R1411" s="49">
        <v>40.869999999999997</v>
      </c>
      <c r="S1411" s="49">
        <v>58.94</v>
      </c>
    </row>
    <row r="1412" spans="1:19" ht="18">
      <c r="A1412" s="49">
        <v>6470</v>
      </c>
      <c r="B1412" s="49" t="s">
        <v>1831</v>
      </c>
      <c r="C1412" s="49">
        <v>0</v>
      </c>
      <c r="D1412" s="49">
        <v>0</v>
      </c>
      <c r="E1412" s="49">
        <v>0</v>
      </c>
      <c r="F1412" s="49">
        <v>0</v>
      </c>
      <c r="G1412" s="49">
        <v>0</v>
      </c>
      <c r="H1412" s="49">
        <v>0</v>
      </c>
      <c r="I1412" s="49">
        <v>0</v>
      </c>
      <c r="J1412" s="49">
        <v>0</v>
      </c>
      <c r="K1412" s="49">
        <v>8.51</v>
      </c>
      <c r="L1412" s="49">
        <v>12.47</v>
      </c>
      <c r="M1412" s="49">
        <v>8.56</v>
      </c>
      <c r="N1412" s="49">
        <v>18.95</v>
      </c>
      <c r="O1412" s="49">
        <v>15.2</v>
      </c>
      <c r="P1412" s="49">
        <v>11.68</v>
      </c>
      <c r="Q1412" s="49">
        <v>13.66</v>
      </c>
      <c r="R1412" s="49">
        <v>7.5</v>
      </c>
      <c r="S1412" s="49">
        <v>13.77</v>
      </c>
    </row>
    <row r="1413" spans="1:19" ht="18">
      <c r="A1413" s="49">
        <v>6472</v>
      </c>
      <c r="B1413" s="49" t="s">
        <v>1832</v>
      </c>
      <c r="C1413" s="49">
        <v>0</v>
      </c>
      <c r="D1413" s="49">
        <v>0</v>
      </c>
      <c r="E1413" s="49">
        <v>0</v>
      </c>
      <c r="F1413" s="49">
        <v>0</v>
      </c>
      <c r="G1413" s="49">
        <v>0</v>
      </c>
      <c r="H1413" s="49">
        <v>0</v>
      </c>
      <c r="I1413" s="49">
        <v>0</v>
      </c>
      <c r="J1413" s="49">
        <v>0</v>
      </c>
      <c r="K1413" s="49">
        <v>0</v>
      </c>
      <c r="L1413" s="49">
        <v>0</v>
      </c>
      <c r="M1413" s="49">
        <v>56.25</v>
      </c>
      <c r="N1413" s="49">
        <v>9.41</v>
      </c>
      <c r="O1413" s="49">
        <v>15.78</v>
      </c>
      <c r="P1413" s="49">
        <v>42.72</v>
      </c>
      <c r="Q1413" s="49">
        <v>11.91</v>
      </c>
      <c r="R1413" s="49">
        <v>27.69</v>
      </c>
      <c r="S1413" s="49">
        <v>22.5</v>
      </c>
    </row>
    <row r="1414" spans="1:19" ht="18">
      <c r="A1414" s="49">
        <v>6477</v>
      </c>
      <c r="B1414" s="49" t="s">
        <v>1089</v>
      </c>
      <c r="C1414" s="49">
        <v>0</v>
      </c>
      <c r="D1414" s="49">
        <v>0</v>
      </c>
      <c r="E1414" s="49">
        <v>0</v>
      </c>
      <c r="F1414" s="49">
        <v>0</v>
      </c>
      <c r="G1414" s="49">
        <v>0</v>
      </c>
      <c r="H1414" s="49">
        <v>0</v>
      </c>
      <c r="I1414" s="49">
        <v>0</v>
      </c>
      <c r="J1414" s="49">
        <v>0</v>
      </c>
      <c r="K1414" s="49">
        <v>0</v>
      </c>
      <c r="L1414" s="49">
        <v>25.14</v>
      </c>
      <c r="M1414" s="49">
        <v>33.29</v>
      </c>
      <c r="N1414" s="49">
        <v>10.52</v>
      </c>
      <c r="O1414" s="49">
        <v>10.08</v>
      </c>
      <c r="P1414" s="49">
        <v>27.17</v>
      </c>
      <c r="Q1414" s="49">
        <v>41.95</v>
      </c>
      <c r="R1414" s="49">
        <v>30.68</v>
      </c>
      <c r="S1414" s="49">
        <v>16.61</v>
      </c>
    </row>
    <row r="1415" spans="1:19" ht="18">
      <c r="A1415" s="49">
        <v>6482</v>
      </c>
      <c r="B1415" s="49" t="s">
        <v>1833</v>
      </c>
      <c r="C1415" s="49">
        <v>0</v>
      </c>
      <c r="D1415" s="49">
        <v>0</v>
      </c>
      <c r="E1415" s="49">
        <v>0</v>
      </c>
      <c r="F1415" s="49">
        <v>0</v>
      </c>
      <c r="G1415" s="49">
        <v>0</v>
      </c>
      <c r="H1415" s="49">
        <v>0</v>
      </c>
      <c r="I1415" s="49">
        <v>0</v>
      </c>
      <c r="J1415" s="49">
        <v>0</v>
      </c>
      <c r="K1415" s="49">
        <v>0</v>
      </c>
      <c r="L1415" s="49">
        <v>31.72</v>
      </c>
      <c r="M1415" s="49">
        <v>129.04</v>
      </c>
      <c r="N1415" s="49">
        <v>0</v>
      </c>
      <c r="O1415" s="49">
        <v>0</v>
      </c>
      <c r="P1415" s="49">
        <v>0</v>
      </c>
      <c r="Q1415" s="49">
        <v>192</v>
      </c>
      <c r="R1415" s="49">
        <v>14.79</v>
      </c>
      <c r="S1415" s="49">
        <v>26.86</v>
      </c>
    </row>
    <row r="1416" spans="1:19" ht="18">
      <c r="A1416" s="49">
        <v>6485</v>
      </c>
      <c r="B1416" s="49" t="s">
        <v>1834</v>
      </c>
      <c r="C1416" s="49">
        <v>0</v>
      </c>
      <c r="D1416" s="49">
        <v>0</v>
      </c>
      <c r="E1416" s="49">
        <v>0</v>
      </c>
      <c r="F1416" s="49">
        <v>0</v>
      </c>
      <c r="G1416" s="49">
        <v>0</v>
      </c>
      <c r="H1416" s="49">
        <v>0</v>
      </c>
      <c r="I1416" s="49">
        <v>0</v>
      </c>
      <c r="J1416" s="49">
        <v>0</v>
      </c>
      <c r="K1416" s="49">
        <v>10.73</v>
      </c>
      <c r="L1416" s="49">
        <v>10.07</v>
      </c>
      <c r="M1416" s="49">
        <v>0</v>
      </c>
      <c r="N1416" s="49">
        <v>45.16</v>
      </c>
      <c r="O1416" s="49">
        <v>18.309999999999999</v>
      </c>
      <c r="P1416" s="49">
        <v>60.17</v>
      </c>
      <c r="Q1416" s="49">
        <v>18.100000000000001</v>
      </c>
      <c r="R1416" s="49">
        <v>5.33</v>
      </c>
      <c r="S1416" s="49">
        <v>33.92</v>
      </c>
    </row>
    <row r="1417" spans="1:19" ht="18">
      <c r="A1417" s="49">
        <v>6486</v>
      </c>
      <c r="B1417" s="49" t="s">
        <v>1835</v>
      </c>
      <c r="C1417" s="49">
        <v>0</v>
      </c>
      <c r="D1417" s="49">
        <v>0</v>
      </c>
      <c r="E1417" s="49">
        <v>0</v>
      </c>
      <c r="F1417" s="49">
        <v>0</v>
      </c>
      <c r="G1417" s="49">
        <v>0</v>
      </c>
      <c r="H1417" s="49">
        <v>0</v>
      </c>
      <c r="I1417" s="49">
        <v>0</v>
      </c>
      <c r="J1417" s="49">
        <v>0</v>
      </c>
      <c r="K1417" s="49">
        <v>0</v>
      </c>
      <c r="L1417" s="49">
        <v>9.82</v>
      </c>
      <c r="M1417" s="49">
        <v>11.66</v>
      </c>
      <c r="N1417" s="49">
        <v>8.7200000000000006</v>
      </c>
      <c r="O1417" s="49">
        <v>11.31</v>
      </c>
      <c r="P1417" s="49">
        <v>20.62</v>
      </c>
      <c r="Q1417" s="49">
        <v>11.06</v>
      </c>
      <c r="R1417" s="49">
        <v>11.15</v>
      </c>
      <c r="S1417" s="49">
        <v>13.41</v>
      </c>
    </row>
    <row r="1418" spans="1:19" ht="18">
      <c r="A1418" s="49">
        <v>6488</v>
      </c>
      <c r="B1418" s="49" t="s">
        <v>1836</v>
      </c>
      <c r="C1418" s="49">
        <v>0</v>
      </c>
      <c r="D1418" s="49">
        <v>0</v>
      </c>
      <c r="E1418" s="49">
        <v>0</v>
      </c>
      <c r="F1418" s="49">
        <v>0</v>
      </c>
      <c r="G1418" s="49">
        <v>0</v>
      </c>
      <c r="H1418" s="49">
        <v>0</v>
      </c>
      <c r="I1418" s="49">
        <v>0</v>
      </c>
      <c r="J1418" s="49">
        <v>0</v>
      </c>
      <c r="K1418" s="49">
        <v>13.47</v>
      </c>
      <c r="L1418" s="49">
        <v>27</v>
      </c>
      <c r="M1418" s="49">
        <v>55.59</v>
      </c>
      <c r="N1418" s="49">
        <v>10.31</v>
      </c>
      <c r="O1418" s="49">
        <v>11.57</v>
      </c>
      <c r="P1418" s="49">
        <v>24.62</v>
      </c>
      <c r="Q1418" s="49">
        <v>29.44</v>
      </c>
      <c r="R1418" s="49">
        <v>15.99</v>
      </c>
      <c r="S1418" s="49">
        <v>12.1</v>
      </c>
    </row>
    <row r="1419" spans="1:19" ht="18">
      <c r="A1419" s="49">
        <v>6491</v>
      </c>
      <c r="B1419" s="49" t="s">
        <v>1090</v>
      </c>
      <c r="C1419" s="49">
        <v>0</v>
      </c>
      <c r="D1419" s="49">
        <v>0</v>
      </c>
      <c r="E1419" s="49">
        <v>0</v>
      </c>
      <c r="F1419" s="49">
        <v>0</v>
      </c>
      <c r="G1419" s="49">
        <v>0</v>
      </c>
      <c r="H1419" s="49">
        <v>0</v>
      </c>
      <c r="I1419" s="49">
        <v>0</v>
      </c>
      <c r="J1419" s="49">
        <v>0</v>
      </c>
      <c r="K1419" s="49">
        <v>0</v>
      </c>
      <c r="L1419" s="49">
        <v>0</v>
      </c>
      <c r="M1419" s="49">
        <v>0</v>
      </c>
      <c r="N1419" s="49">
        <v>0</v>
      </c>
      <c r="O1419" s="49">
        <v>21.4</v>
      </c>
      <c r="P1419" s="49">
        <v>32.380000000000003</v>
      </c>
      <c r="Q1419" s="49">
        <v>25.71</v>
      </c>
      <c r="R1419" s="49">
        <v>19.920000000000002</v>
      </c>
      <c r="S1419" s="49">
        <v>20.61</v>
      </c>
    </row>
    <row r="1420" spans="1:19" ht="18">
      <c r="A1420" s="49">
        <v>6492</v>
      </c>
      <c r="B1420" s="49" t="s">
        <v>1837</v>
      </c>
      <c r="C1420" s="49">
        <v>0</v>
      </c>
      <c r="D1420" s="49">
        <v>0</v>
      </c>
      <c r="E1420" s="49">
        <v>0</v>
      </c>
      <c r="F1420" s="49">
        <v>0</v>
      </c>
      <c r="G1420" s="49">
        <v>0</v>
      </c>
      <c r="H1420" s="49">
        <v>0</v>
      </c>
      <c r="I1420" s="49">
        <v>0</v>
      </c>
      <c r="J1420" s="49">
        <v>0</v>
      </c>
      <c r="K1420" s="49">
        <v>0</v>
      </c>
      <c r="L1420" s="49">
        <v>0</v>
      </c>
      <c r="M1420" s="49">
        <v>0</v>
      </c>
      <c r="N1420" s="49">
        <v>0</v>
      </c>
      <c r="O1420" s="49">
        <v>0</v>
      </c>
      <c r="P1420" s="49">
        <v>0</v>
      </c>
      <c r="Q1420" s="49">
        <v>0</v>
      </c>
      <c r="R1420" s="49">
        <v>0</v>
      </c>
      <c r="S1420" s="49">
        <v>0</v>
      </c>
    </row>
    <row r="1421" spans="1:19" ht="18">
      <c r="A1421" s="49">
        <v>6494</v>
      </c>
      <c r="B1421" s="49" t="s">
        <v>1838</v>
      </c>
      <c r="C1421" s="49">
        <v>0</v>
      </c>
      <c r="D1421" s="49">
        <v>0</v>
      </c>
      <c r="E1421" s="49">
        <v>0</v>
      </c>
      <c r="F1421" s="49">
        <v>0</v>
      </c>
      <c r="G1421" s="49">
        <v>0</v>
      </c>
      <c r="H1421" s="49">
        <v>0</v>
      </c>
      <c r="I1421" s="49">
        <v>0</v>
      </c>
      <c r="J1421" s="49">
        <v>0</v>
      </c>
      <c r="K1421" s="49">
        <v>0</v>
      </c>
      <c r="L1421" s="49">
        <v>11.06</v>
      </c>
      <c r="M1421" s="49">
        <v>16.07</v>
      </c>
      <c r="N1421" s="49">
        <v>11.69</v>
      </c>
      <c r="O1421" s="49">
        <v>12.69</v>
      </c>
      <c r="P1421" s="49">
        <v>18.11</v>
      </c>
      <c r="Q1421" s="49">
        <v>11.6</v>
      </c>
      <c r="R1421" s="49">
        <v>4.51</v>
      </c>
      <c r="S1421" s="49">
        <v>90.34</v>
      </c>
    </row>
    <row r="1422" spans="1:19" ht="18">
      <c r="A1422" s="49">
        <v>6496</v>
      </c>
      <c r="B1422" s="49" t="s">
        <v>1839</v>
      </c>
      <c r="C1422" s="49">
        <v>0</v>
      </c>
      <c r="D1422" s="49">
        <v>0</v>
      </c>
      <c r="E1422" s="49">
        <v>0</v>
      </c>
      <c r="F1422" s="49">
        <v>0</v>
      </c>
      <c r="G1422" s="49">
        <v>0</v>
      </c>
      <c r="H1422" s="49">
        <v>0</v>
      </c>
      <c r="I1422" s="49">
        <v>0</v>
      </c>
      <c r="J1422" s="49">
        <v>0</v>
      </c>
      <c r="K1422" s="49">
        <v>0</v>
      </c>
      <c r="L1422" s="49">
        <v>18.16</v>
      </c>
      <c r="M1422" s="49">
        <v>12.81</v>
      </c>
      <c r="N1422" s="49">
        <v>8.25</v>
      </c>
      <c r="O1422" s="49">
        <v>15.73</v>
      </c>
      <c r="P1422" s="49">
        <v>24.92</v>
      </c>
      <c r="Q1422" s="49">
        <v>0</v>
      </c>
      <c r="R1422" s="49">
        <v>0</v>
      </c>
      <c r="S1422" s="49">
        <v>0</v>
      </c>
    </row>
    <row r="1423" spans="1:19" ht="18">
      <c r="A1423" s="49">
        <v>6499</v>
      </c>
      <c r="B1423" s="49" t="s">
        <v>1840</v>
      </c>
      <c r="C1423" s="49">
        <v>0</v>
      </c>
      <c r="D1423" s="49">
        <v>0</v>
      </c>
      <c r="E1423" s="49">
        <v>0</v>
      </c>
      <c r="F1423" s="49">
        <v>0</v>
      </c>
      <c r="G1423" s="49">
        <v>0</v>
      </c>
      <c r="H1423" s="49">
        <v>0</v>
      </c>
      <c r="I1423" s="49">
        <v>0</v>
      </c>
      <c r="J1423" s="49">
        <v>0</v>
      </c>
      <c r="K1423" s="49">
        <v>0</v>
      </c>
      <c r="L1423" s="49">
        <v>0</v>
      </c>
      <c r="M1423" s="49">
        <v>0</v>
      </c>
      <c r="N1423" s="49">
        <v>20.82</v>
      </c>
      <c r="O1423" s="49">
        <v>0</v>
      </c>
      <c r="P1423" s="49">
        <v>0</v>
      </c>
      <c r="Q1423" s="49">
        <v>3.05</v>
      </c>
      <c r="R1423" s="49">
        <v>0</v>
      </c>
      <c r="S1423" s="49">
        <v>0</v>
      </c>
    </row>
    <row r="1424" spans="1:19" ht="18">
      <c r="A1424" s="49">
        <v>6504</v>
      </c>
      <c r="B1424" s="49" t="s">
        <v>1091</v>
      </c>
      <c r="C1424" s="49">
        <v>0</v>
      </c>
      <c r="D1424" s="49">
        <v>0</v>
      </c>
      <c r="E1424" s="49">
        <v>0</v>
      </c>
      <c r="F1424" s="49">
        <v>0</v>
      </c>
      <c r="G1424" s="49">
        <v>0</v>
      </c>
      <c r="H1424" s="49">
        <v>0</v>
      </c>
      <c r="I1424" s="49">
        <v>36.69</v>
      </c>
      <c r="J1424" s="49">
        <v>24.52</v>
      </c>
      <c r="K1424" s="49">
        <v>22.5</v>
      </c>
      <c r="L1424" s="49">
        <v>20.36</v>
      </c>
      <c r="M1424" s="49">
        <v>19.88</v>
      </c>
      <c r="N1424" s="49">
        <v>18.62</v>
      </c>
      <c r="O1424" s="49">
        <v>19.53</v>
      </c>
      <c r="P1424" s="49">
        <v>11.39</v>
      </c>
      <c r="Q1424" s="49">
        <v>14.04</v>
      </c>
      <c r="R1424" s="49">
        <v>124.07</v>
      </c>
      <c r="S1424" s="49">
        <v>58.35</v>
      </c>
    </row>
    <row r="1425" spans="1:19" ht="18">
      <c r="A1425" s="49">
        <v>6505</v>
      </c>
      <c r="B1425" s="49" t="s">
        <v>1092</v>
      </c>
      <c r="C1425" s="49">
        <v>13.82</v>
      </c>
      <c r="D1425" s="49">
        <v>9.83</v>
      </c>
      <c r="E1425" s="49">
        <v>0</v>
      </c>
      <c r="F1425" s="49">
        <v>24.66</v>
      </c>
      <c r="G1425" s="49">
        <v>23.1</v>
      </c>
      <c r="H1425" s="49">
        <v>0</v>
      </c>
      <c r="I1425" s="49">
        <v>35.26</v>
      </c>
      <c r="J1425" s="49">
        <v>22.75</v>
      </c>
      <c r="K1425" s="49">
        <v>34.409999999999997</v>
      </c>
      <c r="L1425" s="49">
        <v>16.28</v>
      </c>
      <c r="M1425" s="49">
        <v>13.8</v>
      </c>
      <c r="N1425" s="49">
        <v>11.87</v>
      </c>
      <c r="O1425" s="49">
        <v>36.380000000000003</v>
      </c>
      <c r="P1425" s="49">
        <v>221.78</v>
      </c>
      <c r="Q1425" s="49">
        <v>17.559999999999999</v>
      </c>
      <c r="R1425" s="49">
        <v>23.97</v>
      </c>
      <c r="S1425" s="49">
        <v>72.7</v>
      </c>
    </row>
    <row r="1426" spans="1:19" ht="18">
      <c r="A1426" s="49">
        <v>6506</v>
      </c>
      <c r="B1426" s="49" t="s">
        <v>1841</v>
      </c>
      <c r="C1426" s="49">
        <v>0</v>
      </c>
      <c r="D1426" s="49">
        <v>0</v>
      </c>
      <c r="E1426" s="49">
        <v>0</v>
      </c>
      <c r="F1426" s="49">
        <v>0</v>
      </c>
      <c r="G1426" s="49">
        <v>20.71</v>
      </c>
      <c r="H1426" s="49">
        <v>35.44</v>
      </c>
      <c r="I1426" s="49">
        <v>26.76</v>
      </c>
      <c r="J1426" s="49">
        <v>14.24</v>
      </c>
      <c r="K1426" s="49">
        <v>14.68</v>
      </c>
      <c r="L1426" s="49">
        <v>10.48</v>
      </c>
      <c r="M1426" s="49">
        <v>13.46</v>
      </c>
      <c r="N1426" s="49">
        <v>11.79</v>
      </c>
      <c r="O1426" s="49">
        <v>13.6</v>
      </c>
      <c r="P1426" s="49">
        <v>16.399999999999999</v>
      </c>
      <c r="Q1426" s="49">
        <v>25.65</v>
      </c>
      <c r="R1426" s="49">
        <v>5.73</v>
      </c>
      <c r="S1426" s="49">
        <v>0</v>
      </c>
    </row>
    <row r="1427" spans="1:19" ht="18">
      <c r="A1427" s="49">
        <v>6508</v>
      </c>
      <c r="B1427" s="49" t="s">
        <v>1842</v>
      </c>
      <c r="C1427" s="49">
        <v>12.64</v>
      </c>
      <c r="D1427" s="49">
        <v>7.73</v>
      </c>
      <c r="E1427" s="49">
        <v>20.76</v>
      </c>
      <c r="F1427" s="49">
        <v>19.440000000000001</v>
      </c>
      <c r="G1427" s="49">
        <v>13.09</v>
      </c>
      <c r="H1427" s="49">
        <v>12.74</v>
      </c>
      <c r="I1427" s="49">
        <v>15.81</v>
      </c>
      <c r="J1427" s="49">
        <v>11.3</v>
      </c>
      <c r="K1427" s="49">
        <v>11.02</v>
      </c>
      <c r="L1427" s="49">
        <v>14.17</v>
      </c>
      <c r="M1427" s="49">
        <v>14.22</v>
      </c>
      <c r="N1427" s="49">
        <v>13.79</v>
      </c>
      <c r="O1427" s="49">
        <v>10.4</v>
      </c>
      <c r="P1427" s="49">
        <v>12.84</v>
      </c>
      <c r="Q1427" s="49">
        <v>9.4499999999999993</v>
      </c>
      <c r="R1427" s="49">
        <v>8.67</v>
      </c>
      <c r="S1427" s="49">
        <v>27.98</v>
      </c>
    </row>
    <row r="1428" spans="1:19" ht="18">
      <c r="A1428" s="49">
        <v>6509</v>
      </c>
      <c r="B1428" s="49" t="s">
        <v>1843</v>
      </c>
      <c r="C1428" s="49">
        <v>28.33</v>
      </c>
      <c r="D1428" s="49">
        <v>0</v>
      </c>
      <c r="E1428" s="49">
        <v>40.15</v>
      </c>
      <c r="F1428" s="49">
        <v>24.54</v>
      </c>
      <c r="G1428" s="49">
        <v>0</v>
      </c>
      <c r="H1428" s="49">
        <v>42.09</v>
      </c>
      <c r="I1428" s="49">
        <v>24.69</v>
      </c>
      <c r="J1428" s="49">
        <v>84.04</v>
      </c>
      <c r="K1428" s="49">
        <v>21.18</v>
      </c>
      <c r="L1428" s="49">
        <v>30</v>
      </c>
      <c r="M1428" s="49">
        <v>50.36</v>
      </c>
      <c r="N1428" s="49">
        <v>20.11</v>
      </c>
      <c r="O1428" s="49">
        <v>16.670000000000002</v>
      </c>
      <c r="P1428" s="49">
        <v>17.07</v>
      </c>
      <c r="Q1428" s="49">
        <v>29.83</v>
      </c>
      <c r="R1428" s="49">
        <v>12.82</v>
      </c>
      <c r="S1428" s="49">
        <v>13.96</v>
      </c>
    </row>
    <row r="1429" spans="1:19" ht="18">
      <c r="A1429" s="49">
        <v>6510</v>
      </c>
      <c r="B1429" s="49" t="s">
        <v>1844</v>
      </c>
      <c r="C1429" s="49">
        <v>0</v>
      </c>
      <c r="D1429" s="49">
        <v>0</v>
      </c>
      <c r="E1429" s="49">
        <v>0</v>
      </c>
      <c r="F1429" s="49">
        <v>0</v>
      </c>
      <c r="G1429" s="49">
        <v>0</v>
      </c>
      <c r="H1429" s="49">
        <v>0</v>
      </c>
      <c r="I1429" s="49">
        <v>0</v>
      </c>
      <c r="J1429" s="49">
        <v>0</v>
      </c>
      <c r="K1429" s="49">
        <v>0</v>
      </c>
      <c r="L1429" s="49">
        <v>62.86</v>
      </c>
      <c r="M1429" s="49">
        <v>49.27</v>
      </c>
      <c r="N1429" s="49">
        <v>25.67</v>
      </c>
      <c r="O1429" s="49">
        <v>54.13</v>
      </c>
      <c r="P1429" s="49">
        <v>28.97</v>
      </c>
      <c r="Q1429" s="49">
        <v>27.55</v>
      </c>
      <c r="R1429" s="49">
        <v>17.489999999999998</v>
      </c>
      <c r="S1429" s="49">
        <v>95.76</v>
      </c>
    </row>
    <row r="1430" spans="1:19" ht="18">
      <c r="A1430" s="49">
        <v>6512</v>
      </c>
      <c r="B1430" s="49" t="s">
        <v>1845</v>
      </c>
      <c r="C1430" s="49">
        <v>0</v>
      </c>
      <c r="D1430" s="49">
        <v>0</v>
      </c>
      <c r="E1430" s="49">
        <v>0</v>
      </c>
      <c r="F1430" s="49">
        <v>0</v>
      </c>
      <c r="G1430" s="49">
        <v>0</v>
      </c>
      <c r="H1430" s="49">
        <v>0</v>
      </c>
      <c r="I1430" s="49">
        <v>0</v>
      </c>
      <c r="J1430" s="49">
        <v>0</v>
      </c>
      <c r="K1430" s="49">
        <v>0</v>
      </c>
      <c r="L1430" s="49">
        <v>9.33</v>
      </c>
      <c r="M1430" s="49">
        <v>25.32</v>
      </c>
      <c r="N1430" s="49">
        <v>30.09</v>
      </c>
      <c r="O1430" s="49">
        <v>0</v>
      </c>
      <c r="P1430" s="49">
        <v>0</v>
      </c>
      <c r="Q1430" s="49">
        <v>0</v>
      </c>
      <c r="R1430" s="49">
        <v>41.02</v>
      </c>
      <c r="S1430" s="49">
        <v>0</v>
      </c>
    </row>
    <row r="1431" spans="1:19" ht="18">
      <c r="A1431" s="49">
        <v>6514</v>
      </c>
      <c r="B1431" s="49" t="s">
        <v>1846</v>
      </c>
      <c r="C1431" s="49">
        <v>0</v>
      </c>
      <c r="D1431" s="49">
        <v>0</v>
      </c>
      <c r="E1431" s="49">
        <v>0</v>
      </c>
      <c r="F1431" s="49">
        <v>0</v>
      </c>
      <c r="G1431" s="49">
        <v>0</v>
      </c>
      <c r="H1431" s="49">
        <v>0</v>
      </c>
      <c r="I1431" s="49">
        <v>0</v>
      </c>
      <c r="J1431" s="49">
        <v>0</v>
      </c>
      <c r="K1431" s="49">
        <v>21.9</v>
      </c>
      <c r="L1431" s="49">
        <v>27.56</v>
      </c>
      <c r="M1431" s="49">
        <v>14.23</v>
      </c>
      <c r="N1431" s="49">
        <v>15.64</v>
      </c>
      <c r="O1431" s="49">
        <v>14.88</v>
      </c>
      <c r="P1431" s="49">
        <v>21.17</v>
      </c>
      <c r="Q1431" s="49">
        <v>29.13</v>
      </c>
      <c r="R1431" s="49">
        <v>11.05</v>
      </c>
      <c r="S1431" s="49">
        <v>22.47</v>
      </c>
    </row>
    <row r="1432" spans="1:19" ht="18">
      <c r="A1432" s="49">
        <v>6515</v>
      </c>
      <c r="B1432" s="49" t="s">
        <v>1093</v>
      </c>
      <c r="C1432" s="49">
        <v>0</v>
      </c>
      <c r="D1432" s="49">
        <v>0</v>
      </c>
      <c r="E1432" s="49">
        <v>0</v>
      </c>
      <c r="F1432" s="49">
        <v>0</v>
      </c>
      <c r="G1432" s="49">
        <v>0</v>
      </c>
      <c r="H1432" s="49">
        <v>0</v>
      </c>
      <c r="I1432" s="49">
        <v>0</v>
      </c>
      <c r="J1432" s="49">
        <v>0</v>
      </c>
      <c r="K1432" s="49">
        <v>0</v>
      </c>
      <c r="L1432" s="49">
        <v>0</v>
      </c>
      <c r="M1432" s="49">
        <v>0</v>
      </c>
      <c r="N1432" s="49">
        <v>0</v>
      </c>
      <c r="O1432" s="49">
        <v>0</v>
      </c>
      <c r="P1432" s="49">
        <v>0</v>
      </c>
      <c r="Q1432" s="49">
        <v>39.840000000000003</v>
      </c>
      <c r="R1432" s="49">
        <v>15.48</v>
      </c>
      <c r="S1432" s="49">
        <v>36.04</v>
      </c>
    </row>
    <row r="1433" spans="1:19" ht="18">
      <c r="A1433" s="49">
        <v>6516</v>
      </c>
      <c r="B1433" s="49" t="s">
        <v>1847</v>
      </c>
      <c r="C1433" s="49">
        <v>0</v>
      </c>
      <c r="D1433" s="49">
        <v>0</v>
      </c>
      <c r="E1433" s="49">
        <v>0</v>
      </c>
      <c r="F1433" s="49">
        <v>0</v>
      </c>
      <c r="G1433" s="49">
        <v>0</v>
      </c>
      <c r="H1433" s="49">
        <v>0</v>
      </c>
      <c r="I1433" s="49">
        <v>0</v>
      </c>
      <c r="J1433" s="49">
        <v>0</v>
      </c>
      <c r="K1433" s="49">
        <v>0</v>
      </c>
      <c r="L1433" s="49">
        <v>0</v>
      </c>
      <c r="M1433" s="49">
        <v>0</v>
      </c>
      <c r="N1433" s="49">
        <v>0</v>
      </c>
      <c r="O1433" s="49">
        <v>184.17</v>
      </c>
      <c r="P1433" s="49">
        <v>0</v>
      </c>
      <c r="Q1433" s="49">
        <v>68.989999999999995</v>
      </c>
      <c r="R1433" s="49">
        <v>44.22</v>
      </c>
      <c r="S1433" s="49">
        <v>61.88</v>
      </c>
    </row>
    <row r="1434" spans="1:19" ht="18">
      <c r="A1434" s="49">
        <v>6517</v>
      </c>
      <c r="B1434" s="49" t="s">
        <v>1848</v>
      </c>
      <c r="C1434" s="49">
        <v>0</v>
      </c>
      <c r="D1434" s="49">
        <v>0</v>
      </c>
      <c r="E1434" s="49">
        <v>0</v>
      </c>
      <c r="F1434" s="49">
        <v>0</v>
      </c>
      <c r="G1434" s="49">
        <v>0</v>
      </c>
      <c r="H1434" s="49">
        <v>0</v>
      </c>
      <c r="I1434" s="49">
        <v>0</v>
      </c>
      <c r="J1434" s="49">
        <v>0</v>
      </c>
      <c r="K1434" s="49">
        <v>0</v>
      </c>
      <c r="L1434" s="49">
        <v>0</v>
      </c>
      <c r="M1434" s="49">
        <v>0</v>
      </c>
      <c r="N1434" s="49">
        <v>0</v>
      </c>
      <c r="O1434" s="49">
        <v>0</v>
      </c>
      <c r="P1434" s="49">
        <v>0</v>
      </c>
      <c r="Q1434" s="49">
        <v>0</v>
      </c>
      <c r="R1434" s="49">
        <v>13.13</v>
      </c>
      <c r="S1434" s="49">
        <v>21.42</v>
      </c>
    </row>
    <row r="1435" spans="1:19" ht="18">
      <c r="A1435" s="49">
        <v>6523</v>
      </c>
      <c r="B1435" s="49" t="s">
        <v>1849</v>
      </c>
      <c r="C1435" s="49">
        <v>0</v>
      </c>
      <c r="D1435" s="49">
        <v>0</v>
      </c>
      <c r="E1435" s="49">
        <v>0</v>
      </c>
      <c r="F1435" s="49">
        <v>0</v>
      </c>
      <c r="G1435" s="49">
        <v>0</v>
      </c>
      <c r="H1435" s="49">
        <v>0</v>
      </c>
      <c r="I1435" s="49">
        <v>0</v>
      </c>
      <c r="J1435" s="49">
        <v>0</v>
      </c>
      <c r="K1435" s="49">
        <v>0</v>
      </c>
      <c r="L1435" s="49">
        <v>26.99</v>
      </c>
      <c r="M1435" s="49">
        <v>18.809999999999999</v>
      </c>
      <c r="N1435" s="49">
        <v>39.520000000000003</v>
      </c>
      <c r="O1435" s="49">
        <v>55.46</v>
      </c>
      <c r="P1435" s="49">
        <v>14.08</v>
      </c>
      <c r="Q1435" s="49">
        <v>6.11</v>
      </c>
      <c r="R1435" s="49">
        <v>14.22</v>
      </c>
      <c r="S1435" s="49">
        <v>16.829999999999998</v>
      </c>
    </row>
    <row r="1436" spans="1:19" ht="18">
      <c r="A1436" s="49">
        <v>6525</v>
      </c>
      <c r="B1436" s="49" t="s">
        <v>1094</v>
      </c>
      <c r="C1436" s="49">
        <v>0</v>
      </c>
      <c r="D1436" s="49">
        <v>0</v>
      </c>
      <c r="E1436" s="49">
        <v>0</v>
      </c>
      <c r="F1436" s="49">
        <v>0</v>
      </c>
      <c r="G1436" s="49">
        <v>0</v>
      </c>
      <c r="H1436" s="49">
        <v>0</v>
      </c>
      <c r="I1436" s="49">
        <v>0</v>
      </c>
      <c r="J1436" s="49">
        <v>0</v>
      </c>
      <c r="K1436" s="49">
        <v>0</v>
      </c>
      <c r="L1436" s="49">
        <v>10.29</v>
      </c>
      <c r="M1436" s="49">
        <v>15.31</v>
      </c>
      <c r="N1436" s="49">
        <v>10.130000000000001</v>
      </c>
      <c r="O1436" s="49">
        <v>12.96</v>
      </c>
      <c r="P1436" s="49">
        <v>13.37</v>
      </c>
      <c r="Q1436" s="49">
        <v>14.37</v>
      </c>
      <c r="R1436" s="49">
        <v>8.64</v>
      </c>
      <c r="S1436" s="49">
        <v>15.55</v>
      </c>
    </row>
    <row r="1437" spans="1:19" ht="18">
      <c r="A1437" s="49">
        <v>6527</v>
      </c>
      <c r="B1437" s="49" t="s">
        <v>1850</v>
      </c>
      <c r="C1437" s="49">
        <v>0</v>
      </c>
      <c r="D1437" s="49">
        <v>0</v>
      </c>
      <c r="E1437" s="49">
        <v>0</v>
      </c>
      <c r="F1437" s="49">
        <v>0</v>
      </c>
      <c r="G1437" s="49">
        <v>0</v>
      </c>
      <c r="H1437" s="49">
        <v>0</v>
      </c>
      <c r="I1437" s="49">
        <v>0</v>
      </c>
      <c r="J1437" s="49">
        <v>0</v>
      </c>
      <c r="K1437" s="49">
        <v>0</v>
      </c>
      <c r="L1437" s="49">
        <v>0</v>
      </c>
      <c r="M1437" s="49">
        <v>0</v>
      </c>
      <c r="N1437" s="49">
        <v>0</v>
      </c>
      <c r="O1437" s="49">
        <v>17.8</v>
      </c>
      <c r="P1437" s="49">
        <v>19.34</v>
      </c>
      <c r="Q1437" s="49">
        <v>16.649999999999999</v>
      </c>
      <c r="R1437" s="49">
        <v>11.69</v>
      </c>
      <c r="S1437" s="49">
        <v>19.14</v>
      </c>
    </row>
    <row r="1438" spans="1:19" ht="18">
      <c r="A1438" s="49">
        <v>6530</v>
      </c>
      <c r="B1438" s="49" t="s">
        <v>1851</v>
      </c>
      <c r="C1438" s="49">
        <v>0</v>
      </c>
      <c r="D1438" s="49">
        <v>0</v>
      </c>
      <c r="E1438" s="49">
        <v>0</v>
      </c>
      <c r="F1438" s="49">
        <v>0</v>
      </c>
      <c r="G1438" s="49">
        <v>0</v>
      </c>
      <c r="H1438" s="49">
        <v>0</v>
      </c>
      <c r="I1438" s="49">
        <v>0</v>
      </c>
      <c r="J1438" s="49">
        <v>0</v>
      </c>
      <c r="K1438" s="49">
        <v>0</v>
      </c>
      <c r="L1438" s="49">
        <v>0</v>
      </c>
      <c r="M1438" s="49">
        <v>0</v>
      </c>
      <c r="N1438" s="49">
        <v>24.09</v>
      </c>
      <c r="O1438" s="49">
        <v>26.87</v>
      </c>
      <c r="P1438" s="49">
        <v>24.94</v>
      </c>
      <c r="Q1438" s="49">
        <v>24.12</v>
      </c>
      <c r="R1438" s="49">
        <v>15.56</v>
      </c>
      <c r="S1438" s="49">
        <v>30.99</v>
      </c>
    </row>
    <row r="1439" spans="1:19" ht="18">
      <c r="A1439" s="49">
        <v>6531</v>
      </c>
      <c r="B1439" s="49" t="s">
        <v>1095</v>
      </c>
      <c r="C1439" s="49">
        <v>0</v>
      </c>
      <c r="D1439" s="49">
        <v>0</v>
      </c>
      <c r="E1439" s="49">
        <v>0</v>
      </c>
      <c r="F1439" s="49">
        <v>0</v>
      </c>
      <c r="G1439" s="49">
        <v>0</v>
      </c>
      <c r="H1439" s="49">
        <v>0</v>
      </c>
      <c r="I1439" s="49">
        <v>0</v>
      </c>
      <c r="J1439" s="49">
        <v>0</v>
      </c>
      <c r="K1439" s="49">
        <v>0</v>
      </c>
      <c r="L1439" s="49">
        <v>9.68</v>
      </c>
      <c r="M1439" s="49">
        <v>16.260000000000002</v>
      </c>
      <c r="N1439" s="49">
        <v>12.87</v>
      </c>
      <c r="O1439" s="49">
        <v>0</v>
      </c>
      <c r="P1439" s="49">
        <v>119.19</v>
      </c>
      <c r="Q1439" s="49">
        <v>35.93</v>
      </c>
      <c r="R1439" s="49">
        <v>11.01</v>
      </c>
      <c r="S1439" s="49">
        <v>66.62</v>
      </c>
    </row>
    <row r="1440" spans="1:19" ht="18">
      <c r="A1440" s="49">
        <v>6532</v>
      </c>
      <c r="B1440" s="49" t="s">
        <v>1852</v>
      </c>
      <c r="C1440" s="49">
        <v>0</v>
      </c>
      <c r="D1440" s="49">
        <v>0</v>
      </c>
      <c r="E1440" s="49">
        <v>0</v>
      </c>
      <c r="F1440" s="49">
        <v>0</v>
      </c>
      <c r="G1440" s="49">
        <v>0</v>
      </c>
      <c r="H1440" s="49">
        <v>0</v>
      </c>
      <c r="I1440" s="49">
        <v>0</v>
      </c>
      <c r="J1440" s="49">
        <v>0</v>
      </c>
      <c r="K1440" s="49">
        <v>0</v>
      </c>
      <c r="L1440" s="49">
        <v>24.73</v>
      </c>
      <c r="M1440" s="49">
        <v>15.65</v>
      </c>
      <c r="N1440" s="49">
        <v>8.7100000000000009</v>
      </c>
      <c r="O1440" s="49">
        <v>12.55</v>
      </c>
      <c r="P1440" s="49">
        <v>16.760000000000002</v>
      </c>
      <c r="Q1440" s="49">
        <v>28.11</v>
      </c>
      <c r="R1440" s="49">
        <v>10.82</v>
      </c>
      <c r="S1440" s="49">
        <v>15.04</v>
      </c>
    </row>
    <row r="1441" spans="1:19" ht="18">
      <c r="A1441" s="49">
        <v>6533</v>
      </c>
      <c r="B1441" s="49" t="s">
        <v>1096</v>
      </c>
      <c r="C1441" s="49">
        <v>0</v>
      </c>
      <c r="D1441" s="49">
        <v>0</v>
      </c>
      <c r="E1441" s="49">
        <v>0</v>
      </c>
      <c r="F1441" s="49">
        <v>0</v>
      </c>
      <c r="G1441" s="49">
        <v>0</v>
      </c>
      <c r="H1441" s="49">
        <v>0</v>
      </c>
      <c r="I1441" s="49">
        <v>0</v>
      </c>
      <c r="J1441" s="49">
        <v>0</v>
      </c>
      <c r="K1441" s="49">
        <v>0</v>
      </c>
      <c r="L1441" s="49">
        <v>0</v>
      </c>
      <c r="M1441" s="49">
        <v>134.34</v>
      </c>
      <c r="N1441" s="49">
        <v>1962.5</v>
      </c>
      <c r="O1441" s="49">
        <v>123.36</v>
      </c>
      <c r="P1441" s="49">
        <v>0</v>
      </c>
      <c r="Q1441" s="49">
        <v>107.85</v>
      </c>
      <c r="R1441" s="49">
        <v>48.58</v>
      </c>
      <c r="S1441" s="49">
        <v>0</v>
      </c>
    </row>
    <row r="1442" spans="1:19" ht="18">
      <c r="A1442" s="49">
        <v>6535</v>
      </c>
      <c r="B1442" s="49" t="s">
        <v>1853</v>
      </c>
      <c r="C1442" s="49">
        <v>0</v>
      </c>
      <c r="D1442" s="49">
        <v>0</v>
      </c>
      <c r="E1442" s="49">
        <v>0</v>
      </c>
      <c r="F1442" s="49">
        <v>0</v>
      </c>
      <c r="G1442" s="49">
        <v>0</v>
      </c>
      <c r="H1442" s="49">
        <v>0</v>
      </c>
      <c r="I1442" s="49">
        <v>0</v>
      </c>
      <c r="J1442" s="49">
        <v>0</v>
      </c>
      <c r="K1442" s="49">
        <v>0</v>
      </c>
      <c r="L1442" s="49">
        <v>0</v>
      </c>
      <c r="M1442" s="49">
        <v>0</v>
      </c>
      <c r="N1442" s="49">
        <v>0</v>
      </c>
      <c r="O1442" s="49">
        <v>0</v>
      </c>
      <c r="P1442" s="49">
        <v>0</v>
      </c>
      <c r="Q1442" s="49">
        <v>18.05</v>
      </c>
      <c r="R1442" s="49">
        <v>0</v>
      </c>
      <c r="S1442" s="49">
        <v>0</v>
      </c>
    </row>
    <row r="1443" spans="1:19" ht="18">
      <c r="A1443" s="49">
        <v>6538</v>
      </c>
      <c r="B1443" s="49" t="s">
        <v>1854</v>
      </c>
      <c r="C1443" s="49">
        <v>0</v>
      </c>
      <c r="D1443" s="49">
        <v>0</v>
      </c>
      <c r="E1443" s="49">
        <v>0</v>
      </c>
      <c r="F1443" s="49">
        <v>0</v>
      </c>
      <c r="G1443" s="49">
        <v>0</v>
      </c>
      <c r="H1443" s="49">
        <v>0</v>
      </c>
      <c r="I1443" s="49">
        <v>0</v>
      </c>
      <c r="J1443" s="49">
        <v>0</v>
      </c>
      <c r="K1443" s="49">
        <v>0</v>
      </c>
      <c r="L1443" s="49">
        <v>9.43</v>
      </c>
      <c r="M1443" s="49">
        <v>43.07</v>
      </c>
      <c r="N1443" s="49">
        <v>0</v>
      </c>
      <c r="O1443" s="49">
        <v>28.78</v>
      </c>
      <c r="P1443" s="49">
        <v>14.33</v>
      </c>
      <c r="Q1443" s="49">
        <v>18.86</v>
      </c>
      <c r="R1443" s="49">
        <v>14.78</v>
      </c>
      <c r="S1443" s="49">
        <v>22.68</v>
      </c>
    </row>
    <row r="1444" spans="1:19" ht="18">
      <c r="A1444" s="49">
        <v>6541</v>
      </c>
      <c r="B1444" s="49" t="s">
        <v>1097</v>
      </c>
      <c r="C1444" s="49">
        <v>0</v>
      </c>
      <c r="D1444" s="49">
        <v>0</v>
      </c>
      <c r="E1444" s="49">
        <v>0</v>
      </c>
      <c r="F1444" s="49">
        <v>0</v>
      </c>
      <c r="G1444" s="49">
        <v>0</v>
      </c>
      <c r="H1444" s="49">
        <v>0</v>
      </c>
      <c r="I1444" s="49">
        <v>0</v>
      </c>
      <c r="J1444" s="49">
        <v>0</v>
      </c>
      <c r="K1444" s="49">
        <v>0</v>
      </c>
      <c r="L1444" s="49">
        <v>0</v>
      </c>
      <c r="M1444" s="49">
        <v>0</v>
      </c>
      <c r="N1444" s="49">
        <v>0</v>
      </c>
      <c r="O1444" s="49">
        <v>0</v>
      </c>
      <c r="P1444" s="49">
        <v>0</v>
      </c>
      <c r="Q1444" s="49">
        <v>0</v>
      </c>
      <c r="R1444" s="49">
        <v>0</v>
      </c>
      <c r="S1444" s="49">
        <v>0</v>
      </c>
    </row>
    <row r="1445" spans="1:19" ht="18">
      <c r="A1445" s="49">
        <v>6542</v>
      </c>
      <c r="B1445" s="49" t="s">
        <v>1855</v>
      </c>
      <c r="C1445" s="49">
        <v>0</v>
      </c>
      <c r="D1445" s="49">
        <v>0</v>
      </c>
      <c r="E1445" s="49">
        <v>0</v>
      </c>
      <c r="F1445" s="49">
        <v>0</v>
      </c>
      <c r="G1445" s="49">
        <v>0</v>
      </c>
      <c r="H1445" s="49">
        <v>0</v>
      </c>
      <c r="I1445" s="49">
        <v>0</v>
      </c>
      <c r="J1445" s="49">
        <v>0</v>
      </c>
      <c r="K1445" s="49">
        <v>0</v>
      </c>
      <c r="L1445" s="49">
        <v>19.489999999999998</v>
      </c>
      <c r="M1445" s="49">
        <v>26.09</v>
      </c>
      <c r="N1445" s="49">
        <v>0</v>
      </c>
      <c r="O1445" s="49">
        <v>0</v>
      </c>
      <c r="P1445" s="49">
        <v>55.73</v>
      </c>
      <c r="Q1445" s="49">
        <v>0</v>
      </c>
      <c r="R1445" s="49">
        <v>23.45</v>
      </c>
      <c r="S1445" s="49">
        <v>24.05</v>
      </c>
    </row>
    <row r="1446" spans="1:19" ht="18">
      <c r="A1446" s="49">
        <v>6546</v>
      </c>
      <c r="B1446" s="49" t="s">
        <v>1856</v>
      </c>
      <c r="C1446" s="49">
        <v>0</v>
      </c>
      <c r="D1446" s="49">
        <v>0</v>
      </c>
      <c r="E1446" s="49">
        <v>0</v>
      </c>
      <c r="F1446" s="49">
        <v>0</v>
      </c>
      <c r="G1446" s="49">
        <v>0</v>
      </c>
      <c r="H1446" s="49">
        <v>0</v>
      </c>
      <c r="I1446" s="49">
        <v>0</v>
      </c>
      <c r="J1446" s="49">
        <v>0</v>
      </c>
      <c r="K1446" s="49">
        <v>0</v>
      </c>
      <c r="L1446" s="49">
        <v>0</v>
      </c>
      <c r="M1446" s="49">
        <v>0</v>
      </c>
      <c r="N1446" s="49">
        <v>0</v>
      </c>
      <c r="O1446" s="49">
        <v>0</v>
      </c>
      <c r="P1446" s="49">
        <v>0</v>
      </c>
      <c r="Q1446" s="49">
        <v>0</v>
      </c>
      <c r="R1446" s="49">
        <v>7.83</v>
      </c>
      <c r="S1446" s="49">
        <v>30.53</v>
      </c>
    </row>
    <row r="1447" spans="1:19" ht="18">
      <c r="A1447" s="49">
        <v>6547</v>
      </c>
      <c r="B1447" s="49" t="s">
        <v>1857</v>
      </c>
      <c r="C1447" s="49">
        <v>0</v>
      </c>
      <c r="D1447" s="49">
        <v>0</v>
      </c>
      <c r="E1447" s="49">
        <v>0</v>
      </c>
      <c r="F1447" s="49">
        <v>0</v>
      </c>
      <c r="G1447" s="49">
        <v>0</v>
      </c>
      <c r="H1447" s="49">
        <v>0</v>
      </c>
      <c r="I1447" s="49">
        <v>0</v>
      </c>
      <c r="J1447" s="49">
        <v>0</v>
      </c>
      <c r="K1447" s="49">
        <v>0</v>
      </c>
      <c r="L1447" s="49">
        <v>0</v>
      </c>
      <c r="M1447" s="49">
        <v>0</v>
      </c>
      <c r="N1447" s="49">
        <v>0</v>
      </c>
      <c r="O1447" s="49">
        <v>0</v>
      </c>
      <c r="P1447" s="49">
        <v>0</v>
      </c>
      <c r="Q1447" s="49">
        <v>404.05</v>
      </c>
      <c r="R1447" s="49">
        <v>73.94</v>
      </c>
      <c r="S1447" s="49">
        <v>0</v>
      </c>
    </row>
    <row r="1448" spans="1:19" ht="18">
      <c r="A1448" s="49">
        <v>6548</v>
      </c>
      <c r="B1448" s="49" t="s">
        <v>1858</v>
      </c>
      <c r="C1448" s="49">
        <v>0</v>
      </c>
      <c r="D1448" s="49">
        <v>0</v>
      </c>
      <c r="E1448" s="49">
        <v>0</v>
      </c>
      <c r="F1448" s="49">
        <v>0</v>
      </c>
      <c r="G1448" s="49">
        <v>0</v>
      </c>
      <c r="H1448" s="49">
        <v>0</v>
      </c>
      <c r="I1448" s="49">
        <v>0</v>
      </c>
      <c r="J1448" s="49">
        <v>0</v>
      </c>
      <c r="K1448" s="49">
        <v>0</v>
      </c>
      <c r="L1448" s="49">
        <v>119.62</v>
      </c>
      <c r="M1448" s="49">
        <v>49.21</v>
      </c>
      <c r="N1448" s="49">
        <v>12.48</v>
      </c>
      <c r="O1448" s="49">
        <v>20.149999999999999</v>
      </c>
      <c r="P1448" s="49">
        <v>28.75</v>
      </c>
      <c r="Q1448" s="49">
        <v>29.52</v>
      </c>
      <c r="R1448" s="49">
        <v>9.4600000000000009</v>
      </c>
      <c r="S1448" s="49">
        <v>18.98</v>
      </c>
    </row>
    <row r="1449" spans="1:19" ht="18">
      <c r="A1449" s="49">
        <v>6550</v>
      </c>
      <c r="B1449" s="49" t="s">
        <v>1098</v>
      </c>
      <c r="C1449" s="49">
        <v>0</v>
      </c>
      <c r="D1449" s="49">
        <v>0</v>
      </c>
      <c r="E1449" s="49">
        <v>0</v>
      </c>
      <c r="F1449" s="49">
        <v>0</v>
      </c>
      <c r="G1449" s="49">
        <v>0</v>
      </c>
      <c r="H1449" s="49">
        <v>0</v>
      </c>
      <c r="I1449" s="49">
        <v>0</v>
      </c>
      <c r="J1449" s="49">
        <v>0</v>
      </c>
      <c r="K1449" s="49">
        <v>0</v>
      </c>
      <c r="L1449" s="49">
        <v>0</v>
      </c>
      <c r="M1449" s="49">
        <v>0</v>
      </c>
      <c r="N1449" s="49">
        <v>0</v>
      </c>
      <c r="O1449" s="49">
        <v>0</v>
      </c>
      <c r="P1449" s="49">
        <v>0</v>
      </c>
      <c r="Q1449" s="49">
        <v>0</v>
      </c>
      <c r="R1449" s="49">
        <v>0</v>
      </c>
      <c r="S1449" s="49">
        <v>0</v>
      </c>
    </row>
    <row r="1450" spans="1:19" ht="18">
      <c r="A1450" s="49">
        <v>6552</v>
      </c>
      <c r="B1450" s="49" t="s">
        <v>1099</v>
      </c>
      <c r="C1450" s="49">
        <v>0</v>
      </c>
      <c r="D1450" s="49">
        <v>0</v>
      </c>
      <c r="E1450" s="49">
        <v>0</v>
      </c>
      <c r="F1450" s="49">
        <v>0</v>
      </c>
      <c r="G1450" s="49">
        <v>0</v>
      </c>
      <c r="H1450" s="49">
        <v>0</v>
      </c>
      <c r="I1450" s="49">
        <v>0</v>
      </c>
      <c r="J1450" s="49">
        <v>0</v>
      </c>
      <c r="K1450" s="49">
        <v>0</v>
      </c>
      <c r="L1450" s="49">
        <v>0</v>
      </c>
      <c r="M1450" s="49">
        <v>336.11</v>
      </c>
      <c r="N1450" s="49">
        <v>88.62</v>
      </c>
      <c r="O1450" s="49">
        <v>14.11</v>
      </c>
      <c r="P1450" s="49">
        <v>22.33</v>
      </c>
      <c r="Q1450" s="49">
        <v>15.83</v>
      </c>
      <c r="R1450" s="49">
        <v>14.63</v>
      </c>
      <c r="S1450" s="49">
        <v>0</v>
      </c>
    </row>
    <row r="1451" spans="1:19" ht="18">
      <c r="A1451" s="49">
        <v>6556</v>
      </c>
      <c r="B1451" s="49" t="s">
        <v>1859</v>
      </c>
      <c r="C1451" s="49">
        <v>0</v>
      </c>
      <c r="D1451" s="49">
        <v>0</v>
      </c>
      <c r="E1451" s="49">
        <v>0</v>
      </c>
      <c r="F1451" s="49">
        <v>0</v>
      </c>
      <c r="G1451" s="49">
        <v>0</v>
      </c>
      <c r="H1451" s="49">
        <v>0</v>
      </c>
      <c r="I1451" s="49">
        <v>0</v>
      </c>
      <c r="J1451" s="49">
        <v>0</v>
      </c>
      <c r="K1451" s="49">
        <v>0</v>
      </c>
      <c r="L1451" s="49">
        <v>0</v>
      </c>
      <c r="M1451" s="49">
        <v>10.41</v>
      </c>
      <c r="N1451" s="49">
        <v>82.32</v>
      </c>
      <c r="O1451" s="49">
        <v>18.96</v>
      </c>
      <c r="P1451" s="49">
        <v>18.57</v>
      </c>
      <c r="Q1451" s="49">
        <v>21.3</v>
      </c>
      <c r="R1451" s="49">
        <v>13.15</v>
      </c>
      <c r="S1451" s="49">
        <v>11.03</v>
      </c>
    </row>
    <row r="1452" spans="1:19" ht="18">
      <c r="A1452" s="49">
        <v>6558</v>
      </c>
      <c r="B1452" s="49" t="s">
        <v>1100</v>
      </c>
      <c r="C1452" s="49">
        <v>0</v>
      </c>
      <c r="D1452" s="49">
        <v>0</v>
      </c>
      <c r="E1452" s="49">
        <v>0</v>
      </c>
      <c r="F1452" s="49">
        <v>0</v>
      </c>
      <c r="G1452" s="49">
        <v>0</v>
      </c>
      <c r="H1452" s="49">
        <v>0</v>
      </c>
      <c r="I1452" s="49">
        <v>0</v>
      </c>
      <c r="J1452" s="49">
        <v>0</v>
      </c>
      <c r="K1452" s="49">
        <v>0</v>
      </c>
      <c r="L1452" s="49">
        <v>0</v>
      </c>
      <c r="M1452" s="49">
        <v>0</v>
      </c>
      <c r="N1452" s="49">
        <v>23.72</v>
      </c>
      <c r="O1452" s="49">
        <v>31.79</v>
      </c>
      <c r="P1452" s="49">
        <v>113.78</v>
      </c>
      <c r="Q1452" s="49">
        <v>50</v>
      </c>
      <c r="R1452" s="49">
        <v>0</v>
      </c>
      <c r="S1452" s="49">
        <v>0</v>
      </c>
    </row>
    <row r="1453" spans="1:19" ht="18">
      <c r="A1453" s="49">
        <v>6560</v>
      </c>
      <c r="B1453" s="49" t="s">
        <v>1860</v>
      </c>
      <c r="C1453" s="49">
        <v>0</v>
      </c>
      <c r="D1453" s="49">
        <v>0</v>
      </c>
      <c r="E1453" s="49">
        <v>0</v>
      </c>
      <c r="F1453" s="49">
        <v>0</v>
      </c>
      <c r="G1453" s="49">
        <v>0</v>
      </c>
      <c r="H1453" s="49">
        <v>0</v>
      </c>
      <c r="I1453" s="49">
        <v>0</v>
      </c>
      <c r="J1453" s="49">
        <v>0</v>
      </c>
      <c r="K1453" s="49">
        <v>0</v>
      </c>
      <c r="L1453" s="49">
        <v>0</v>
      </c>
      <c r="M1453" s="49">
        <v>0</v>
      </c>
      <c r="N1453" s="49">
        <v>15.88</v>
      </c>
      <c r="O1453" s="49">
        <v>15.07</v>
      </c>
      <c r="P1453" s="49">
        <v>28.24</v>
      </c>
      <c r="Q1453" s="49">
        <v>7.33</v>
      </c>
      <c r="R1453" s="49">
        <v>11.67</v>
      </c>
      <c r="S1453" s="49">
        <v>0</v>
      </c>
    </row>
    <row r="1454" spans="1:19" ht="18">
      <c r="A1454" s="49">
        <v>6561</v>
      </c>
      <c r="B1454" s="49" t="s">
        <v>1861</v>
      </c>
      <c r="C1454" s="49">
        <v>0</v>
      </c>
      <c r="D1454" s="49">
        <v>0</v>
      </c>
      <c r="E1454" s="49">
        <v>0</v>
      </c>
      <c r="F1454" s="49">
        <v>0</v>
      </c>
      <c r="G1454" s="49">
        <v>0</v>
      </c>
      <c r="H1454" s="49">
        <v>0</v>
      </c>
      <c r="I1454" s="49">
        <v>0</v>
      </c>
      <c r="J1454" s="49">
        <v>0</v>
      </c>
      <c r="K1454" s="49">
        <v>0</v>
      </c>
      <c r="L1454" s="49">
        <v>0</v>
      </c>
      <c r="M1454" s="49">
        <v>0</v>
      </c>
      <c r="N1454" s="49">
        <v>22.4</v>
      </c>
      <c r="O1454" s="49">
        <v>28.8</v>
      </c>
      <c r="P1454" s="49">
        <v>42.35</v>
      </c>
      <c r="Q1454" s="49">
        <v>29.73</v>
      </c>
      <c r="R1454" s="49">
        <v>25.11</v>
      </c>
      <c r="S1454" s="49">
        <v>28.19</v>
      </c>
    </row>
    <row r="1455" spans="1:19" ht="18">
      <c r="A1455" s="49">
        <v>6568</v>
      </c>
      <c r="B1455" s="49" t="s">
        <v>1862</v>
      </c>
      <c r="C1455" s="49">
        <v>0</v>
      </c>
      <c r="D1455" s="49">
        <v>0</v>
      </c>
      <c r="E1455" s="49">
        <v>0</v>
      </c>
      <c r="F1455" s="49">
        <v>0</v>
      </c>
      <c r="G1455" s="49">
        <v>0</v>
      </c>
      <c r="H1455" s="49">
        <v>0</v>
      </c>
      <c r="I1455" s="49">
        <v>0</v>
      </c>
      <c r="J1455" s="49">
        <v>0</v>
      </c>
      <c r="K1455" s="49">
        <v>0</v>
      </c>
      <c r="L1455" s="49">
        <v>13.63</v>
      </c>
      <c r="M1455" s="49">
        <v>19.86</v>
      </c>
      <c r="N1455" s="49">
        <v>15.63</v>
      </c>
      <c r="O1455" s="49">
        <v>17.32</v>
      </c>
      <c r="P1455" s="49">
        <v>24.55</v>
      </c>
      <c r="Q1455" s="49">
        <v>59.78</v>
      </c>
      <c r="R1455" s="49">
        <v>42.92</v>
      </c>
      <c r="S1455" s="49">
        <v>42.31</v>
      </c>
    </row>
    <row r="1456" spans="1:19" ht="18">
      <c r="A1456" s="49">
        <v>6569</v>
      </c>
      <c r="B1456" s="49" t="s">
        <v>1863</v>
      </c>
      <c r="C1456" s="49">
        <v>0</v>
      </c>
      <c r="D1456" s="49">
        <v>0</v>
      </c>
      <c r="E1456" s="49">
        <v>0</v>
      </c>
      <c r="F1456" s="49">
        <v>0</v>
      </c>
      <c r="G1456" s="49">
        <v>0</v>
      </c>
      <c r="H1456" s="49">
        <v>0</v>
      </c>
      <c r="I1456" s="49">
        <v>0</v>
      </c>
      <c r="J1456" s="49">
        <v>0</v>
      </c>
      <c r="K1456" s="49">
        <v>0</v>
      </c>
      <c r="L1456" s="49">
        <v>28.22</v>
      </c>
      <c r="M1456" s="49">
        <v>20.7</v>
      </c>
      <c r="N1456" s="49">
        <v>12.29</v>
      </c>
      <c r="O1456" s="49">
        <v>16.72</v>
      </c>
      <c r="P1456" s="49">
        <v>24.25</v>
      </c>
      <c r="Q1456" s="49">
        <v>25.93</v>
      </c>
      <c r="R1456" s="49">
        <v>16.11</v>
      </c>
      <c r="S1456" s="49">
        <v>21.8</v>
      </c>
    </row>
    <row r="1457" spans="1:19" ht="18">
      <c r="A1457" s="49">
        <v>6570</v>
      </c>
      <c r="B1457" s="49" t="s">
        <v>1864</v>
      </c>
      <c r="C1457" s="49">
        <v>0</v>
      </c>
      <c r="D1457" s="49">
        <v>0</v>
      </c>
      <c r="E1457" s="49">
        <v>0</v>
      </c>
      <c r="F1457" s="49">
        <v>0</v>
      </c>
      <c r="G1457" s="49">
        <v>0</v>
      </c>
      <c r="H1457" s="49">
        <v>0</v>
      </c>
      <c r="I1457" s="49">
        <v>0</v>
      </c>
      <c r="J1457" s="49">
        <v>0</v>
      </c>
      <c r="K1457" s="49">
        <v>0</v>
      </c>
      <c r="L1457" s="49">
        <v>0</v>
      </c>
      <c r="M1457" s="49">
        <v>18.54</v>
      </c>
      <c r="N1457" s="49">
        <v>22.69</v>
      </c>
      <c r="O1457" s="49">
        <v>11.92</v>
      </c>
      <c r="P1457" s="49">
        <v>16.73</v>
      </c>
      <c r="Q1457" s="49">
        <v>16.79</v>
      </c>
      <c r="R1457" s="49">
        <v>9.08</v>
      </c>
      <c r="S1457" s="49">
        <v>13.76</v>
      </c>
    </row>
    <row r="1458" spans="1:19" ht="18">
      <c r="A1458" s="49">
        <v>6573</v>
      </c>
      <c r="B1458" s="49" t="s">
        <v>1101</v>
      </c>
      <c r="C1458" s="49">
        <v>0</v>
      </c>
      <c r="D1458" s="49">
        <v>0</v>
      </c>
      <c r="E1458" s="49">
        <v>0</v>
      </c>
      <c r="F1458" s="49">
        <v>0</v>
      </c>
      <c r="G1458" s="49">
        <v>0</v>
      </c>
      <c r="H1458" s="49">
        <v>0</v>
      </c>
      <c r="I1458" s="49">
        <v>0</v>
      </c>
      <c r="J1458" s="49">
        <v>0</v>
      </c>
      <c r="K1458" s="49">
        <v>0</v>
      </c>
      <c r="L1458" s="49">
        <v>0</v>
      </c>
      <c r="M1458" s="49">
        <v>25.59</v>
      </c>
      <c r="N1458" s="49">
        <v>24.83</v>
      </c>
      <c r="O1458" s="49">
        <v>0</v>
      </c>
      <c r="P1458" s="49">
        <v>0</v>
      </c>
      <c r="Q1458" s="49">
        <v>0</v>
      </c>
      <c r="R1458" s="49">
        <v>0</v>
      </c>
      <c r="S1458" s="49">
        <v>0</v>
      </c>
    </row>
    <row r="1459" spans="1:19" ht="18">
      <c r="A1459" s="49">
        <v>6574</v>
      </c>
      <c r="B1459" s="49" t="s">
        <v>1865</v>
      </c>
      <c r="C1459" s="49">
        <v>0</v>
      </c>
      <c r="D1459" s="49">
        <v>0</v>
      </c>
      <c r="E1459" s="49">
        <v>0</v>
      </c>
      <c r="F1459" s="49">
        <v>0</v>
      </c>
      <c r="G1459" s="49">
        <v>0</v>
      </c>
      <c r="H1459" s="49">
        <v>0</v>
      </c>
      <c r="I1459" s="49">
        <v>0</v>
      </c>
      <c r="J1459" s="49">
        <v>0</v>
      </c>
      <c r="K1459" s="49">
        <v>0</v>
      </c>
      <c r="L1459" s="49">
        <v>0</v>
      </c>
      <c r="M1459" s="49">
        <v>18.64</v>
      </c>
      <c r="N1459" s="49">
        <v>16.510000000000002</v>
      </c>
      <c r="O1459" s="49">
        <v>20.77</v>
      </c>
      <c r="P1459" s="49">
        <v>19.440000000000001</v>
      </c>
      <c r="Q1459" s="49">
        <v>102.13</v>
      </c>
      <c r="R1459" s="49">
        <v>19.5</v>
      </c>
      <c r="S1459" s="49">
        <v>19.88</v>
      </c>
    </row>
    <row r="1460" spans="1:19" ht="18">
      <c r="A1460" s="49">
        <v>6576</v>
      </c>
      <c r="B1460" s="49" t="s">
        <v>1866</v>
      </c>
      <c r="C1460" s="49">
        <v>0</v>
      </c>
      <c r="D1460" s="49">
        <v>0</v>
      </c>
      <c r="E1460" s="49">
        <v>0</v>
      </c>
      <c r="F1460" s="49">
        <v>0</v>
      </c>
      <c r="G1460" s="49">
        <v>0</v>
      </c>
      <c r="H1460" s="49">
        <v>0</v>
      </c>
      <c r="I1460" s="49">
        <v>0</v>
      </c>
      <c r="J1460" s="49">
        <v>0</v>
      </c>
      <c r="K1460" s="49">
        <v>0</v>
      </c>
      <c r="L1460" s="49">
        <v>0</v>
      </c>
      <c r="M1460" s="49">
        <v>0</v>
      </c>
      <c r="N1460" s="49">
        <v>0</v>
      </c>
      <c r="O1460" s="49">
        <v>0</v>
      </c>
      <c r="P1460" s="49">
        <v>0</v>
      </c>
      <c r="Q1460" s="49">
        <v>0</v>
      </c>
      <c r="R1460" s="49">
        <v>0</v>
      </c>
      <c r="S1460" s="49">
        <v>0</v>
      </c>
    </row>
    <row r="1461" spans="1:19" ht="18">
      <c r="A1461" s="49">
        <v>6577</v>
      </c>
      <c r="B1461" s="49" t="s">
        <v>1867</v>
      </c>
      <c r="C1461" s="49">
        <v>0</v>
      </c>
      <c r="D1461" s="49">
        <v>0</v>
      </c>
      <c r="E1461" s="49">
        <v>0</v>
      </c>
      <c r="F1461" s="49">
        <v>0</v>
      </c>
      <c r="G1461" s="49">
        <v>0</v>
      </c>
      <c r="H1461" s="49">
        <v>0</v>
      </c>
      <c r="I1461" s="49">
        <v>0</v>
      </c>
      <c r="J1461" s="49">
        <v>0</v>
      </c>
      <c r="K1461" s="49">
        <v>0</v>
      </c>
      <c r="L1461" s="49">
        <v>0</v>
      </c>
      <c r="M1461" s="49">
        <v>14.47</v>
      </c>
      <c r="N1461" s="49">
        <v>13.33</v>
      </c>
      <c r="O1461" s="49">
        <v>12.05</v>
      </c>
      <c r="P1461" s="49">
        <v>11.25</v>
      </c>
      <c r="Q1461" s="49">
        <v>16.579999999999998</v>
      </c>
      <c r="R1461" s="49">
        <v>11.17</v>
      </c>
      <c r="S1461" s="49">
        <v>14.5</v>
      </c>
    </row>
    <row r="1462" spans="1:19" ht="18">
      <c r="A1462" s="49">
        <v>6578</v>
      </c>
      <c r="B1462" s="49" t="s">
        <v>1868</v>
      </c>
      <c r="C1462" s="49">
        <v>0</v>
      </c>
      <c r="D1462" s="49">
        <v>0</v>
      </c>
      <c r="E1462" s="49">
        <v>0</v>
      </c>
      <c r="F1462" s="49">
        <v>0</v>
      </c>
      <c r="G1462" s="49">
        <v>0</v>
      </c>
      <c r="H1462" s="49">
        <v>0</v>
      </c>
      <c r="I1462" s="49">
        <v>0</v>
      </c>
      <c r="J1462" s="49">
        <v>0</v>
      </c>
      <c r="K1462" s="49">
        <v>0</v>
      </c>
      <c r="L1462" s="49">
        <v>0</v>
      </c>
      <c r="M1462" s="49">
        <v>0</v>
      </c>
      <c r="N1462" s="49">
        <v>25.67</v>
      </c>
      <c r="O1462" s="49">
        <v>21.76</v>
      </c>
      <c r="P1462" s="49">
        <v>236.11</v>
      </c>
      <c r="Q1462" s="49">
        <v>0</v>
      </c>
      <c r="R1462" s="49">
        <v>0</v>
      </c>
      <c r="S1462" s="49">
        <v>0</v>
      </c>
    </row>
    <row r="1463" spans="1:19" ht="18">
      <c r="A1463" s="49">
        <v>6579</v>
      </c>
      <c r="B1463" s="49" t="s">
        <v>1102</v>
      </c>
      <c r="C1463" s="49">
        <v>0</v>
      </c>
      <c r="D1463" s="49">
        <v>0</v>
      </c>
      <c r="E1463" s="49">
        <v>0</v>
      </c>
      <c r="F1463" s="49">
        <v>0</v>
      </c>
      <c r="G1463" s="49">
        <v>0</v>
      </c>
      <c r="H1463" s="49">
        <v>0</v>
      </c>
      <c r="I1463" s="49">
        <v>0</v>
      </c>
      <c r="J1463" s="49">
        <v>0</v>
      </c>
      <c r="K1463" s="49">
        <v>0</v>
      </c>
      <c r="L1463" s="49">
        <v>0</v>
      </c>
      <c r="M1463" s="49">
        <v>17.95</v>
      </c>
      <c r="N1463" s="49">
        <v>13.35</v>
      </c>
      <c r="O1463" s="49">
        <v>24.28</v>
      </c>
      <c r="P1463" s="49">
        <v>24.93</v>
      </c>
      <c r="Q1463" s="49">
        <v>38.99</v>
      </c>
      <c r="R1463" s="49">
        <v>12.03</v>
      </c>
      <c r="S1463" s="49">
        <v>19.77</v>
      </c>
    </row>
    <row r="1464" spans="1:19" ht="18">
      <c r="A1464" s="49">
        <v>6581</v>
      </c>
      <c r="B1464" s="49" t="s">
        <v>1103</v>
      </c>
      <c r="C1464" s="49">
        <v>0</v>
      </c>
      <c r="D1464" s="49">
        <v>0</v>
      </c>
      <c r="E1464" s="49">
        <v>0</v>
      </c>
      <c r="F1464" s="49">
        <v>0</v>
      </c>
      <c r="G1464" s="49">
        <v>0</v>
      </c>
      <c r="H1464" s="49">
        <v>0</v>
      </c>
      <c r="I1464" s="49">
        <v>0</v>
      </c>
      <c r="J1464" s="49">
        <v>0</v>
      </c>
      <c r="K1464" s="49">
        <v>0</v>
      </c>
      <c r="L1464" s="49">
        <v>0</v>
      </c>
      <c r="M1464" s="49">
        <v>0</v>
      </c>
      <c r="N1464" s="49">
        <v>11.85</v>
      </c>
      <c r="O1464" s="49">
        <v>14.6</v>
      </c>
      <c r="P1464" s="49">
        <v>41.03</v>
      </c>
      <c r="Q1464" s="49">
        <v>16.559999999999999</v>
      </c>
      <c r="R1464" s="49">
        <v>10.11</v>
      </c>
      <c r="S1464" s="49">
        <v>18.809999999999999</v>
      </c>
    </row>
    <row r="1465" spans="1:19" ht="18">
      <c r="A1465" s="49">
        <v>6582</v>
      </c>
      <c r="B1465" s="49" t="s">
        <v>1104</v>
      </c>
      <c r="C1465" s="49">
        <v>0</v>
      </c>
      <c r="D1465" s="49">
        <v>0</v>
      </c>
      <c r="E1465" s="49">
        <v>0</v>
      </c>
      <c r="F1465" s="49">
        <v>0</v>
      </c>
      <c r="G1465" s="49">
        <v>0</v>
      </c>
      <c r="H1465" s="49">
        <v>0</v>
      </c>
      <c r="I1465" s="49">
        <v>0</v>
      </c>
      <c r="J1465" s="49">
        <v>0</v>
      </c>
      <c r="K1465" s="49">
        <v>0</v>
      </c>
      <c r="L1465" s="49">
        <v>0</v>
      </c>
      <c r="M1465" s="49">
        <v>11.52</v>
      </c>
      <c r="N1465" s="49">
        <v>12.57</v>
      </c>
      <c r="O1465" s="49">
        <v>12</v>
      </c>
      <c r="P1465" s="49">
        <v>14.91</v>
      </c>
      <c r="Q1465" s="49">
        <v>4.33</v>
      </c>
      <c r="R1465" s="49">
        <v>13.62</v>
      </c>
      <c r="S1465" s="49">
        <v>0</v>
      </c>
    </row>
    <row r="1466" spans="1:19" ht="18">
      <c r="A1466" s="49">
        <v>6585</v>
      </c>
      <c r="B1466" s="49" t="s">
        <v>1105</v>
      </c>
      <c r="C1466" s="49">
        <v>0</v>
      </c>
      <c r="D1466" s="49">
        <v>0</v>
      </c>
      <c r="E1466" s="49">
        <v>0</v>
      </c>
      <c r="F1466" s="49">
        <v>0</v>
      </c>
      <c r="G1466" s="49">
        <v>0</v>
      </c>
      <c r="H1466" s="49">
        <v>0</v>
      </c>
      <c r="I1466" s="49">
        <v>0</v>
      </c>
      <c r="J1466" s="49">
        <v>0</v>
      </c>
      <c r="K1466" s="49">
        <v>0</v>
      </c>
      <c r="L1466" s="49">
        <v>0</v>
      </c>
      <c r="M1466" s="49">
        <v>0</v>
      </c>
      <c r="N1466" s="49">
        <v>0</v>
      </c>
      <c r="O1466" s="49">
        <v>0</v>
      </c>
      <c r="P1466" s="49">
        <v>0</v>
      </c>
      <c r="Q1466" s="49">
        <v>0</v>
      </c>
      <c r="R1466" s="49">
        <v>16.55</v>
      </c>
      <c r="S1466" s="49">
        <v>27.42</v>
      </c>
    </row>
    <row r="1467" spans="1:19" ht="18">
      <c r="A1467" s="49">
        <v>6588</v>
      </c>
      <c r="B1467" s="49" t="s">
        <v>1869</v>
      </c>
      <c r="C1467" s="49">
        <v>0</v>
      </c>
      <c r="D1467" s="49">
        <v>0</v>
      </c>
      <c r="E1467" s="49">
        <v>0</v>
      </c>
      <c r="F1467" s="49">
        <v>0</v>
      </c>
      <c r="G1467" s="49">
        <v>0</v>
      </c>
      <c r="H1467" s="49">
        <v>0</v>
      </c>
      <c r="I1467" s="49">
        <v>0</v>
      </c>
      <c r="J1467" s="49">
        <v>0</v>
      </c>
      <c r="K1467" s="49">
        <v>0</v>
      </c>
      <c r="L1467" s="49">
        <v>0</v>
      </c>
      <c r="M1467" s="49">
        <v>0</v>
      </c>
      <c r="N1467" s="49">
        <v>0</v>
      </c>
      <c r="O1467" s="49">
        <v>0</v>
      </c>
      <c r="P1467" s="49">
        <v>32.1</v>
      </c>
      <c r="Q1467" s="49">
        <v>48.82</v>
      </c>
      <c r="R1467" s="49">
        <v>78.5</v>
      </c>
      <c r="S1467" s="49">
        <v>0</v>
      </c>
    </row>
    <row r="1468" spans="1:19" ht="18">
      <c r="A1468" s="49">
        <v>6589</v>
      </c>
      <c r="B1468" s="49" t="s">
        <v>1870</v>
      </c>
      <c r="C1468" s="49">
        <v>0</v>
      </c>
      <c r="D1468" s="49">
        <v>0</v>
      </c>
      <c r="E1468" s="49">
        <v>0</v>
      </c>
      <c r="F1468" s="49">
        <v>0</v>
      </c>
      <c r="G1468" s="49">
        <v>0</v>
      </c>
      <c r="H1468" s="49">
        <v>0</v>
      </c>
      <c r="I1468" s="49">
        <v>0</v>
      </c>
      <c r="J1468" s="49">
        <v>0</v>
      </c>
      <c r="K1468" s="49">
        <v>0</v>
      </c>
      <c r="L1468" s="49">
        <v>0</v>
      </c>
      <c r="M1468" s="49">
        <v>0</v>
      </c>
      <c r="N1468" s="49">
        <v>0</v>
      </c>
      <c r="O1468" s="49">
        <v>0</v>
      </c>
      <c r="P1468" s="49">
        <v>0</v>
      </c>
      <c r="Q1468" s="49">
        <v>0</v>
      </c>
      <c r="R1468" s="49">
        <v>0</v>
      </c>
      <c r="S1468" s="49">
        <v>0</v>
      </c>
    </row>
    <row r="1469" spans="1:19" ht="18">
      <c r="A1469" s="49">
        <v>6590</v>
      </c>
      <c r="B1469" s="49" t="s">
        <v>1871</v>
      </c>
      <c r="C1469" s="49">
        <v>0</v>
      </c>
      <c r="D1469" s="49">
        <v>0</v>
      </c>
      <c r="E1469" s="49">
        <v>0</v>
      </c>
      <c r="F1469" s="49">
        <v>0</v>
      </c>
      <c r="G1469" s="49">
        <v>0</v>
      </c>
      <c r="H1469" s="49">
        <v>0</v>
      </c>
      <c r="I1469" s="49">
        <v>0</v>
      </c>
      <c r="J1469" s="49">
        <v>0</v>
      </c>
      <c r="K1469" s="49">
        <v>0</v>
      </c>
      <c r="L1469" s="49">
        <v>0</v>
      </c>
      <c r="M1469" s="49">
        <v>0</v>
      </c>
      <c r="N1469" s="49">
        <v>9.48</v>
      </c>
      <c r="O1469" s="49">
        <v>16.489999999999998</v>
      </c>
      <c r="P1469" s="49">
        <v>12.85</v>
      </c>
      <c r="Q1469" s="49">
        <v>14.19</v>
      </c>
      <c r="R1469" s="49">
        <v>13.88</v>
      </c>
      <c r="S1469" s="49">
        <v>14.92</v>
      </c>
    </row>
    <row r="1470" spans="1:19" ht="18">
      <c r="A1470" s="49">
        <v>6591</v>
      </c>
      <c r="B1470" s="49" t="s">
        <v>1106</v>
      </c>
      <c r="C1470" s="49">
        <v>0</v>
      </c>
      <c r="D1470" s="49">
        <v>0</v>
      </c>
      <c r="E1470" s="49">
        <v>0</v>
      </c>
      <c r="F1470" s="49">
        <v>0</v>
      </c>
      <c r="G1470" s="49">
        <v>0</v>
      </c>
      <c r="H1470" s="49">
        <v>0</v>
      </c>
      <c r="I1470" s="49">
        <v>0</v>
      </c>
      <c r="J1470" s="49">
        <v>0</v>
      </c>
      <c r="K1470" s="49">
        <v>0</v>
      </c>
      <c r="L1470" s="49">
        <v>0</v>
      </c>
      <c r="M1470" s="49">
        <v>15.2</v>
      </c>
      <c r="N1470" s="49">
        <v>10.78</v>
      </c>
      <c r="O1470" s="49">
        <v>21.63</v>
      </c>
      <c r="P1470" s="49">
        <v>16.079999999999998</v>
      </c>
      <c r="Q1470" s="49">
        <v>7.92</v>
      </c>
      <c r="R1470" s="49">
        <v>5.69</v>
      </c>
      <c r="S1470" s="49">
        <v>13.29</v>
      </c>
    </row>
    <row r="1471" spans="1:19" ht="18">
      <c r="A1471" s="49">
        <v>6592</v>
      </c>
      <c r="B1471" s="49" t="s">
        <v>1107</v>
      </c>
      <c r="C1471" s="49">
        <v>0</v>
      </c>
      <c r="D1471" s="49">
        <v>0</v>
      </c>
      <c r="E1471" s="49">
        <v>0</v>
      </c>
      <c r="F1471" s="49">
        <v>0</v>
      </c>
      <c r="G1471" s="49">
        <v>0</v>
      </c>
      <c r="H1471" s="49">
        <v>0</v>
      </c>
      <c r="I1471" s="49">
        <v>0</v>
      </c>
      <c r="J1471" s="49">
        <v>0</v>
      </c>
      <c r="K1471" s="49">
        <v>0</v>
      </c>
      <c r="L1471" s="49">
        <v>0</v>
      </c>
      <c r="M1471" s="49">
        <v>0</v>
      </c>
      <c r="N1471" s="49">
        <v>0</v>
      </c>
      <c r="O1471" s="49">
        <v>16.28</v>
      </c>
      <c r="P1471" s="49">
        <v>17.3</v>
      </c>
      <c r="Q1471" s="49">
        <v>16.09</v>
      </c>
      <c r="R1471" s="49">
        <v>15.99</v>
      </c>
      <c r="S1471" s="49">
        <v>22.94</v>
      </c>
    </row>
    <row r="1472" spans="1:19" ht="18">
      <c r="A1472" s="49">
        <v>6593</v>
      </c>
      <c r="B1472" s="49" t="s">
        <v>1872</v>
      </c>
      <c r="C1472" s="49">
        <v>0</v>
      </c>
      <c r="D1472" s="49">
        <v>0</v>
      </c>
      <c r="E1472" s="49">
        <v>0</v>
      </c>
      <c r="F1472" s="49">
        <v>0</v>
      </c>
      <c r="G1472" s="49">
        <v>0</v>
      </c>
      <c r="H1472" s="49">
        <v>0</v>
      </c>
      <c r="I1472" s="49">
        <v>0</v>
      </c>
      <c r="J1472" s="49">
        <v>0</v>
      </c>
      <c r="K1472" s="49">
        <v>0</v>
      </c>
      <c r="L1472" s="49">
        <v>0</v>
      </c>
      <c r="M1472" s="49">
        <v>15.05</v>
      </c>
      <c r="N1472" s="49">
        <v>11.3</v>
      </c>
      <c r="O1472" s="49">
        <v>107.22</v>
      </c>
      <c r="P1472" s="49">
        <v>0</v>
      </c>
      <c r="Q1472" s="49">
        <v>26.58</v>
      </c>
      <c r="R1472" s="49">
        <v>131.21</v>
      </c>
      <c r="S1472" s="49">
        <v>113.39</v>
      </c>
    </row>
    <row r="1473" spans="1:19" ht="18">
      <c r="A1473" s="49">
        <v>6594</v>
      </c>
      <c r="B1473" s="49" t="s">
        <v>1873</v>
      </c>
      <c r="C1473" s="49">
        <v>0</v>
      </c>
      <c r="D1473" s="49">
        <v>0</v>
      </c>
      <c r="E1473" s="49">
        <v>0</v>
      </c>
      <c r="F1473" s="49">
        <v>0</v>
      </c>
      <c r="G1473" s="49">
        <v>0</v>
      </c>
      <c r="H1473" s="49">
        <v>0</v>
      </c>
      <c r="I1473" s="49">
        <v>0</v>
      </c>
      <c r="J1473" s="49">
        <v>0</v>
      </c>
      <c r="K1473" s="49">
        <v>0</v>
      </c>
      <c r="L1473" s="49">
        <v>0</v>
      </c>
      <c r="M1473" s="49">
        <v>21.29</v>
      </c>
      <c r="N1473" s="49">
        <v>15.55</v>
      </c>
      <c r="O1473" s="49">
        <v>19.27</v>
      </c>
      <c r="P1473" s="49">
        <v>22.29</v>
      </c>
      <c r="Q1473" s="49">
        <v>48.31</v>
      </c>
      <c r="R1473" s="49">
        <v>22.35</v>
      </c>
      <c r="S1473" s="49">
        <v>0</v>
      </c>
    </row>
    <row r="1474" spans="1:19" ht="18">
      <c r="A1474" s="49">
        <v>6596</v>
      </c>
      <c r="B1474" s="49" t="s">
        <v>1874</v>
      </c>
      <c r="C1474" s="49">
        <v>0</v>
      </c>
      <c r="D1474" s="49">
        <v>0</v>
      </c>
      <c r="E1474" s="49">
        <v>0</v>
      </c>
      <c r="F1474" s="49">
        <v>0</v>
      </c>
      <c r="G1474" s="49">
        <v>0</v>
      </c>
      <c r="H1474" s="49">
        <v>0</v>
      </c>
      <c r="I1474" s="49">
        <v>0</v>
      </c>
      <c r="J1474" s="49">
        <v>0</v>
      </c>
      <c r="K1474" s="49">
        <v>0</v>
      </c>
      <c r="L1474" s="49">
        <v>0</v>
      </c>
      <c r="M1474" s="49">
        <v>0</v>
      </c>
      <c r="N1474" s="49">
        <v>14.86</v>
      </c>
      <c r="O1474" s="49">
        <v>9</v>
      </c>
      <c r="P1474" s="49">
        <v>623.75</v>
      </c>
      <c r="Q1474" s="49">
        <v>26.84</v>
      </c>
      <c r="R1474" s="49">
        <v>0</v>
      </c>
      <c r="S1474" s="49">
        <v>16.29</v>
      </c>
    </row>
    <row r="1475" spans="1:19" ht="18">
      <c r="A1475" s="49">
        <v>6598</v>
      </c>
      <c r="B1475" s="49" t="s">
        <v>1108</v>
      </c>
      <c r="C1475" s="49">
        <v>0</v>
      </c>
      <c r="D1475" s="49">
        <v>0</v>
      </c>
      <c r="E1475" s="49">
        <v>0</v>
      </c>
      <c r="F1475" s="49">
        <v>0</v>
      </c>
      <c r="G1475" s="49">
        <v>0</v>
      </c>
      <c r="H1475" s="49">
        <v>0</v>
      </c>
      <c r="I1475" s="49">
        <v>0</v>
      </c>
      <c r="J1475" s="49">
        <v>0</v>
      </c>
      <c r="K1475" s="49">
        <v>0</v>
      </c>
      <c r="L1475" s="49">
        <v>0</v>
      </c>
      <c r="M1475" s="49">
        <v>0</v>
      </c>
      <c r="N1475" s="49">
        <v>0</v>
      </c>
      <c r="O1475" s="49">
        <v>0</v>
      </c>
      <c r="P1475" s="49">
        <v>0</v>
      </c>
      <c r="Q1475" s="49">
        <v>0</v>
      </c>
      <c r="R1475" s="49">
        <v>0</v>
      </c>
      <c r="S1475" s="49">
        <v>0</v>
      </c>
    </row>
    <row r="1476" spans="1:19" ht="18">
      <c r="A1476" s="49">
        <v>6603</v>
      </c>
      <c r="B1476" s="49" t="s">
        <v>1875</v>
      </c>
      <c r="C1476" s="49">
        <v>136.88</v>
      </c>
      <c r="D1476" s="49">
        <v>7.07</v>
      </c>
      <c r="E1476" s="49">
        <v>0</v>
      </c>
      <c r="F1476" s="49">
        <v>10.95</v>
      </c>
      <c r="G1476" s="49">
        <v>14.04</v>
      </c>
      <c r="H1476" s="49">
        <v>18.18</v>
      </c>
      <c r="I1476" s="49">
        <v>40.81</v>
      </c>
      <c r="J1476" s="49">
        <v>42.59</v>
      </c>
      <c r="K1476" s="49">
        <v>16.09</v>
      </c>
      <c r="L1476" s="49">
        <v>18.079999999999998</v>
      </c>
      <c r="M1476" s="49">
        <v>14.44</v>
      </c>
      <c r="N1476" s="49">
        <v>13.98</v>
      </c>
      <c r="O1476" s="49">
        <v>98.18</v>
      </c>
      <c r="P1476" s="49">
        <v>322.5</v>
      </c>
      <c r="Q1476" s="49">
        <v>24.1</v>
      </c>
      <c r="R1476" s="49">
        <v>17.84</v>
      </c>
      <c r="S1476" s="49">
        <v>68.48</v>
      </c>
    </row>
    <row r="1477" spans="1:19" ht="18">
      <c r="A1477" s="49">
        <v>6605</v>
      </c>
      <c r="B1477" s="49" t="s">
        <v>1109</v>
      </c>
      <c r="C1477" s="49">
        <v>11.91</v>
      </c>
      <c r="D1477" s="49">
        <v>5.43</v>
      </c>
      <c r="E1477" s="49">
        <v>15.79</v>
      </c>
      <c r="F1477" s="49">
        <v>10.17</v>
      </c>
      <c r="G1477" s="49">
        <v>0</v>
      </c>
      <c r="H1477" s="49">
        <v>11.45</v>
      </c>
      <c r="I1477" s="49">
        <v>15.84</v>
      </c>
      <c r="J1477" s="49">
        <v>12.51</v>
      </c>
      <c r="K1477" s="49">
        <v>11.08</v>
      </c>
      <c r="L1477" s="49">
        <v>12.55</v>
      </c>
      <c r="M1477" s="49">
        <v>12.29</v>
      </c>
      <c r="N1477" s="49">
        <v>12.19</v>
      </c>
      <c r="O1477" s="49">
        <v>11.92</v>
      </c>
      <c r="P1477" s="49">
        <v>26.95</v>
      </c>
      <c r="Q1477" s="49">
        <v>10.1</v>
      </c>
      <c r="R1477" s="49">
        <v>6.68</v>
      </c>
      <c r="S1477" s="49">
        <v>11.72</v>
      </c>
    </row>
    <row r="1478" spans="1:19" ht="18">
      <c r="A1478" s="49">
        <v>6609</v>
      </c>
      <c r="B1478" s="49" t="s">
        <v>1876</v>
      </c>
      <c r="C1478" s="49">
        <v>8.4499999999999993</v>
      </c>
      <c r="D1478" s="49">
        <v>4.84</v>
      </c>
      <c r="E1478" s="49">
        <v>0</v>
      </c>
      <c r="F1478" s="49">
        <v>14.11</v>
      </c>
      <c r="G1478" s="49">
        <v>11.77</v>
      </c>
      <c r="H1478" s="49">
        <v>7.8</v>
      </c>
      <c r="I1478" s="49">
        <v>20.71</v>
      </c>
      <c r="J1478" s="49">
        <v>10.46</v>
      </c>
      <c r="K1478" s="49">
        <v>8.65</v>
      </c>
      <c r="L1478" s="49">
        <v>19.260000000000002</v>
      </c>
      <c r="M1478" s="49">
        <v>17.57</v>
      </c>
      <c r="N1478" s="49">
        <v>6.76</v>
      </c>
      <c r="O1478" s="49">
        <v>10.7</v>
      </c>
      <c r="P1478" s="49">
        <v>96.85</v>
      </c>
      <c r="Q1478" s="49">
        <v>15.78</v>
      </c>
      <c r="R1478" s="49">
        <v>7.64</v>
      </c>
      <c r="S1478" s="49">
        <v>12.27</v>
      </c>
    </row>
    <row r="1479" spans="1:19" ht="18">
      <c r="A1479" s="49">
        <v>6612</v>
      </c>
      <c r="B1479" s="49" t="s">
        <v>1877</v>
      </c>
      <c r="C1479" s="49">
        <v>0</v>
      </c>
      <c r="D1479" s="49">
        <v>0</v>
      </c>
      <c r="E1479" s="49">
        <v>0</v>
      </c>
      <c r="F1479" s="49">
        <v>0</v>
      </c>
      <c r="G1479" s="49">
        <v>0</v>
      </c>
      <c r="H1479" s="49">
        <v>0</v>
      </c>
      <c r="I1479" s="49">
        <v>0</v>
      </c>
      <c r="J1479" s="49">
        <v>0</v>
      </c>
      <c r="K1479" s="49">
        <v>0</v>
      </c>
      <c r="L1479" s="49">
        <v>0</v>
      </c>
      <c r="M1479" s="49">
        <v>0</v>
      </c>
      <c r="N1479" s="49">
        <v>34.89</v>
      </c>
      <c r="O1479" s="49">
        <v>41.78</v>
      </c>
      <c r="P1479" s="49">
        <v>29.67</v>
      </c>
      <c r="Q1479" s="49">
        <v>73.98</v>
      </c>
      <c r="R1479" s="49">
        <v>21.04</v>
      </c>
      <c r="S1479" s="49">
        <v>33.78</v>
      </c>
    </row>
    <row r="1480" spans="1:19" ht="18">
      <c r="A1480" s="49">
        <v>6613</v>
      </c>
      <c r="B1480" s="49" t="s">
        <v>1878</v>
      </c>
      <c r="C1480" s="49">
        <v>0</v>
      </c>
      <c r="D1480" s="49">
        <v>0</v>
      </c>
      <c r="E1480" s="49">
        <v>0</v>
      </c>
      <c r="F1480" s="49">
        <v>0</v>
      </c>
      <c r="G1480" s="49">
        <v>0</v>
      </c>
      <c r="H1480" s="49">
        <v>0</v>
      </c>
      <c r="I1480" s="49">
        <v>0</v>
      </c>
      <c r="J1480" s="49">
        <v>0</v>
      </c>
      <c r="K1480" s="49">
        <v>0</v>
      </c>
      <c r="L1480" s="49">
        <v>0</v>
      </c>
      <c r="M1480" s="49">
        <v>15.59</v>
      </c>
      <c r="N1480" s="49">
        <v>7.83</v>
      </c>
      <c r="O1480" s="49">
        <v>11.89</v>
      </c>
      <c r="P1480" s="49">
        <v>10.48</v>
      </c>
      <c r="Q1480" s="49">
        <v>13.31</v>
      </c>
      <c r="R1480" s="49">
        <v>7.14</v>
      </c>
      <c r="S1480" s="49">
        <v>10.87</v>
      </c>
    </row>
    <row r="1481" spans="1:19" ht="18">
      <c r="A1481" s="49">
        <v>6615</v>
      </c>
      <c r="B1481" s="49" t="s">
        <v>1879</v>
      </c>
      <c r="C1481" s="49">
        <v>0</v>
      </c>
      <c r="D1481" s="49">
        <v>0</v>
      </c>
      <c r="E1481" s="49">
        <v>0</v>
      </c>
      <c r="F1481" s="49">
        <v>0</v>
      </c>
      <c r="G1481" s="49">
        <v>0</v>
      </c>
      <c r="H1481" s="49">
        <v>0</v>
      </c>
      <c r="I1481" s="49">
        <v>0</v>
      </c>
      <c r="J1481" s="49">
        <v>0</v>
      </c>
      <c r="K1481" s="49">
        <v>0</v>
      </c>
      <c r="L1481" s="49">
        <v>0</v>
      </c>
      <c r="M1481" s="49">
        <v>0</v>
      </c>
      <c r="N1481" s="49">
        <v>40.46</v>
      </c>
      <c r="O1481" s="49">
        <v>24.62</v>
      </c>
      <c r="P1481" s="49">
        <v>29.77</v>
      </c>
      <c r="Q1481" s="49">
        <v>19.68</v>
      </c>
      <c r="R1481" s="49">
        <v>21.34</v>
      </c>
      <c r="S1481" s="49">
        <v>25.63</v>
      </c>
    </row>
    <row r="1482" spans="1:19" ht="18">
      <c r="A1482" s="49">
        <v>6616</v>
      </c>
      <c r="B1482" s="49" t="s">
        <v>1880</v>
      </c>
      <c r="C1482" s="49">
        <v>0</v>
      </c>
      <c r="D1482" s="49">
        <v>0</v>
      </c>
      <c r="E1482" s="49">
        <v>0</v>
      </c>
      <c r="F1482" s="49">
        <v>0</v>
      </c>
      <c r="G1482" s="49">
        <v>0</v>
      </c>
      <c r="H1482" s="49">
        <v>0</v>
      </c>
      <c r="I1482" s="49">
        <v>0</v>
      </c>
      <c r="J1482" s="49">
        <v>0</v>
      </c>
      <c r="K1482" s="49">
        <v>0</v>
      </c>
      <c r="L1482" s="49">
        <v>0</v>
      </c>
      <c r="M1482" s="49">
        <v>0</v>
      </c>
      <c r="N1482" s="49">
        <v>35.119999999999997</v>
      </c>
      <c r="O1482" s="49">
        <v>8.43</v>
      </c>
      <c r="P1482" s="49">
        <v>13.3</v>
      </c>
      <c r="Q1482" s="49">
        <v>76.599999999999994</v>
      </c>
      <c r="R1482" s="49">
        <v>12.02</v>
      </c>
      <c r="S1482" s="49">
        <v>0</v>
      </c>
    </row>
    <row r="1483" spans="1:19" ht="18">
      <c r="A1483" s="49">
        <v>6624</v>
      </c>
      <c r="B1483" s="49" t="s">
        <v>1881</v>
      </c>
      <c r="C1483" s="49">
        <v>0</v>
      </c>
      <c r="D1483" s="49">
        <v>0</v>
      </c>
      <c r="E1483" s="49">
        <v>0</v>
      </c>
      <c r="F1483" s="49">
        <v>0</v>
      </c>
      <c r="G1483" s="49">
        <v>0</v>
      </c>
      <c r="H1483" s="49">
        <v>0</v>
      </c>
      <c r="I1483" s="49">
        <v>0</v>
      </c>
      <c r="J1483" s="49">
        <v>0</v>
      </c>
      <c r="K1483" s="49">
        <v>0</v>
      </c>
      <c r="L1483" s="49">
        <v>0</v>
      </c>
      <c r="M1483" s="49">
        <v>0</v>
      </c>
      <c r="N1483" s="49">
        <v>0</v>
      </c>
      <c r="O1483" s="49">
        <v>11.54</v>
      </c>
      <c r="P1483" s="49">
        <v>0</v>
      </c>
      <c r="Q1483" s="49">
        <v>0</v>
      </c>
      <c r="R1483" s="49">
        <v>39.130000000000003</v>
      </c>
      <c r="S1483" s="49">
        <v>24.7</v>
      </c>
    </row>
    <row r="1484" spans="1:19" ht="18">
      <c r="A1484" s="49">
        <v>6625</v>
      </c>
      <c r="B1484" s="49" t="s">
        <v>1110</v>
      </c>
      <c r="C1484" s="49">
        <v>0</v>
      </c>
      <c r="D1484" s="49">
        <v>0</v>
      </c>
      <c r="E1484" s="49">
        <v>0</v>
      </c>
      <c r="F1484" s="49">
        <v>0</v>
      </c>
      <c r="G1484" s="49">
        <v>0</v>
      </c>
      <c r="H1484" s="49">
        <v>0</v>
      </c>
      <c r="I1484" s="49">
        <v>0</v>
      </c>
      <c r="J1484" s="49">
        <v>0</v>
      </c>
      <c r="K1484" s="49">
        <v>0</v>
      </c>
      <c r="L1484" s="49">
        <v>0</v>
      </c>
      <c r="M1484" s="49">
        <v>0</v>
      </c>
      <c r="N1484" s="49">
        <v>23.01</v>
      </c>
      <c r="O1484" s="49">
        <v>0</v>
      </c>
      <c r="P1484" s="49">
        <v>0</v>
      </c>
      <c r="Q1484" s="49">
        <v>0</v>
      </c>
      <c r="R1484" s="49">
        <v>0</v>
      </c>
      <c r="S1484" s="49">
        <v>16.559999999999999</v>
      </c>
    </row>
    <row r="1485" spans="1:19" ht="18">
      <c r="A1485" s="49">
        <v>6629</v>
      </c>
      <c r="B1485" s="49" t="s">
        <v>1882</v>
      </c>
      <c r="C1485" s="49">
        <v>0</v>
      </c>
      <c r="D1485" s="49">
        <v>0</v>
      </c>
      <c r="E1485" s="49">
        <v>0</v>
      </c>
      <c r="F1485" s="49">
        <v>0</v>
      </c>
      <c r="G1485" s="49">
        <v>0</v>
      </c>
      <c r="H1485" s="49">
        <v>0</v>
      </c>
      <c r="I1485" s="49">
        <v>0</v>
      </c>
      <c r="J1485" s="49">
        <v>0</v>
      </c>
      <c r="K1485" s="49">
        <v>0</v>
      </c>
      <c r="L1485" s="49">
        <v>0</v>
      </c>
      <c r="M1485" s="49">
        <v>0</v>
      </c>
      <c r="N1485" s="49">
        <v>0</v>
      </c>
      <c r="O1485" s="49">
        <v>12.68</v>
      </c>
      <c r="P1485" s="49">
        <v>10.8</v>
      </c>
      <c r="Q1485" s="49">
        <v>10.17</v>
      </c>
      <c r="R1485" s="49">
        <v>7.87</v>
      </c>
      <c r="S1485" s="49">
        <v>13.28</v>
      </c>
    </row>
    <row r="1486" spans="1:19" ht="18">
      <c r="A1486" s="49">
        <v>6640</v>
      </c>
      <c r="B1486" s="49" t="s">
        <v>1883</v>
      </c>
      <c r="C1486" s="49">
        <v>0</v>
      </c>
      <c r="D1486" s="49">
        <v>0</v>
      </c>
      <c r="E1486" s="49">
        <v>0</v>
      </c>
      <c r="F1486" s="49">
        <v>0</v>
      </c>
      <c r="G1486" s="49">
        <v>0</v>
      </c>
      <c r="H1486" s="49">
        <v>0</v>
      </c>
      <c r="I1486" s="49">
        <v>0</v>
      </c>
      <c r="J1486" s="49">
        <v>0</v>
      </c>
      <c r="K1486" s="49">
        <v>0</v>
      </c>
      <c r="L1486" s="49">
        <v>0</v>
      </c>
      <c r="M1486" s="49">
        <v>0</v>
      </c>
      <c r="N1486" s="49">
        <v>12.77</v>
      </c>
      <c r="O1486" s="49">
        <v>11.41</v>
      </c>
      <c r="P1486" s="49">
        <v>30.73</v>
      </c>
      <c r="Q1486" s="49">
        <v>31.94</v>
      </c>
      <c r="R1486" s="49">
        <v>9.84</v>
      </c>
      <c r="S1486" s="49">
        <v>77.010000000000005</v>
      </c>
    </row>
    <row r="1487" spans="1:19" ht="18">
      <c r="A1487" s="49">
        <v>6641</v>
      </c>
      <c r="B1487" s="49" t="s">
        <v>1111</v>
      </c>
      <c r="C1487" s="49">
        <v>0</v>
      </c>
      <c r="D1487" s="49">
        <v>0</v>
      </c>
      <c r="E1487" s="49">
        <v>0</v>
      </c>
      <c r="F1487" s="49">
        <v>0</v>
      </c>
      <c r="G1487" s="49">
        <v>0</v>
      </c>
      <c r="H1487" s="49">
        <v>0</v>
      </c>
      <c r="I1487" s="49">
        <v>0</v>
      </c>
      <c r="J1487" s="49">
        <v>0</v>
      </c>
      <c r="K1487" s="49">
        <v>0</v>
      </c>
      <c r="L1487" s="49">
        <v>0</v>
      </c>
      <c r="M1487" s="49">
        <v>0</v>
      </c>
      <c r="N1487" s="49">
        <v>14.45</v>
      </c>
      <c r="O1487" s="49">
        <v>10.8</v>
      </c>
      <c r="P1487" s="49">
        <v>11.17</v>
      </c>
      <c r="Q1487" s="49">
        <v>9.76</v>
      </c>
      <c r="R1487" s="49">
        <v>9.3800000000000008</v>
      </c>
      <c r="S1487" s="49">
        <v>23.62</v>
      </c>
    </row>
    <row r="1488" spans="1:19" ht="18">
      <c r="A1488" s="49">
        <v>6642</v>
      </c>
      <c r="B1488" s="49" t="s">
        <v>1884</v>
      </c>
      <c r="C1488" s="49">
        <v>0</v>
      </c>
      <c r="D1488" s="49">
        <v>0</v>
      </c>
      <c r="E1488" s="49">
        <v>0</v>
      </c>
      <c r="F1488" s="49">
        <v>0</v>
      </c>
      <c r="G1488" s="49">
        <v>0</v>
      </c>
      <c r="H1488" s="49">
        <v>0</v>
      </c>
      <c r="I1488" s="49">
        <v>0</v>
      </c>
      <c r="J1488" s="49">
        <v>0</v>
      </c>
      <c r="K1488" s="49">
        <v>0</v>
      </c>
      <c r="L1488" s="49">
        <v>0</v>
      </c>
      <c r="M1488" s="49">
        <v>0</v>
      </c>
      <c r="N1488" s="49">
        <v>0</v>
      </c>
      <c r="O1488" s="49">
        <v>18.8</v>
      </c>
      <c r="P1488" s="49">
        <v>21.38</v>
      </c>
      <c r="Q1488" s="49">
        <v>19.53</v>
      </c>
      <c r="R1488" s="49">
        <v>8.44</v>
      </c>
      <c r="S1488" s="49">
        <v>29.68</v>
      </c>
    </row>
    <row r="1489" spans="1:19" ht="18">
      <c r="A1489" s="49">
        <v>6643</v>
      </c>
      <c r="B1489" s="49" t="s">
        <v>1885</v>
      </c>
      <c r="C1489" s="49">
        <v>0</v>
      </c>
      <c r="D1489" s="49">
        <v>0</v>
      </c>
      <c r="E1489" s="49">
        <v>0</v>
      </c>
      <c r="F1489" s="49">
        <v>0</v>
      </c>
      <c r="G1489" s="49">
        <v>0</v>
      </c>
      <c r="H1489" s="49">
        <v>0</v>
      </c>
      <c r="I1489" s="49">
        <v>0</v>
      </c>
      <c r="J1489" s="49">
        <v>0</v>
      </c>
      <c r="K1489" s="49">
        <v>0</v>
      </c>
      <c r="L1489" s="49">
        <v>0</v>
      </c>
      <c r="M1489" s="49">
        <v>0</v>
      </c>
      <c r="N1489" s="49">
        <v>0</v>
      </c>
      <c r="O1489" s="49">
        <v>32.15</v>
      </c>
      <c r="P1489" s="49">
        <v>35.68</v>
      </c>
      <c r="Q1489" s="49">
        <v>50.83</v>
      </c>
      <c r="R1489" s="49">
        <v>41.97</v>
      </c>
      <c r="S1489" s="49">
        <v>77.319999999999993</v>
      </c>
    </row>
    <row r="1490" spans="1:19" ht="18">
      <c r="A1490" s="49">
        <v>6649</v>
      </c>
      <c r="B1490" s="49" t="s">
        <v>1886</v>
      </c>
      <c r="C1490" s="49">
        <v>0</v>
      </c>
      <c r="D1490" s="49">
        <v>0</v>
      </c>
      <c r="E1490" s="49">
        <v>0</v>
      </c>
      <c r="F1490" s="49">
        <v>0</v>
      </c>
      <c r="G1490" s="49">
        <v>0</v>
      </c>
      <c r="H1490" s="49">
        <v>0</v>
      </c>
      <c r="I1490" s="49">
        <v>0</v>
      </c>
      <c r="J1490" s="49">
        <v>0</v>
      </c>
      <c r="K1490" s="49">
        <v>0</v>
      </c>
      <c r="L1490" s="49">
        <v>0</v>
      </c>
      <c r="M1490" s="49">
        <v>0</v>
      </c>
      <c r="N1490" s="49">
        <v>0</v>
      </c>
      <c r="O1490" s="49">
        <v>0</v>
      </c>
      <c r="P1490" s="49">
        <v>0</v>
      </c>
      <c r="Q1490" s="49">
        <v>0</v>
      </c>
      <c r="R1490" s="49">
        <v>578.33000000000004</v>
      </c>
      <c r="S1490" s="49">
        <v>100.97</v>
      </c>
    </row>
    <row r="1491" spans="1:19" ht="18">
      <c r="A1491" s="49">
        <v>6651</v>
      </c>
      <c r="B1491" s="49" t="s">
        <v>1887</v>
      </c>
      <c r="C1491" s="49">
        <v>0</v>
      </c>
      <c r="D1491" s="49">
        <v>0</v>
      </c>
      <c r="E1491" s="49">
        <v>0</v>
      </c>
      <c r="F1491" s="49">
        <v>0</v>
      </c>
      <c r="G1491" s="49">
        <v>0</v>
      </c>
      <c r="H1491" s="49">
        <v>0</v>
      </c>
      <c r="I1491" s="49">
        <v>0</v>
      </c>
      <c r="J1491" s="49">
        <v>0</v>
      </c>
      <c r="K1491" s="49">
        <v>0</v>
      </c>
      <c r="L1491" s="49">
        <v>0</v>
      </c>
      <c r="M1491" s="49">
        <v>0</v>
      </c>
      <c r="N1491" s="49">
        <v>0</v>
      </c>
      <c r="O1491" s="49">
        <v>0</v>
      </c>
      <c r="P1491" s="49">
        <v>0</v>
      </c>
      <c r="Q1491" s="49">
        <v>15.1</v>
      </c>
      <c r="R1491" s="49">
        <v>7.39</v>
      </c>
      <c r="S1491" s="49">
        <v>11.6</v>
      </c>
    </row>
    <row r="1492" spans="1:19" ht="18">
      <c r="A1492" s="49">
        <v>6654</v>
      </c>
      <c r="B1492" s="49" t="s">
        <v>1888</v>
      </c>
      <c r="C1492" s="49">
        <v>0</v>
      </c>
      <c r="D1492" s="49">
        <v>0</v>
      </c>
      <c r="E1492" s="49">
        <v>0</v>
      </c>
      <c r="F1492" s="49">
        <v>0</v>
      </c>
      <c r="G1492" s="49">
        <v>0</v>
      </c>
      <c r="H1492" s="49">
        <v>0</v>
      </c>
      <c r="I1492" s="49">
        <v>0</v>
      </c>
      <c r="J1492" s="49">
        <v>0</v>
      </c>
      <c r="K1492" s="49">
        <v>0</v>
      </c>
      <c r="L1492" s="49">
        <v>0</v>
      </c>
      <c r="M1492" s="49">
        <v>0</v>
      </c>
      <c r="N1492" s="49">
        <v>8.1300000000000008</v>
      </c>
      <c r="O1492" s="49">
        <v>20.89</v>
      </c>
      <c r="P1492" s="49">
        <v>45.63</v>
      </c>
      <c r="Q1492" s="49">
        <v>16.420000000000002</v>
      </c>
      <c r="R1492" s="49">
        <v>14.31</v>
      </c>
      <c r="S1492" s="49">
        <v>0</v>
      </c>
    </row>
    <row r="1493" spans="1:19" ht="18">
      <c r="A1493" s="49">
        <v>6655</v>
      </c>
      <c r="B1493" s="49" t="s">
        <v>1112</v>
      </c>
      <c r="C1493" s="49">
        <v>0</v>
      </c>
      <c r="D1493" s="49">
        <v>0</v>
      </c>
      <c r="E1493" s="49">
        <v>0</v>
      </c>
      <c r="F1493" s="49">
        <v>0</v>
      </c>
      <c r="G1493" s="49">
        <v>0</v>
      </c>
      <c r="H1493" s="49">
        <v>0</v>
      </c>
      <c r="I1493" s="49">
        <v>0</v>
      </c>
      <c r="J1493" s="49">
        <v>0</v>
      </c>
      <c r="K1493" s="49">
        <v>0</v>
      </c>
      <c r="L1493" s="49">
        <v>0</v>
      </c>
      <c r="M1493" s="49">
        <v>0</v>
      </c>
      <c r="N1493" s="49">
        <v>16.23</v>
      </c>
      <c r="O1493" s="49">
        <v>18.809999999999999</v>
      </c>
      <c r="P1493" s="49">
        <v>15.13</v>
      </c>
      <c r="Q1493" s="49">
        <v>12.14</v>
      </c>
      <c r="R1493" s="49">
        <v>16.989999999999998</v>
      </c>
      <c r="S1493" s="49">
        <v>34.94</v>
      </c>
    </row>
    <row r="1494" spans="1:19" ht="18">
      <c r="A1494" s="49">
        <v>6661</v>
      </c>
      <c r="B1494" s="49" t="s">
        <v>1889</v>
      </c>
      <c r="C1494" s="49">
        <v>0</v>
      </c>
      <c r="D1494" s="49">
        <v>0</v>
      </c>
      <c r="E1494" s="49">
        <v>0</v>
      </c>
      <c r="F1494" s="49">
        <v>0</v>
      </c>
      <c r="G1494" s="49">
        <v>0</v>
      </c>
      <c r="H1494" s="49">
        <v>0</v>
      </c>
      <c r="I1494" s="49">
        <v>0</v>
      </c>
      <c r="J1494" s="49">
        <v>0</v>
      </c>
      <c r="K1494" s="49">
        <v>0</v>
      </c>
      <c r="L1494" s="49">
        <v>0</v>
      </c>
      <c r="M1494" s="49">
        <v>0</v>
      </c>
      <c r="N1494" s="49">
        <v>0</v>
      </c>
      <c r="O1494" s="49">
        <v>0</v>
      </c>
      <c r="P1494" s="49">
        <v>0</v>
      </c>
      <c r="Q1494" s="49">
        <v>59.63</v>
      </c>
      <c r="R1494" s="49">
        <v>20.18</v>
      </c>
      <c r="S1494" s="49">
        <v>0</v>
      </c>
    </row>
    <row r="1495" spans="1:19" ht="18">
      <c r="A1495" s="49">
        <v>6662</v>
      </c>
      <c r="B1495" s="49" t="s">
        <v>1890</v>
      </c>
      <c r="C1495" s="49">
        <v>0</v>
      </c>
      <c r="D1495" s="49">
        <v>0</v>
      </c>
      <c r="E1495" s="49">
        <v>0</v>
      </c>
      <c r="F1495" s="49">
        <v>0</v>
      </c>
      <c r="G1495" s="49">
        <v>0</v>
      </c>
      <c r="H1495" s="49">
        <v>0</v>
      </c>
      <c r="I1495" s="49">
        <v>0</v>
      </c>
      <c r="J1495" s="49">
        <v>0</v>
      </c>
      <c r="K1495" s="49">
        <v>0</v>
      </c>
      <c r="L1495" s="49">
        <v>0</v>
      </c>
      <c r="M1495" s="49">
        <v>0</v>
      </c>
      <c r="N1495" s="49">
        <v>0</v>
      </c>
      <c r="O1495" s="49">
        <v>18.52</v>
      </c>
      <c r="P1495" s="49">
        <v>17.39</v>
      </c>
      <c r="Q1495" s="49">
        <v>15</v>
      </c>
      <c r="R1495" s="49">
        <v>17.77</v>
      </c>
      <c r="S1495" s="49">
        <v>19.079999999999998</v>
      </c>
    </row>
    <row r="1496" spans="1:19" ht="18">
      <c r="A1496" s="49">
        <v>6664</v>
      </c>
      <c r="B1496" s="49" t="s">
        <v>1891</v>
      </c>
      <c r="C1496" s="49">
        <v>0</v>
      </c>
      <c r="D1496" s="49">
        <v>0</v>
      </c>
      <c r="E1496" s="49">
        <v>0</v>
      </c>
      <c r="F1496" s="49">
        <v>0</v>
      </c>
      <c r="G1496" s="49">
        <v>0</v>
      </c>
      <c r="H1496" s="49">
        <v>0</v>
      </c>
      <c r="I1496" s="49">
        <v>0</v>
      </c>
      <c r="J1496" s="49">
        <v>0</v>
      </c>
      <c r="K1496" s="49">
        <v>0</v>
      </c>
      <c r="L1496" s="49">
        <v>0</v>
      </c>
      <c r="M1496" s="49">
        <v>0</v>
      </c>
      <c r="N1496" s="49">
        <v>9.7799999999999994</v>
      </c>
      <c r="O1496" s="49">
        <v>12.03</v>
      </c>
      <c r="P1496" s="49">
        <v>12.96</v>
      </c>
      <c r="Q1496" s="49">
        <v>14.54</v>
      </c>
      <c r="R1496" s="49">
        <v>8.83</v>
      </c>
      <c r="S1496" s="49">
        <v>11.78</v>
      </c>
    </row>
    <row r="1497" spans="1:19" ht="18">
      <c r="A1497" s="49">
        <v>6666</v>
      </c>
      <c r="B1497" s="49" t="s">
        <v>1113</v>
      </c>
      <c r="C1497" s="49">
        <v>0</v>
      </c>
      <c r="D1497" s="49">
        <v>0</v>
      </c>
      <c r="E1497" s="49">
        <v>0</v>
      </c>
      <c r="F1497" s="49">
        <v>0</v>
      </c>
      <c r="G1497" s="49">
        <v>0</v>
      </c>
      <c r="H1497" s="49">
        <v>0</v>
      </c>
      <c r="I1497" s="49">
        <v>0</v>
      </c>
      <c r="J1497" s="49">
        <v>0</v>
      </c>
      <c r="K1497" s="49">
        <v>0</v>
      </c>
      <c r="L1497" s="49">
        <v>0</v>
      </c>
      <c r="M1497" s="49">
        <v>0</v>
      </c>
      <c r="N1497" s="49">
        <v>28.39</v>
      </c>
      <c r="O1497" s="49">
        <v>16.89</v>
      </c>
      <c r="P1497" s="49">
        <v>27.22</v>
      </c>
      <c r="Q1497" s="49">
        <v>30.09</v>
      </c>
      <c r="R1497" s="49">
        <v>36.57</v>
      </c>
      <c r="S1497" s="49">
        <v>45.14</v>
      </c>
    </row>
    <row r="1498" spans="1:19" ht="18">
      <c r="A1498" s="49">
        <v>6667</v>
      </c>
      <c r="B1498" s="49" t="s">
        <v>1892</v>
      </c>
      <c r="C1498" s="49">
        <v>0</v>
      </c>
      <c r="D1498" s="49">
        <v>0</v>
      </c>
      <c r="E1498" s="49">
        <v>0</v>
      </c>
      <c r="F1498" s="49">
        <v>0</v>
      </c>
      <c r="G1498" s="49">
        <v>0</v>
      </c>
      <c r="H1498" s="49">
        <v>0</v>
      </c>
      <c r="I1498" s="49">
        <v>0</v>
      </c>
      <c r="J1498" s="49">
        <v>0</v>
      </c>
      <c r="K1498" s="49">
        <v>0</v>
      </c>
      <c r="L1498" s="49">
        <v>0</v>
      </c>
      <c r="M1498" s="49">
        <v>0</v>
      </c>
      <c r="N1498" s="49">
        <v>12.1</v>
      </c>
      <c r="O1498" s="49">
        <v>50.35</v>
      </c>
      <c r="P1498" s="49">
        <v>26.95</v>
      </c>
      <c r="Q1498" s="49">
        <v>43.84</v>
      </c>
      <c r="R1498" s="49">
        <v>13.51</v>
      </c>
      <c r="S1498" s="49">
        <v>16.96</v>
      </c>
    </row>
    <row r="1499" spans="1:19" ht="18">
      <c r="A1499" s="49">
        <v>6668</v>
      </c>
      <c r="B1499" s="49" t="s">
        <v>1114</v>
      </c>
      <c r="C1499" s="49">
        <v>0</v>
      </c>
      <c r="D1499" s="49">
        <v>0</v>
      </c>
      <c r="E1499" s="49">
        <v>0</v>
      </c>
      <c r="F1499" s="49">
        <v>0</v>
      </c>
      <c r="G1499" s="49">
        <v>0</v>
      </c>
      <c r="H1499" s="49">
        <v>0</v>
      </c>
      <c r="I1499" s="49">
        <v>0</v>
      </c>
      <c r="J1499" s="49">
        <v>0</v>
      </c>
      <c r="K1499" s="49">
        <v>0</v>
      </c>
      <c r="L1499" s="49">
        <v>0</v>
      </c>
      <c r="M1499" s="49">
        <v>0</v>
      </c>
      <c r="N1499" s="49">
        <v>23.35</v>
      </c>
      <c r="O1499" s="49">
        <v>70.86</v>
      </c>
      <c r="P1499" s="49">
        <v>49.91</v>
      </c>
      <c r="Q1499" s="49">
        <v>0</v>
      </c>
      <c r="R1499" s="49">
        <v>0</v>
      </c>
      <c r="S1499" s="49">
        <v>0</v>
      </c>
    </row>
    <row r="1500" spans="1:19" ht="18">
      <c r="A1500" s="49">
        <v>6669</v>
      </c>
      <c r="B1500" s="49" t="s">
        <v>1115</v>
      </c>
      <c r="C1500" s="49">
        <v>0</v>
      </c>
      <c r="D1500" s="49">
        <v>0</v>
      </c>
      <c r="E1500" s="49">
        <v>0</v>
      </c>
      <c r="F1500" s="49">
        <v>0</v>
      </c>
      <c r="G1500" s="49">
        <v>0</v>
      </c>
      <c r="H1500" s="49">
        <v>0</v>
      </c>
      <c r="I1500" s="49">
        <v>0</v>
      </c>
      <c r="J1500" s="49">
        <v>0</v>
      </c>
      <c r="K1500" s="49">
        <v>0</v>
      </c>
      <c r="L1500" s="49">
        <v>0</v>
      </c>
      <c r="M1500" s="49">
        <v>0</v>
      </c>
      <c r="N1500" s="49">
        <v>0</v>
      </c>
      <c r="O1500" s="49">
        <v>20.149999999999999</v>
      </c>
      <c r="P1500" s="49">
        <v>15.73</v>
      </c>
      <c r="Q1500" s="49">
        <v>22.24</v>
      </c>
      <c r="R1500" s="49">
        <v>10.85</v>
      </c>
      <c r="S1500" s="49">
        <v>25.57</v>
      </c>
    </row>
    <row r="1501" spans="1:19" ht="18">
      <c r="A1501" s="49">
        <v>6670</v>
      </c>
      <c r="B1501" s="49" t="s">
        <v>1116</v>
      </c>
      <c r="C1501" s="49">
        <v>0</v>
      </c>
      <c r="D1501" s="49">
        <v>0</v>
      </c>
      <c r="E1501" s="49">
        <v>0</v>
      </c>
      <c r="F1501" s="49">
        <v>0</v>
      </c>
      <c r="G1501" s="49">
        <v>0</v>
      </c>
      <c r="H1501" s="49">
        <v>0</v>
      </c>
      <c r="I1501" s="49">
        <v>0</v>
      </c>
      <c r="J1501" s="49">
        <v>0</v>
      </c>
      <c r="K1501" s="49">
        <v>0</v>
      </c>
      <c r="L1501" s="49">
        <v>0</v>
      </c>
      <c r="M1501" s="49">
        <v>0</v>
      </c>
      <c r="N1501" s="49">
        <v>10.57</v>
      </c>
      <c r="O1501" s="49">
        <v>11.67</v>
      </c>
      <c r="P1501" s="49">
        <v>16.559999999999999</v>
      </c>
      <c r="Q1501" s="49">
        <v>11.25</v>
      </c>
      <c r="R1501" s="49">
        <v>6.43</v>
      </c>
      <c r="S1501" s="49">
        <v>9.75</v>
      </c>
    </row>
    <row r="1502" spans="1:19" ht="18">
      <c r="A1502" s="49">
        <v>6671</v>
      </c>
      <c r="B1502" s="49" t="s">
        <v>1117</v>
      </c>
      <c r="C1502" s="49">
        <v>0</v>
      </c>
      <c r="D1502" s="49">
        <v>0</v>
      </c>
      <c r="E1502" s="49">
        <v>0</v>
      </c>
      <c r="F1502" s="49">
        <v>0</v>
      </c>
      <c r="G1502" s="49">
        <v>0</v>
      </c>
      <c r="H1502" s="49">
        <v>0</v>
      </c>
      <c r="I1502" s="49">
        <v>0</v>
      </c>
      <c r="J1502" s="49">
        <v>0</v>
      </c>
      <c r="K1502" s="49">
        <v>0</v>
      </c>
      <c r="L1502" s="49">
        <v>0</v>
      </c>
      <c r="M1502" s="49">
        <v>0</v>
      </c>
      <c r="N1502" s="49">
        <v>9.6199999999999992</v>
      </c>
      <c r="O1502" s="49">
        <v>13.81</v>
      </c>
      <c r="P1502" s="49">
        <v>10.6</v>
      </c>
      <c r="Q1502" s="49">
        <v>12.83</v>
      </c>
      <c r="R1502" s="49">
        <v>14.9</v>
      </c>
      <c r="S1502" s="49">
        <v>13.7</v>
      </c>
    </row>
    <row r="1503" spans="1:19" ht="18">
      <c r="A1503" s="49">
        <v>6672</v>
      </c>
      <c r="B1503" s="49" t="s">
        <v>1118</v>
      </c>
      <c r="C1503" s="49">
        <v>0</v>
      </c>
      <c r="D1503" s="49">
        <v>0</v>
      </c>
      <c r="E1503" s="49">
        <v>0</v>
      </c>
      <c r="F1503" s="49">
        <v>0</v>
      </c>
      <c r="G1503" s="49">
        <v>0</v>
      </c>
      <c r="H1503" s="49">
        <v>0</v>
      </c>
      <c r="I1503" s="49">
        <v>0</v>
      </c>
      <c r="J1503" s="49">
        <v>0</v>
      </c>
      <c r="K1503" s="49">
        <v>0</v>
      </c>
      <c r="L1503" s="49">
        <v>0</v>
      </c>
      <c r="M1503" s="49">
        <v>0</v>
      </c>
      <c r="N1503" s="49">
        <v>0</v>
      </c>
      <c r="O1503" s="49">
        <v>15.75</v>
      </c>
      <c r="P1503" s="49">
        <v>11.91</v>
      </c>
      <c r="Q1503" s="49">
        <v>12.2</v>
      </c>
      <c r="R1503" s="49">
        <v>10.94</v>
      </c>
      <c r="S1503" s="49">
        <v>14.81</v>
      </c>
    </row>
    <row r="1504" spans="1:19" ht="18">
      <c r="A1504" s="49">
        <v>6674</v>
      </c>
      <c r="B1504" s="49" t="s">
        <v>1119</v>
      </c>
      <c r="C1504" s="49">
        <v>0</v>
      </c>
      <c r="D1504" s="49">
        <v>0</v>
      </c>
      <c r="E1504" s="49">
        <v>0</v>
      </c>
      <c r="F1504" s="49">
        <v>0</v>
      </c>
      <c r="G1504" s="49">
        <v>0</v>
      </c>
      <c r="H1504" s="49">
        <v>0</v>
      </c>
      <c r="I1504" s="49">
        <v>0</v>
      </c>
      <c r="J1504" s="49">
        <v>0</v>
      </c>
      <c r="K1504" s="49">
        <v>0</v>
      </c>
      <c r="L1504" s="49">
        <v>0</v>
      </c>
      <c r="M1504" s="49">
        <v>0</v>
      </c>
      <c r="N1504" s="49">
        <v>13.08</v>
      </c>
      <c r="O1504" s="49">
        <v>42.79</v>
      </c>
      <c r="P1504" s="49">
        <v>97.27</v>
      </c>
      <c r="Q1504" s="49">
        <v>46.03</v>
      </c>
      <c r="R1504" s="49">
        <v>285.56</v>
      </c>
      <c r="S1504" s="49">
        <v>0</v>
      </c>
    </row>
    <row r="1505" spans="1:19" ht="18">
      <c r="A1505" s="49">
        <v>6679</v>
      </c>
      <c r="B1505" s="49" t="s">
        <v>1893</v>
      </c>
      <c r="C1505" s="49">
        <v>0</v>
      </c>
      <c r="D1505" s="49">
        <v>0</v>
      </c>
      <c r="E1505" s="49">
        <v>0</v>
      </c>
      <c r="F1505" s="49">
        <v>0</v>
      </c>
      <c r="G1505" s="49">
        <v>0</v>
      </c>
      <c r="H1505" s="49">
        <v>0</v>
      </c>
      <c r="I1505" s="49">
        <v>0</v>
      </c>
      <c r="J1505" s="49">
        <v>0</v>
      </c>
      <c r="K1505" s="49">
        <v>0</v>
      </c>
      <c r="L1505" s="49">
        <v>0</v>
      </c>
      <c r="M1505" s="49">
        <v>0</v>
      </c>
      <c r="N1505" s="49">
        <v>0</v>
      </c>
      <c r="O1505" s="49">
        <v>51.45</v>
      </c>
      <c r="P1505" s="49">
        <v>34.31</v>
      </c>
      <c r="Q1505" s="49">
        <v>29.3</v>
      </c>
      <c r="R1505" s="49">
        <v>20.21</v>
      </c>
      <c r="S1505" s="49">
        <v>71.650000000000006</v>
      </c>
    </row>
    <row r="1506" spans="1:19" ht="18">
      <c r="A1506" s="49">
        <v>6680</v>
      </c>
      <c r="B1506" s="49" t="s">
        <v>1894</v>
      </c>
      <c r="C1506" s="49">
        <v>0</v>
      </c>
      <c r="D1506" s="49">
        <v>0</v>
      </c>
      <c r="E1506" s="49">
        <v>0</v>
      </c>
      <c r="F1506" s="49">
        <v>0</v>
      </c>
      <c r="G1506" s="49">
        <v>0</v>
      </c>
      <c r="H1506" s="49">
        <v>0</v>
      </c>
      <c r="I1506" s="49">
        <v>0</v>
      </c>
      <c r="J1506" s="49">
        <v>0</v>
      </c>
      <c r="K1506" s="49">
        <v>0</v>
      </c>
      <c r="L1506" s="49">
        <v>0</v>
      </c>
      <c r="M1506" s="49">
        <v>0</v>
      </c>
      <c r="N1506" s="49">
        <v>0</v>
      </c>
      <c r="O1506" s="49">
        <v>18.05</v>
      </c>
      <c r="P1506" s="49">
        <v>24.35</v>
      </c>
      <c r="Q1506" s="49">
        <v>41.98</v>
      </c>
      <c r="R1506" s="49">
        <v>18.93</v>
      </c>
      <c r="S1506" s="49">
        <v>22.91</v>
      </c>
    </row>
    <row r="1507" spans="1:19" ht="18">
      <c r="A1507" s="49">
        <v>6683</v>
      </c>
      <c r="B1507" s="49" t="s">
        <v>1895</v>
      </c>
      <c r="C1507" s="49">
        <v>0</v>
      </c>
      <c r="D1507" s="49">
        <v>0</v>
      </c>
      <c r="E1507" s="49">
        <v>0</v>
      </c>
      <c r="F1507" s="49">
        <v>0</v>
      </c>
      <c r="G1507" s="49">
        <v>0</v>
      </c>
      <c r="H1507" s="49">
        <v>0</v>
      </c>
      <c r="I1507" s="49">
        <v>0</v>
      </c>
      <c r="J1507" s="49">
        <v>0</v>
      </c>
      <c r="K1507" s="49">
        <v>0</v>
      </c>
      <c r="L1507" s="49">
        <v>0</v>
      </c>
      <c r="M1507" s="49">
        <v>0</v>
      </c>
      <c r="N1507" s="49">
        <v>0</v>
      </c>
      <c r="O1507" s="49">
        <v>31.67</v>
      </c>
      <c r="P1507" s="49">
        <v>28.68</v>
      </c>
      <c r="Q1507" s="49">
        <v>21.4</v>
      </c>
      <c r="R1507" s="49">
        <v>11.44</v>
      </c>
      <c r="S1507" s="49">
        <v>23.83</v>
      </c>
    </row>
    <row r="1508" spans="1:19" ht="18">
      <c r="A1508" s="49">
        <v>6684</v>
      </c>
      <c r="B1508" s="49" t="s">
        <v>1896</v>
      </c>
      <c r="C1508" s="49">
        <v>0</v>
      </c>
      <c r="D1508" s="49">
        <v>0</v>
      </c>
      <c r="E1508" s="49">
        <v>0</v>
      </c>
      <c r="F1508" s="49">
        <v>0</v>
      </c>
      <c r="G1508" s="49">
        <v>0</v>
      </c>
      <c r="H1508" s="49">
        <v>0</v>
      </c>
      <c r="I1508" s="49">
        <v>0</v>
      </c>
      <c r="J1508" s="49">
        <v>0</v>
      </c>
      <c r="K1508" s="49">
        <v>0</v>
      </c>
      <c r="L1508" s="49">
        <v>0</v>
      </c>
      <c r="M1508" s="49">
        <v>0</v>
      </c>
      <c r="N1508" s="49">
        <v>0</v>
      </c>
      <c r="O1508" s="49">
        <v>0</v>
      </c>
      <c r="P1508" s="49">
        <v>0</v>
      </c>
      <c r="Q1508" s="49">
        <v>31.9</v>
      </c>
      <c r="R1508" s="49">
        <v>12.85</v>
      </c>
      <c r="S1508" s="49">
        <v>0</v>
      </c>
    </row>
    <row r="1509" spans="1:19" ht="18">
      <c r="A1509" s="49">
        <v>6689</v>
      </c>
      <c r="B1509" s="49" t="s">
        <v>1120</v>
      </c>
      <c r="C1509" s="49">
        <v>0</v>
      </c>
      <c r="D1509" s="49">
        <v>0</v>
      </c>
      <c r="E1509" s="49">
        <v>0</v>
      </c>
      <c r="F1509" s="49">
        <v>0</v>
      </c>
      <c r="G1509" s="49">
        <v>0</v>
      </c>
      <c r="H1509" s="49">
        <v>0</v>
      </c>
      <c r="I1509" s="49">
        <v>0</v>
      </c>
      <c r="J1509" s="49">
        <v>0</v>
      </c>
      <c r="K1509" s="49">
        <v>0</v>
      </c>
      <c r="L1509" s="49">
        <v>0</v>
      </c>
      <c r="M1509" s="49">
        <v>0</v>
      </c>
      <c r="N1509" s="49">
        <v>0</v>
      </c>
      <c r="O1509" s="49">
        <v>0</v>
      </c>
      <c r="P1509" s="49">
        <v>0</v>
      </c>
      <c r="Q1509" s="49">
        <v>0</v>
      </c>
      <c r="R1509" s="49">
        <v>53.92</v>
      </c>
      <c r="S1509" s="49">
        <v>60.41</v>
      </c>
    </row>
    <row r="1510" spans="1:19" ht="18">
      <c r="A1510" s="49">
        <v>6690</v>
      </c>
      <c r="B1510" s="49" t="s">
        <v>1897</v>
      </c>
      <c r="C1510" s="49">
        <v>0</v>
      </c>
      <c r="D1510" s="49">
        <v>0</v>
      </c>
      <c r="E1510" s="49">
        <v>0</v>
      </c>
      <c r="F1510" s="49">
        <v>0</v>
      </c>
      <c r="G1510" s="49">
        <v>0</v>
      </c>
      <c r="H1510" s="49">
        <v>0</v>
      </c>
      <c r="I1510" s="49">
        <v>0</v>
      </c>
      <c r="J1510" s="49">
        <v>0</v>
      </c>
      <c r="K1510" s="49">
        <v>0</v>
      </c>
      <c r="L1510" s="49">
        <v>0</v>
      </c>
      <c r="M1510" s="49">
        <v>0</v>
      </c>
      <c r="N1510" s="49">
        <v>0</v>
      </c>
      <c r="O1510" s="49">
        <v>20.04</v>
      </c>
      <c r="P1510" s="49">
        <v>32.5</v>
      </c>
      <c r="Q1510" s="49">
        <v>25.05</v>
      </c>
      <c r="R1510" s="49">
        <v>18.89</v>
      </c>
      <c r="S1510" s="49">
        <v>23.28</v>
      </c>
    </row>
    <row r="1511" spans="1:19" ht="18">
      <c r="A1511" s="49">
        <v>6691</v>
      </c>
      <c r="B1511" s="49" t="s">
        <v>1121</v>
      </c>
      <c r="C1511" s="49">
        <v>0</v>
      </c>
      <c r="D1511" s="49">
        <v>0</v>
      </c>
      <c r="E1511" s="49">
        <v>0</v>
      </c>
      <c r="F1511" s="49">
        <v>0</v>
      </c>
      <c r="G1511" s="49">
        <v>0</v>
      </c>
      <c r="H1511" s="49">
        <v>0</v>
      </c>
      <c r="I1511" s="49">
        <v>0</v>
      </c>
      <c r="J1511" s="49">
        <v>0</v>
      </c>
      <c r="K1511" s="49">
        <v>0</v>
      </c>
      <c r="L1511" s="49">
        <v>0</v>
      </c>
      <c r="M1511" s="49">
        <v>0</v>
      </c>
      <c r="N1511" s="49">
        <v>0</v>
      </c>
      <c r="O1511" s="49">
        <v>0</v>
      </c>
      <c r="P1511" s="49">
        <v>0</v>
      </c>
      <c r="Q1511" s="49">
        <v>0</v>
      </c>
      <c r="R1511" s="49">
        <v>8.5299999999999994</v>
      </c>
      <c r="S1511" s="49">
        <v>15.14</v>
      </c>
    </row>
    <row r="1512" spans="1:19" ht="18">
      <c r="A1512" s="49">
        <v>6693</v>
      </c>
      <c r="B1512" s="49" t="s">
        <v>1898</v>
      </c>
      <c r="C1512" s="49">
        <v>0</v>
      </c>
      <c r="D1512" s="49">
        <v>0</v>
      </c>
      <c r="E1512" s="49">
        <v>0</v>
      </c>
      <c r="F1512" s="49">
        <v>0</v>
      </c>
      <c r="G1512" s="49">
        <v>0</v>
      </c>
      <c r="H1512" s="49">
        <v>0</v>
      </c>
      <c r="I1512" s="49">
        <v>0</v>
      </c>
      <c r="J1512" s="49">
        <v>0</v>
      </c>
      <c r="K1512" s="49">
        <v>0</v>
      </c>
      <c r="L1512" s="49">
        <v>0</v>
      </c>
      <c r="M1512" s="49">
        <v>0</v>
      </c>
      <c r="N1512" s="49">
        <v>0</v>
      </c>
      <c r="O1512" s="49">
        <v>0</v>
      </c>
      <c r="P1512" s="49">
        <v>0</v>
      </c>
      <c r="Q1512" s="49">
        <v>0</v>
      </c>
      <c r="R1512" s="49">
        <v>13.97</v>
      </c>
      <c r="S1512" s="49">
        <v>0</v>
      </c>
    </row>
    <row r="1513" spans="1:19" ht="18">
      <c r="A1513" s="49">
        <v>6695</v>
      </c>
      <c r="B1513" s="49" t="s">
        <v>1122</v>
      </c>
      <c r="C1513" s="49">
        <v>0</v>
      </c>
      <c r="D1513" s="49">
        <v>0</v>
      </c>
      <c r="E1513" s="49">
        <v>0</v>
      </c>
      <c r="F1513" s="49">
        <v>0</v>
      </c>
      <c r="G1513" s="49">
        <v>0</v>
      </c>
      <c r="H1513" s="49">
        <v>0</v>
      </c>
      <c r="I1513" s="49">
        <v>0</v>
      </c>
      <c r="J1513" s="49">
        <v>0</v>
      </c>
      <c r="K1513" s="49">
        <v>0</v>
      </c>
      <c r="L1513" s="49">
        <v>0</v>
      </c>
      <c r="M1513" s="49">
        <v>0</v>
      </c>
      <c r="N1513" s="49">
        <v>0</v>
      </c>
      <c r="O1513" s="49">
        <v>0</v>
      </c>
      <c r="P1513" s="49">
        <v>0</v>
      </c>
      <c r="Q1513" s="49">
        <v>0</v>
      </c>
      <c r="R1513" s="49">
        <v>24.54</v>
      </c>
      <c r="S1513" s="49">
        <v>0</v>
      </c>
    </row>
    <row r="1514" spans="1:19" ht="18">
      <c r="A1514" s="49">
        <v>6697</v>
      </c>
      <c r="B1514" s="49" t="s">
        <v>1899</v>
      </c>
      <c r="C1514" s="49">
        <v>0</v>
      </c>
      <c r="D1514" s="49">
        <v>0</v>
      </c>
      <c r="E1514" s="49">
        <v>0</v>
      </c>
      <c r="F1514" s="49">
        <v>0</v>
      </c>
      <c r="G1514" s="49">
        <v>0</v>
      </c>
      <c r="H1514" s="49">
        <v>0</v>
      </c>
      <c r="I1514" s="49">
        <v>0</v>
      </c>
      <c r="J1514" s="49">
        <v>0</v>
      </c>
      <c r="K1514" s="49">
        <v>0</v>
      </c>
      <c r="L1514" s="49">
        <v>0</v>
      </c>
      <c r="M1514" s="49">
        <v>0</v>
      </c>
      <c r="N1514" s="49">
        <v>0</v>
      </c>
      <c r="O1514" s="49">
        <v>20.43</v>
      </c>
      <c r="P1514" s="49">
        <v>15.9</v>
      </c>
      <c r="Q1514" s="49">
        <v>14.1</v>
      </c>
      <c r="R1514" s="49">
        <v>14.74</v>
      </c>
      <c r="S1514" s="49">
        <v>24.05</v>
      </c>
    </row>
    <row r="1515" spans="1:19" ht="18">
      <c r="A1515" s="49">
        <v>6698</v>
      </c>
      <c r="B1515" s="49" t="s">
        <v>1123</v>
      </c>
      <c r="C1515" s="49">
        <v>0</v>
      </c>
      <c r="D1515" s="49">
        <v>0</v>
      </c>
      <c r="E1515" s="49">
        <v>0</v>
      </c>
      <c r="F1515" s="49">
        <v>0</v>
      </c>
      <c r="G1515" s="49">
        <v>0</v>
      </c>
      <c r="H1515" s="49">
        <v>0</v>
      </c>
      <c r="I1515" s="49">
        <v>0</v>
      </c>
      <c r="J1515" s="49">
        <v>0</v>
      </c>
      <c r="K1515" s="49">
        <v>0</v>
      </c>
      <c r="L1515" s="49">
        <v>0</v>
      </c>
      <c r="M1515" s="49">
        <v>0</v>
      </c>
      <c r="N1515" s="49">
        <v>0</v>
      </c>
      <c r="O1515" s="49">
        <v>30.13</v>
      </c>
      <c r="P1515" s="49">
        <v>4425</v>
      </c>
      <c r="Q1515" s="49">
        <v>110.94</v>
      </c>
      <c r="R1515" s="49">
        <v>280</v>
      </c>
      <c r="S1515" s="49">
        <v>0</v>
      </c>
    </row>
    <row r="1516" spans="1:19" ht="18">
      <c r="A1516" s="49">
        <v>6703</v>
      </c>
      <c r="B1516" s="49" t="s">
        <v>1900</v>
      </c>
      <c r="C1516" s="49">
        <v>0</v>
      </c>
      <c r="D1516" s="49">
        <v>0</v>
      </c>
      <c r="E1516" s="49">
        <v>0</v>
      </c>
      <c r="F1516" s="49">
        <v>0</v>
      </c>
      <c r="G1516" s="49">
        <v>0</v>
      </c>
      <c r="H1516" s="49">
        <v>0</v>
      </c>
      <c r="I1516" s="49">
        <v>0</v>
      </c>
      <c r="J1516" s="49">
        <v>0</v>
      </c>
      <c r="K1516" s="49">
        <v>0</v>
      </c>
      <c r="L1516" s="49">
        <v>0</v>
      </c>
      <c r="M1516" s="49">
        <v>0</v>
      </c>
      <c r="N1516" s="49">
        <v>0</v>
      </c>
      <c r="O1516" s="49">
        <v>0</v>
      </c>
      <c r="P1516" s="49">
        <v>16.91</v>
      </c>
      <c r="Q1516" s="49">
        <v>15.72</v>
      </c>
      <c r="R1516" s="49">
        <v>15.48</v>
      </c>
      <c r="S1516" s="49">
        <v>22.03</v>
      </c>
    </row>
    <row r="1517" spans="1:19" ht="18">
      <c r="A1517" s="49">
        <v>6706</v>
      </c>
      <c r="B1517" s="49" t="s">
        <v>1124</v>
      </c>
      <c r="C1517" s="49">
        <v>0</v>
      </c>
      <c r="D1517" s="49">
        <v>0</v>
      </c>
      <c r="E1517" s="49">
        <v>0</v>
      </c>
      <c r="F1517" s="49">
        <v>0</v>
      </c>
      <c r="G1517" s="49">
        <v>0</v>
      </c>
      <c r="H1517" s="49">
        <v>0</v>
      </c>
      <c r="I1517" s="49">
        <v>0</v>
      </c>
      <c r="J1517" s="49">
        <v>0</v>
      </c>
      <c r="K1517" s="49">
        <v>0</v>
      </c>
      <c r="L1517" s="49">
        <v>0</v>
      </c>
      <c r="M1517" s="49">
        <v>0</v>
      </c>
      <c r="N1517" s="49">
        <v>0</v>
      </c>
      <c r="O1517" s="49">
        <v>18.32</v>
      </c>
      <c r="P1517" s="49">
        <v>51.23</v>
      </c>
      <c r="Q1517" s="49">
        <v>19.04</v>
      </c>
      <c r="R1517" s="49">
        <v>5.14</v>
      </c>
      <c r="S1517" s="49">
        <v>0</v>
      </c>
    </row>
    <row r="1518" spans="1:19" ht="18">
      <c r="A1518" s="49">
        <v>6708</v>
      </c>
      <c r="B1518" s="49" t="s">
        <v>1901</v>
      </c>
      <c r="C1518" s="49">
        <v>0</v>
      </c>
      <c r="D1518" s="49">
        <v>0</v>
      </c>
      <c r="E1518" s="49">
        <v>0</v>
      </c>
      <c r="F1518" s="49">
        <v>0</v>
      </c>
      <c r="G1518" s="49">
        <v>0</v>
      </c>
      <c r="H1518" s="49">
        <v>0</v>
      </c>
      <c r="I1518" s="49">
        <v>0</v>
      </c>
      <c r="J1518" s="49">
        <v>0</v>
      </c>
      <c r="K1518" s="49">
        <v>0</v>
      </c>
      <c r="L1518" s="49">
        <v>0</v>
      </c>
      <c r="M1518" s="49">
        <v>0</v>
      </c>
      <c r="N1518" s="49">
        <v>0</v>
      </c>
      <c r="O1518" s="49">
        <v>0</v>
      </c>
      <c r="P1518" s="49">
        <v>0</v>
      </c>
      <c r="Q1518" s="49">
        <v>0</v>
      </c>
      <c r="R1518" s="49">
        <v>32.69</v>
      </c>
      <c r="S1518" s="49">
        <v>0</v>
      </c>
    </row>
    <row r="1519" spans="1:19" ht="18">
      <c r="A1519" s="49">
        <v>6712</v>
      </c>
      <c r="B1519" s="49" t="s">
        <v>1902</v>
      </c>
      <c r="C1519" s="49">
        <v>0</v>
      </c>
      <c r="D1519" s="49">
        <v>0</v>
      </c>
      <c r="E1519" s="49">
        <v>0</v>
      </c>
      <c r="F1519" s="49">
        <v>0</v>
      </c>
      <c r="G1519" s="49">
        <v>0</v>
      </c>
      <c r="H1519" s="49">
        <v>0</v>
      </c>
      <c r="I1519" s="49">
        <v>0</v>
      </c>
      <c r="J1519" s="49">
        <v>0</v>
      </c>
      <c r="K1519" s="49">
        <v>0</v>
      </c>
      <c r="L1519" s="49">
        <v>0</v>
      </c>
      <c r="M1519" s="49">
        <v>0</v>
      </c>
      <c r="N1519" s="49">
        <v>0</v>
      </c>
      <c r="O1519" s="49">
        <v>0</v>
      </c>
      <c r="P1519" s="49">
        <v>0</v>
      </c>
      <c r="Q1519" s="49">
        <v>49.65</v>
      </c>
      <c r="R1519" s="49">
        <v>98.44</v>
      </c>
      <c r="S1519" s="49">
        <v>25.72</v>
      </c>
    </row>
    <row r="1520" spans="1:19" ht="18">
      <c r="A1520" s="49">
        <v>6715</v>
      </c>
      <c r="B1520" s="49" t="s">
        <v>1125</v>
      </c>
      <c r="C1520" s="49">
        <v>0</v>
      </c>
      <c r="D1520" s="49">
        <v>0</v>
      </c>
      <c r="E1520" s="49">
        <v>0</v>
      </c>
      <c r="F1520" s="49">
        <v>0</v>
      </c>
      <c r="G1520" s="49">
        <v>0</v>
      </c>
      <c r="H1520" s="49">
        <v>0</v>
      </c>
      <c r="I1520" s="49">
        <v>0</v>
      </c>
      <c r="J1520" s="49">
        <v>0</v>
      </c>
      <c r="K1520" s="49">
        <v>0</v>
      </c>
      <c r="L1520" s="49">
        <v>0</v>
      </c>
      <c r="M1520" s="49">
        <v>0</v>
      </c>
      <c r="N1520" s="49">
        <v>0</v>
      </c>
      <c r="O1520" s="49">
        <v>20.66</v>
      </c>
      <c r="P1520" s="49">
        <v>30.95</v>
      </c>
      <c r="Q1520" s="49">
        <v>35.04</v>
      </c>
      <c r="R1520" s="49">
        <v>15.54</v>
      </c>
      <c r="S1520" s="49">
        <v>23.45</v>
      </c>
    </row>
    <row r="1521" spans="1:19" ht="18">
      <c r="A1521" s="49">
        <v>6716</v>
      </c>
      <c r="B1521" s="49" t="s">
        <v>1903</v>
      </c>
      <c r="C1521" s="49">
        <v>0</v>
      </c>
      <c r="D1521" s="49">
        <v>0</v>
      </c>
      <c r="E1521" s="49">
        <v>0</v>
      </c>
      <c r="F1521" s="49">
        <v>0</v>
      </c>
      <c r="G1521" s="49">
        <v>0</v>
      </c>
      <c r="H1521" s="49">
        <v>0</v>
      </c>
      <c r="I1521" s="49">
        <v>0</v>
      </c>
      <c r="J1521" s="49">
        <v>0</v>
      </c>
      <c r="K1521" s="49">
        <v>0</v>
      </c>
      <c r="L1521" s="49">
        <v>0</v>
      </c>
      <c r="M1521" s="49">
        <v>0</v>
      </c>
      <c r="N1521" s="49">
        <v>0</v>
      </c>
      <c r="O1521" s="49">
        <v>0</v>
      </c>
      <c r="P1521" s="49">
        <v>13.54</v>
      </c>
      <c r="Q1521" s="49">
        <v>14.89</v>
      </c>
      <c r="R1521" s="49">
        <v>7.73</v>
      </c>
      <c r="S1521" s="49">
        <v>125.24</v>
      </c>
    </row>
    <row r="1522" spans="1:19" ht="18">
      <c r="A1522" s="49">
        <v>6719</v>
      </c>
      <c r="B1522" s="49" t="s">
        <v>1126</v>
      </c>
      <c r="C1522" s="49">
        <v>0</v>
      </c>
      <c r="D1522" s="49">
        <v>0</v>
      </c>
      <c r="E1522" s="49">
        <v>0</v>
      </c>
      <c r="F1522" s="49">
        <v>0</v>
      </c>
      <c r="G1522" s="49">
        <v>0</v>
      </c>
      <c r="H1522" s="49">
        <v>0</v>
      </c>
      <c r="I1522" s="49">
        <v>0</v>
      </c>
      <c r="J1522" s="49">
        <v>0</v>
      </c>
      <c r="K1522" s="49">
        <v>0</v>
      </c>
      <c r="L1522" s="49">
        <v>0</v>
      </c>
      <c r="M1522" s="49">
        <v>0</v>
      </c>
      <c r="N1522" s="49">
        <v>0</v>
      </c>
      <c r="O1522" s="49">
        <v>0</v>
      </c>
      <c r="P1522" s="49">
        <v>0</v>
      </c>
      <c r="Q1522" s="49">
        <v>0</v>
      </c>
      <c r="R1522" s="49">
        <v>12.78</v>
      </c>
      <c r="S1522" s="49">
        <v>448.57</v>
      </c>
    </row>
    <row r="1523" spans="1:19" ht="18">
      <c r="A1523" s="49">
        <v>6721</v>
      </c>
      <c r="B1523" s="49" t="s">
        <v>1904</v>
      </c>
      <c r="C1523" s="49">
        <v>0</v>
      </c>
      <c r="D1523" s="49">
        <v>0</v>
      </c>
      <c r="E1523" s="49">
        <v>0</v>
      </c>
      <c r="F1523" s="49">
        <v>0</v>
      </c>
      <c r="G1523" s="49">
        <v>0</v>
      </c>
      <c r="H1523" s="49">
        <v>0</v>
      </c>
      <c r="I1523" s="49">
        <v>0</v>
      </c>
      <c r="J1523" s="49">
        <v>0</v>
      </c>
      <c r="K1523" s="49">
        <v>0</v>
      </c>
      <c r="L1523" s="49">
        <v>0</v>
      </c>
      <c r="M1523" s="49">
        <v>0</v>
      </c>
      <c r="N1523" s="49">
        <v>0</v>
      </c>
      <c r="O1523" s="49">
        <v>0</v>
      </c>
      <c r="P1523" s="49">
        <v>0</v>
      </c>
      <c r="Q1523" s="49">
        <v>0</v>
      </c>
      <c r="R1523" s="49">
        <v>13.43</v>
      </c>
      <c r="S1523" s="49">
        <v>14.04</v>
      </c>
    </row>
    <row r="1524" spans="1:19" ht="18">
      <c r="A1524" s="49">
        <v>6727</v>
      </c>
      <c r="B1524" s="49" t="s">
        <v>1905</v>
      </c>
      <c r="C1524" s="49">
        <v>0</v>
      </c>
      <c r="D1524" s="49">
        <v>0</v>
      </c>
      <c r="E1524" s="49">
        <v>0</v>
      </c>
      <c r="F1524" s="49">
        <v>0</v>
      </c>
      <c r="G1524" s="49">
        <v>0</v>
      </c>
      <c r="H1524" s="49">
        <v>0</v>
      </c>
      <c r="I1524" s="49">
        <v>0</v>
      </c>
      <c r="J1524" s="49">
        <v>0</v>
      </c>
      <c r="K1524" s="49">
        <v>0</v>
      </c>
      <c r="L1524" s="49">
        <v>0</v>
      </c>
      <c r="M1524" s="49">
        <v>0</v>
      </c>
      <c r="N1524" s="49">
        <v>0</v>
      </c>
      <c r="O1524" s="49">
        <v>0</v>
      </c>
      <c r="P1524" s="49">
        <v>13.39</v>
      </c>
      <c r="Q1524" s="49">
        <v>11.86</v>
      </c>
      <c r="R1524" s="49">
        <v>7.15</v>
      </c>
      <c r="S1524" s="49">
        <v>15.85</v>
      </c>
    </row>
    <row r="1525" spans="1:19" ht="18">
      <c r="A1525" s="49">
        <v>6728</v>
      </c>
      <c r="B1525" s="49" t="s">
        <v>1906</v>
      </c>
      <c r="C1525" s="49">
        <v>0</v>
      </c>
      <c r="D1525" s="49">
        <v>0</v>
      </c>
      <c r="E1525" s="49">
        <v>0</v>
      </c>
      <c r="F1525" s="49">
        <v>0</v>
      </c>
      <c r="G1525" s="49">
        <v>0</v>
      </c>
      <c r="H1525" s="49">
        <v>0</v>
      </c>
      <c r="I1525" s="49">
        <v>0</v>
      </c>
      <c r="J1525" s="49">
        <v>0</v>
      </c>
      <c r="K1525" s="49">
        <v>0</v>
      </c>
      <c r="L1525" s="49">
        <v>0</v>
      </c>
      <c r="M1525" s="49">
        <v>0</v>
      </c>
      <c r="N1525" s="49">
        <v>0</v>
      </c>
      <c r="O1525" s="49">
        <v>0</v>
      </c>
      <c r="P1525" s="49">
        <v>6.93</v>
      </c>
      <c r="Q1525" s="49">
        <v>9.93</v>
      </c>
      <c r="R1525" s="49">
        <v>7.96</v>
      </c>
      <c r="S1525" s="49">
        <v>15.35</v>
      </c>
    </row>
    <row r="1526" spans="1:19" ht="18">
      <c r="A1526" s="49">
        <v>6732</v>
      </c>
      <c r="B1526" s="49" t="s">
        <v>1907</v>
      </c>
      <c r="C1526" s="49">
        <v>0</v>
      </c>
      <c r="D1526" s="49">
        <v>0</v>
      </c>
      <c r="E1526" s="49">
        <v>0</v>
      </c>
      <c r="F1526" s="49">
        <v>0</v>
      </c>
      <c r="G1526" s="49">
        <v>0</v>
      </c>
      <c r="H1526" s="49">
        <v>0</v>
      </c>
      <c r="I1526" s="49">
        <v>0</v>
      </c>
      <c r="J1526" s="49">
        <v>0</v>
      </c>
      <c r="K1526" s="49">
        <v>0</v>
      </c>
      <c r="L1526" s="49">
        <v>0</v>
      </c>
      <c r="M1526" s="49">
        <v>0</v>
      </c>
      <c r="N1526" s="49">
        <v>0</v>
      </c>
      <c r="O1526" s="49">
        <v>0</v>
      </c>
      <c r="P1526" s="49">
        <v>23.72</v>
      </c>
      <c r="Q1526" s="49">
        <v>15.19</v>
      </c>
      <c r="R1526" s="49">
        <v>9.83</v>
      </c>
      <c r="S1526" s="49">
        <v>36.64</v>
      </c>
    </row>
    <row r="1527" spans="1:19" ht="18">
      <c r="A1527" s="49">
        <v>6733</v>
      </c>
      <c r="B1527" s="49" t="s">
        <v>1908</v>
      </c>
      <c r="C1527" s="49">
        <v>0</v>
      </c>
      <c r="D1527" s="49">
        <v>0</v>
      </c>
      <c r="E1527" s="49">
        <v>0</v>
      </c>
      <c r="F1527" s="49">
        <v>0</v>
      </c>
      <c r="G1527" s="49">
        <v>0</v>
      </c>
      <c r="H1527" s="49">
        <v>0</v>
      </c>
      <c r="I1527" s="49">
        <v>0</v>
      </c>
      <c r="J1527" s="49">
        <v>0</v>
      </c>
      <c r="K1527" s="49">
        <v>0</v>
      </c>
      <c r="L1527" s="49">
        <v>0</v>
      </c>
      <c r="M1527" s="49">
        <v>0</v>
      </c>
      <c r="N1527" s="49">
        <v>0</v>
      </c>
      <c r="O1527" s="49">
        <v>0</v>
      </c>
      <c r="P1527" s="49">
        <v>0</v>
      </c>
      <c r="Q1527" s="49">
        <v>0</v>
      </c>
      <c r="R1527" s="49">
        <v>0</v>
      </c>
      <c r="S1527" s="49">
        <v>0</v>
      </c>
    </row>
    <row r="1528" spans="1:19" ht="18">
      <c r="A1528" s="49">
        <v>6735</v>
      </c>
      <c r="B1528" s="49" t="s">
        <v>1909</v>
      </c>
      <c r="C1528" s="49">
        <v>0</v>
      </c>
      <c r="D1528" s="49">
        <v>0</v>
      </c>
      <c r="E1528" s="49">
        <v>0</v>
      </c>
      <c r="F1528" s="49">
        <v>0</v>
      </c>
      <c r="G1528" s="49">
        <v>0</v>
      </c>
      <c r="H1528" s="49">
        <v>0</v>
      </c>
      <c r="I1528" s="49">
        <v>0</v>
      </c>
      <c r="J1528" s="49">
        <v>0</v>
      </c>
      <c r="K1528" s="49">
        <v>0</v>
      </c>
      <c r="L1528" s="49">
        <v>0</v>
      </c>
      <c r="M1528" s="49">
        <v>0</v>
      </c>
      <c r="N1528" s="49">
        <v>0</v>
      </c>
      <c r="O1528" s="49">
        <v>0</v>
      </c>
      <c r="P1528" s="49">
        <v>0</v>
      </c>
      <c r="Q1528" s="49">
        <v>0</v>
      </c>
      <c r="R1528" s="49">
        <v>14.65</v>
      </c>
      <c r="S1528" s="49">
        <v>0</v>
      </c>
    </row>
    <row r="1529" spans="1:19" ht="18">
      <c r="A1529" s="49">
        <v>6741</v>
      </c>
      <c r="B1529" s="49" t="s">
        <v>1910</v>
      </c>
      <c r="C1529" s="49">
        <v>0</v>
      </c>
      <c r="D1529" s="49">
        <v>0</v>
      </c>
      <c r="E1529" s="49">
        <v>0</v>
      </c>
      <c r="F1529" s="49">
        <v>0</v>
      </c>
      <c r="G1529" s="49">
        <v>0</v>
      </c>
      <c r="H1529" s="49">
        <v>0</v>
      </c>
      <c r="I1529" s="49">
        <v>0</v>
      </c>
      <c r="J1529" s="49">
        <v>0</v>
      </c>
      <c r="K1529" s="49">
        <v>0</v>
      </c>
      <c r="L1529" s="49">
        <v>0</v>
      </c>
      <c r="M1529" s="49">
        <v>0</v>
      </c>
      <c r="N1529" s="49">
        <v>0</v>
      </c>
      <c r="O1529" s="49">
        <v>0</v>
      </c>
      <c r="P1529" s="49">
        <v>0</v>
      </c>
      <c r="Q1529" s="49">
        <v>111.39</v>
      </c>
      <c r="R1529" s="49">
        <v>39.39</v>
      </c>
      <c r="S1529" s="49">
        <v>30.43</v>
      </c>
    </row>
    <row r="1530" spans="1:19" ht="18">
      <c r="A1530" s="49">
        <v>6743</v>
      </c>
      <c r="B1530" s="49" t="s">
        <v>1127</v>
      </c>
      <c r="C1530" s="49">
        <v>0</v>
      </c>
      <c r="D1530" s="49">
        <v>0</v>
      </c>
      <c r="E1530" s="49">
        <v>0</v>
      </c>
      <c r="F1530" s="49">
        <v>0</v>
      </c>
      <c r="G1530" s="49">
        <v>0</v>
      </c>
      <c r="H1530" s="49">
        <v>0</v>
      </c>
      <c r="I1530" s="49">
        <v>0</v>
      </c>
      <c r="J1530" s="49">
        <v>0</v>
      </c>
      <c r="K1530" s="49">
        <v>0</v>
      </c>
      <c r="L1530" s="49">
        <v>0</v>
      </c>
      <c r="M1530" s="49">
        <v>0</v>
      </c>
      <c r="N1530" s="49">
        <v>0</v>
      </c>
      <c r="O1530" s="49">
        <v>0</v>
      </c>
      <c r="P1530" s="49">
        <v>52.42</v>
      </c>
      <c r="Q1530" s="49">
        <v>91.79</v>
      </c>
      <c r="R1530" s="49">
        <v>156.30000000000001</v>
      </c>
      <c r="S1530" s="49">
        <v>0</v>
      </c>
    </row>
    <row r="1531" spans="1:19" ht="18">
      <c r="A1531" s="49">
        <v>6747</v>
      </c>
      <c r="B1531" s="49" t="s">
        <v>1911</v>
      </c>
      <c r="C1531" s="49">
        <v>0</v>
      </c>
      <c r="D1531" s="49">
        <v>0</v>
      </c>
      <c r="E1531" s="49">
        <v>0</v>
      </c>
      <c r="F1531" s="49">
        <v>0</v>
      </c>
      <c r="G1531" s="49">
        <v>0</v>
      </c>
      <c r="H1531" s="49">
        <v>0</v>
      </c>
      <c r="I1531" s="49">
        <v>0</v>
      </c>
      <c r="J1531" s="49">
        <v>0</v>
      </c>
      <c r="K1531" s="49">
        <v>0</v>
      </c>
      <c r="L1531" s="49">
        <v>0</v>
      </c>
      <c r="M1531" s="49">
        <v>0</v>
      </c>
      <c r="N1531" s="49">
        <v>0</v>
      </c>
      <c r="O1531" s="49">
        <v>0</v>
      </c>
      <c r="P1531" s="49">
        <v>0</v>
      </c>
      <c r="Q1531" s="49">
        <v>30.31</v>
      </c>
      <c r="R1531" s="49">
        <v>17.36</v>
      </c>
      <c r="S1531" s="49">
        <v>23.19</v>
      </c>
    </row>
    <row r="1532" spans="1:19" ht="18">
      <c r="A1532" s="49">
        <v>6751</v>
      </c>
      <c r="B1532" s="49" t="s">
        <v>1912</v>
      </c>
      <c r="C1532" s="49">
        <v>0</v>
      </c>
      <c r="D1532" s="49">
        <v>0</v>
      </c>
      <c r="E1532" s="49">
        <v>0</v>
      </c>
      <c r="F1532" s="49">
        <v>0</v>
      </c>
      <c r="G1532" s="49">
        <v>0</v>
      </c>
      <c r="H1532" s="49">
        <v>0</v>
      </c>
      <c r="I1532" s="49">
        <v>0</v>
      </c>
      <c r="J1532" s="49">
        <v>0</v>
      </c>
      <c r="K1532" s="49">
        <v>0</v>
      </c>
      <c r="L1532" s="49">
        <v>0</v>
      </c>
      <c r="M1532" s="49">
        <v>0</v>
      </c>
      <c r="N1532" s="49">
        <v>0</v>
      </c>
      <c r="O1532" s="49">
        <v>0</v>
      </c>
      <c r="P1532" s="49">
        <v>27.56</v>
      </c>
      <c r="Q1532" s="49">
        <v>23.12</v>
      </c>
      <c r="R1532" s="49">
        <v>15.27</v>
      </c>
      <c r="S1532" s="49">
        <v>22.2</v>
      </c>
    </row>
    <row r="1533" spans="1:19" ht="18">
      <c r="A1533" s="49">
        <v>6752</v>
      </c>
      <c r="B1533" s="49" t="s">
        <v>1913</v>
      </c>
      <c r="C1533" s="49">
        <v>0</v>
      </c>
      <c r="D1533" s="49">
        <v>0</v>
      </c>
      <c r="E1533" s="49">
        <v>0</v>
      </c>
      <c r="F1533" s="49">
        <v>0</v>
      </c>
      <c r="G1533" s="49">
        <v>0</v>
      </c>
      <c r="H1533" s="49">
        <v>0</v>
      </c>
      <c r="I1533" s="49">
        <v>0</v>
      </c>
      <c r="J1533" s="49">
        <v>0</v>
      </c>
      <c r="K1533" s="49">
        <v>0</v>
      </c>
      <c r="L1533" s="49">
        <v>0</v>
      </c>
      <c r="M1533" s="49">
        <v>0</v>
      </c>
      <c r="N1533" s="49">
        <v>0</v>
      </c>
      <c r="O1533" s="49">
        <v>0</v>
      </c>
      <c r="P1533" s="49">
        <v>13.03</v>
      </c>
      <c r="Q1533" s="49">
        <v>12.5</v>
      </c>
      <c r="R1533" s="49">
        <v>10.24</v>
      </c>
      <c r="S1533" s="49">
        <v>24.55</v>
      </c>
    </row>
    <row r="1534" spans="1:19" ht="18">
      <c r="A1534" s="49">
        <v>6754</v>
      </c>
      <c r="B1534" s="49" t="s">
        <v>1128</v>
      </c>
      <c r="C1534" s="49">
        <v>0</v>
      </c>
      <c r="D1534" s="49">
        <v>0</v>
      </c>
      <c r="E1534" s="49">
        <v>0</v>
      </c>
      <c r="F1534" s="49">
        <v>0</v>
      </c>
      <c r="G1534" s="49">
        <v>0</v>
      </c>
      <c r="H1534" s="49">
        <v>0</v>
      </c>
      <c r="I1534" s="49">
        <v>0</v>
      </c>
      <c r="J1534" s="49">
        <v>0</v>
      </c>
      <c r="K1534" s="49">
        <v>0</v>
      </c>
      <c r="L1534" s="49">
        <v>0</v>
      </c>
      <c r="M1534" s="49">
        <v>0</v>
      </c>
      <c r="N1534" s="49">
        <v>0</v>
      </c>
      <c r="O1534" s="49">
        <v>0</v>
      </c>
      <c r="P1534" s="49">
        <v>14.78</v>
      </c>
      <c r="Q1534" s="49">
        <v>15.43</v>
      </c>
      <c r="R1534" s="49">
        <v>9.14</v>
      </c>
      <c r="S1534" s="49">
        <v>11.44</v>
      </c>
    </row>
    <row r="1535" spans="1:19" ht="18">
      <c r="A1535" s="49">
        <v>6756</v>
      </c>
      <c r="B1535" s="49" t="s">
        <v>1129</v>
      </c>
      <c r="C1535" s="49">
        <v>0</v>
      </c>
      <c r="D1535" s="49">
        <v>0</v>
      </c>
      <c r="E1535" s="49">
        <v>0</v>
      </c>
      <c r="F1535" s="49">
        <v>0</v>
      </c>
      <c r="G1535" s="49">
        <v>0</v>
      </c>
      <c r="H1535" s="49">
        <v>0</v>
      </c>
      <c r="I1535" s="49">
        <v>0</v>
      </c>
      <c r="J1535" s="49">
        <v>0</v>
      </c>
      <c r="K1535" s="49">
        <v>0</v>
      </c>
      <c r="L1535" s="49">
        <v>0</v>
      </c>
      <c r="M1535" s="49">
        <v>0</v>
      </c>
      <c r="N1535" s="49">
        <v>0</v>
      </c>
      <c r="O1535" s="49">
        <v>0</v>
      </c>
      <c r="P1535" s="49">
        <v>48.47</v>
      </c>
      <c r="Q1535" s="49">
        <v>47.18</v>
      </c>
      <c r="R1535" s="49">
        <v>13.35</v>
      </c>
      <c r="S1535" s="49">
        <v>89</v>
      </c>
    </row>
    <row r="1536" spans="1:19" ht="18">
      <c r="A1536" s="49">
        <v>6761</v>
      </c>
      <c r="B1536" s="49" t="s">
        <v>1914</v>
      </c>
      <c r="C1536" s="49">
        <v>0</v>
      </c>
      <c r="D1536" s="49">
        <v>0</v>
      </c>
      <c r="E1536" s="49">
        <v>0</v>
      </c>
      <c r="F1536" s="49">
        <v>0</v>
      </c>
      <c r="G1536" s="49">
        <v>0</v>
      </c>
      <c r="H1536" s="49">
        <v>0</v>
      </c>
      <c r="I1536" s="49">
        <v>0</v>
      </c>
      <c r="J1536" s="49">
        <v>0</v>
      </c>
      <c r="K1536" s="49">
        <v>0</v>
      </c>
      <c r="L1536" s="49">
        <v>0</v>
      </c>
      <c r="M1536" s="49">
        <v>0</v>
      </c>
      <c r="N1536" s="49">
        <v>0</v>
      </c>
      <c r="O1536" s="49">
        <v>0</v>
      </c>
      <c r="P1536" s="49">
        <v>0</v>
      </c>
      <c r="Q1536" s="49">
        <v>19.27</v>
      </c>
      <c r="R1536" s="49">
        <v>10.5</v>
      </c>
      <c r="S1536" s="49">
        <v>16.34</v>
      </c>
    </row>
    <row r="1537" spans="1:19" ht="18">
      <c r="A1537" s="49">
        <v>6762</v>
      </c>
      <c r="B1537" s="49" t="s">
        <v>1915</v>
      </c>
      <c r="C1537" s="49">
        <v>0</v>
      </c>
      <c r="D1537" s="49">
        <v>0</v>
      </c>
      <c r="E1537" s="49">
        <v>0</v>
      </c>
      <c r="F1537" s="49">
        <v>0</v>
      </c>
      <c r="G1537" s="49">
        <v>0</v>
      </c>
      <c r="H1537" s="49">
        <v>0</v>
      </c>
      <c r="I1537" s="49">
        <v>0</v>
      </c>
      <c r="J1537" s="49">
        <v>0</v>
      </c>
      <c r="K1537" s="49">
        <v>0</v>
      </c>
      <c r="L1537" s="49">
        <v>0</v>
      </c>
      <c r="M1537" s="49">
        <v>0</v>
      </c>
      <c r="N1537" s="49">
        <v>0</v>
      </c>
      <c r="O1537" s="49">
        <v>0</v>
      </c>
      <c r="P1537" s="49">
        <v>27.14</v>
      </c>
      <c r="Q1537" s="49">
        <v>37.799999999999997</v>
      </c>
      <c r="R1537" s="49">
        <v>38.4</v>
      </c>
      <c r="S1537" s="49">
        <v>55.46</v>
      </c>
    </row>
    <row r="1538" spans="1:19" ht="18">
      <c r="A1538" s="49">
        <v>6763</v>
      </c>
      <c r="B1538" s="49" t="s">
        <v>1916</v>
      </c>
      <c r="C1538" s="49">
        <v>0</v>
      </c>
      <c r="D1538" s="49">
        <v>0</v>
      </c>
      <c r="E1538" s="49">
        <v>0</v>
      </c>
      <c r="F1538" s="49">
        <v>0</v>
      </c>
      <c r="G1538" s="49">
        <v>0</v>
      </c>
      <c r="H1538" s="49">
        <v>0</v>
      </c>
      <c r="I1538" s="49">
        <v>0</v>
      </c>
      <c r="J1538" s="49">
        <v>0</v>
      </c>
      <c r="K1538" s="49">
        <v>0</v>
      </c>
      <c r="L1538" s="49">
        <v>0</v>
      </c>
      <c r="M1538" s="49">
        <v>0</v>
      </c>
      <c r="N1538" s="49">
        <v>0</v>
      </c>
      <c r="O1538" s="49">
        <v>0</v>
      </c>
      <c r="P1538" s="49">
        <v>0</v>
      </c>
      <c r="Q1538" s="49">
        <v>0</v>
      </c>
      <c r="R1538" s="49">
        <v>20.85</v>
      </c>
      <c r="S1538" s="49">
        <v>21.24</v>
      </c>
    </row>
    <row r="1539" spans="1:19" ht="18">
      <c r="A1539" s="49">
        <v>6767</v>
      </c>
      <c r="B1539" s="49" t="s">
        <v>1917</v>
      </c>
      <c r="C1539" s="49">
        <v>0</v>
      </c>
      <c r="D1539" s="49">
        <v>0</v>
      </c>
      <c r="E1539" s="49">
        <v>0</v>
      </c>
      <c r="F1539" s="49">
        <v>0</v>
      </c>
      <c r="G1539" s="49">
        <v>0</v>
      </c>
      <c r="H1539" s="49">
        <v>0</v>
      </c>
      <c r="I1539" s="49">
        <v>0</v>
      </c>
      <c r="J1539" s="49">
        <v>0</v>
      </c>
      <c r="K1539" s="49">
        <v>0</v>
      </c>
      <c r="L1539" s="49">
        <v>0</v>
      </c>
      <c r="M1539" s="49">
        <v>0</v>
      </c>
      <c r="N1539" s="49">
        <v>0</v>
      </c>
      <c r="O1539" s="49">
        <v>0</v>
      </c>
      <c r="P1539" s="49">
        <v>0</v>
      </c>
      <c r="Q1539" s="49">
        <v>0</v>
      </c>
      <c r="R1539" s="49">
        <v>0</v>
      </c>
      <c r="S1539" s="49">
        <v>300.42</v>
      </c>
    </row>
    <row r="1540" spans="1:19" ht="18">
      <c r="A1540" s="49">
        <v>6768</v>
      </c>
      <c r="B1540" s="49" t="s">
        <v>1130</v>
      </c>
      <c r="C1540" s="49">
        <v>0</v>
      </c>
      <c r="D1540" s="49">
        <v>0</v>
      </c>
      <c r="E1540" s="49">
        <v>0</v>
      </c>
      <c r="F1540" s="49">
        <v>0</v>
      </c>
      <c r="G1540" s="49">
        <v>0</v>
      </c>
      <c r="H1540" s="49">
        <v>0</v>
      </c>
      <c r="I1540" s="49">
        <v>0</v>
      </c>
      <c r="J1540" s="49">
        <v>0</v>
      </c>
      <c r="K1540" s="49">
        <v>0</v>
      </c>
      <c r="L1540" s="49">
        <v>0</v>
      </c>
      <c r="M1540" s="49">
        <v>0</v>
      </c>
      <c r="N1540" s="49">
        <v>0</v>
      </c>
      <c r="O1540" s="49">
        <v>0</v>
      </c>
      <c r="P1540" s="49">
        <v>0</v>
      </c>
      <c r="Q1540" s="49">
        <v>32.340000000000003</v>
      </c>
      <c r="R1540" s="49">
        <v>8.73</v>
      </c>
      <c r="S1540" s="49">
        <v>18.079999999999998</v>
      </c>
    </row>
    <row r="1541" spans="1:19" ht="18">
      <c r="A1541" s="49">
        <v>6770</v>
      </c>
      <c r="B1541" s="49" t="s">
        <v>1131</v>
      </c>
      <c r="C1541" s="49">
        <v>0</v>
      </c>
      <c r="D1541" s="49">
        <v>0</v>
      </c>
      <c r="E1541" s="49">
        <v>0</v>
      </c>
      <c r="F1541" s="49">
        <v>0</v>
      </c>
      <c r="G1541" s="49">
        <v>0</v>
      </c>
      <c r="H1541" s="49">
        <v>0</v>
      </c>
      <c r="I1541" s="49">
        <v>0</v>
      </c>
      <c r="J1541" s="49">
        <v>0</v>
      </c>
      <c r="K1541" s="49">
        <v>0</v>
      </c>
      <c r="L1541" s="49">
        <v>0</v>
      </c>
      <c r="M1541" s="49">
        <v>0</v>
      </c>
      <c r="N1541" s="49">
        <v>0</v>
      </c>
      <c r="O1541" s="49">
        <v>0</v>
      </c>
      <c r="P1541" s="49">
        <v>0</v>
      </c>
      <c r="Q1541" s="49">
        <v>33.43</v>
      </c>
      <c r="R1541" s="49">
        <v>4.8600000000000003</v>
      </c>
      <c r="S1541" s="49">
        <v>49.92</v>
      </c>
    </row>
    <row r="1542" spans="1:19" ht="18">
      <c r="A1542" s="49">
        <v>6776</v>
      </c>
      <c r="B1542" s="49" t="s">
        <v>1132</v>
      </c>
      <c r="C1542" s="49">
        <v>0</v>
      </c>
      <c r="D1542" s="49">
        <v>0</v>
      </c>
      <c r="E1542" s="49">
        <v>0</v>
      </c>
      <c r="F1542" s="49">
        <v>0</v>
      </c>
      <c r="G1542" s="49">
        <v>0</v>
      </c>
      <c r="H1542" s="49">
        <v>0</v>
      </c>
      <c r="I1542" s="49">
        <v>0</v>
      </c>
      <c r="J1542" s="49">
        <v>0</v>
      </c>
      <c r="K1542" s="49">
        <v>0</v>
      </c>
      <c r="L1542" s="49">
        <v>0</v>
      </c>
      <c r="M1542" s="49">
        <v>0</v>
      </c>
      <c r="N1542" s="49">
        <v>0</v>
      </c>
      <c r="O1542" s="49">
        <v>0</v>
      </c>
      <c r="P1542" s="49">
        <v>0</v>
      </c>
      <c r="Q1542" s="49">
        <v>12.86</v>
      </c>
      <c r="R1542" s="49">
        <v>7.76</v>
      </c>
      <c r="S1542" s="49">
        <v>11.21</v>
      </c>
    </row>
    <row r="1543" spans="1:19" ht="18">
      <c r="A1543" s="49">
        <v>6781</v>
      </c>
      <c r="B1543" s="49" t="s">
        <v>1133</v>
      </c>
      <c r="C1543" s="49">
        <v>0</v>
      </c>
      <c r="D1543" s="49">
        <v>0</v>
      </c>
      <c r="E1543" s="49">
        <v>0</v>
      </c>
      <c r="F1543" s="49">
        <v>0</v>
      </c>
      <c r="G1543" s="49">
        <v>0</v>
      </c>
      <c r="H1543" s="49">
        <v>0</v>
      </c>
      <c r="I1543" s="49">
        <v>0</v>
      </c>
      <c r="J1543" s="49">
        <v>0</v>
      </c>
      <c r="K1543" s="49">
        <v>0</v>
      </c>
      <c r="L1543" s="49">
        <v>0</v>
      </c>
      <c r="M1543" s="49">
        <v>0</v>
      </c>
      <c r="N1543" s="49">
        <v>0</v>
      </c>
      <c r="O1543" s="49">
        <v>0</v>
      </c>
      <c r="P1543" s="49">
        <v>0</v>
      </c>
      <c r="Q1543" s="49">
        <v>172.5</v>
      </c>
      <c r="R1543" s="49">
        <v>17.66</v>
      </c>
      <c r="S1543" s="49">
        <v>28.98</v>
      </c>
    </row>
    <row r="1544" spans="1:19" ht="18">
      <c r="A1544" s="49">
        <v>6782</v>
      </c>
      <c r="B1544" s="49" t="s">
        <v>1134</v>
      </c>
      <c r="C1544" s="49">
        <v>0</v>
      </c>
      <c r="D1544" s="49">
        <v>0</v>
      </c>
      <c r="E1544" s="49">
        <v>0</v>
      </c>
      <c r="F1544" s="49">
        <v>0</v>
      </c>
      <c r="G1544" s="49">
        <v>0</v>
      </c>
      <c r="H1544" s="49">
        <v>0</v>
      </c>
      <c r="I1544" s="49">
        <v>0</v>
      </c>
      <c r="J1544" s="49">
        <v>0</v>
      </c>
      <c r="K1544" s="49">
        <v>0</v>
      </c>
      <c r="L1544" s="49">
        <v>0</v>
      </c>
      <c r="M1544" s="49">
        <v>0</v>
      </c>
      <c r="N1544" s="49">
        <v>0</v>
      </c>
      <c r="O1544" s="49">
        <v>0</v>
      </c>
      <c r="P1544" s="49">
        <v>0</v>
      </c>
      <c r="Q1544" s="49">
        <v>0</v>
      </c>
      <c r="R1544" s="49">
        <v>26.2</v>
      </c>
      <c r="S1544" s="49">
        <v>42.8</v>
      </c>
    </row>
    <row r="1545" spans="1:19" ht="18">
      <c r="A1545" s="49">
        <v>6788</v>
      </c>
      <c r="B1545" s="49" t="s">
        <v>1918</v>
      </c>
      <c r="C1545" s="49">
        <v>0</v>
      </c>
      <c r="D1545" s="49">
        <v>0</v>
      </c>
      <c r="E1545" s="49">
        <v>0</v>
      </c>
      <c r="F1545" s="49">
        <v>0</v>
      </c>
      <c r="G1545" s="49">
        <v>0</v>
      </c>
      <c r="H1545" s="49">
        <v>0</v>
      </c>
      <c r="I1545" s="49">
        <v>0</v>
      </c>
      <c r="J1545" s="49">
        <v>0</v>
      </c>
      <c r="K1545" s="49">
        <v>0</v>
      </c>
      <c r="L1545" s="49">
        <v>0</v>
      </c>
      <c r="M1545" s="49">
        <v>0</v>
      </c>
      <c r="N1545" s="49">
        <v>0</v>
      </c>
      <c r="O1545" s="49">
        <v>0</v>
      </c>
      <c r="P1545" s="49">
        <v>0</v>
      </c>
      <c r="Q1545" s="49">
        <v>36.39</v>
      </c>
      <c r="R1545" s="49">
        <v>9.84</v>
      </c>
      <c r="S1545" s="49">
        <v>13.61</v>
      </c>
    </row>
    <row r="1546" spans="1:19" ht="18">
      <c r="A1546" s="49">
        <v>6789</v>
      </c>
      <c r="B1546" s="49" t="s">
        <v>1135</v>
      </c>
      <c r="C1546" s="49">
        <v>0</v>
      </c>
      <c r="D1546" s="49">
        <v>0</v>
      </c>
      <c r="E1546" s="49">
        <v>0</v>
      </c>
      <c r="F1546" s="49">
        <v>0</v>
      </c>
      <c r="G1546" s="49">
        <v>0</v>
      </c>
      <c r="H1546" s="49">
        <v>0</v>
      </c>
      <c r="I1546" s="49">
        <v>0</v>
      </c>
      <c r="J1546" s="49">
        <v>0</v>
      </c>
      <c r="K1546" s="49">
        <v>0</v>
      </c>
      <c r="L1546" s="49">
        <v>0</v>
      </c>
      <c r="M1546" s="49">
        <v>0</v>
      </c>
      <c r="N1546" s="49">
        <v>0</v>
      </c>
      <c r="O1546" s="49">
        <v>0</v>
      </c>
      <c r="P1546" s="49">
        <v>0</v>
      </c>
      <c r="Q1546" s="49">
        <v>0</v>
      </c>
      <c r="R1546" s="49">
        <v>29.82</v>
      </c>
      <c r="S1546" s="49">
        <v>156.21</v>
      </c>
    </row>
    <row r="1547" spans="1:19" ht="18">
      <c r="A1547" s="49">
        <v>6790</v>
      </c>
      <c r="B1547" s="49" t="s">
        <v>1136</v>
      </c>
      <c r="C1547" s="49">
        <v>0</v>
      </c>
      <c r="D1547" s="49">
        <v>0</v>
      </c>
      <c r="E1547" s="49">
        <v>0</v>
      </c>
      <c r="F1547" s="49">
        <v>0</v>
      </c>
      <c r="G1547" s="49">
        <v>0</v>
      </c>
      <c r="H1547" s="49">
        <v>0</v>
      </c>
      <c r="I1547" s="49">
        <v>0</v>
      </c>
      <c r="J1547" s="49">
        <v>0</v>
      </c>
      <c r="K1547" s="49">
        <v>0</v>
      </c>
      <c r="L1547" s="49">
        <v>0</v>
      </c>
      <c r="M1547" s="49">
        <v>0</v>
      </c>
      <c r="N1547" s="49">
        <v>0</v>
      </c>
      <c r="O1547" s="49">
        <v>0</v>
      </c>
      <c r="P1547" s="49">
        <v>0</v>
      </c>
      <c r="Q1547" s="49">
        <v>8.81</v>
      </c>
      <c r="R1547" s="49">
        <v>11.93</v>
      </c>
      <c r="S1547" s="49">
        <v>14.77</v>
      </c>
    </row>
    <row r="1548" spans="1:19" ht="18">
      <c r="A1548" s="49">
        <v>6791</v>
      </c>
      <c r="B1548" s="49" t="s">
        <v>1919</v>
      </c>
      <c r="C1548" s="49">
        <v>0</v>
      </c>
      <c r="D1548" s="49">
        <v>0</v>
      </c>
      <c r="E1548" s="49">
        <v>0</v>
      </c>
      <c r="F1548" s="49">
        <v>0</v>
      </c>
      <c r="G1548" s="49">
        <v>0</v>
      </c>
      <c r="H1548" s="49">
        <v>0</v>
      </c>
      <c r="I1548" s="49">
        <v>0</v>
      </c>
      <c r="J1548" s="49">
        <v>0</v>
      </c>
      <c r="K1548" s="49">
        <v>0</v>
      </c>
      <c r="L1548" s="49">
        <v>0</v>
      </c>
      <c r="M1548" s="49">
        <v>0</v>
      </c>
      <c r="N1548" s="49">
        <v>0</v>
      </c>
      <c r="O1548" s="49">
        <v>0</v>
      </c>
      <c r="P1548" s="49">
        <v>0</v>
      </c>
      <c r="Q1548" s="49">
        <v>0</v>
      </c>
      <c r="R1548" s="49">
        <v>11.1</v>
      </c>
      <c r="S1548" s="49">
        <v>21.53</v>
      </c>
    </row>
    <row r="1549" spans="1:19" ht="18">
      <c r="A1549" s="49">
        <v>6792</v>
      </c>
      <c r="B1549" s="49" t="s">
        <v>1137</v>
      </c>
      <c r="C1549" s="49">
        <v>0</v>
      </c>
      <c r="D1549" s="49">
        <v>0</v>
      </c>
      <c r="E1549" s="49">
        <v>0</v>
      </c>
      <c r="F1549" s="49">
        <v>0</v>
      </c>
      <c r="G1549" s="49">
        <v>0</v>
      </c>
      <c r="H1549" s="49">
        <v>0</v>
      </c>
      <c r="I1549" s="49">
        <v>0</v>
      </c>
      <c r="J1549" s="49">
        <v>0</v>
      </c>
      <c r="K1549" s="49">
        <v>0</v>
      </c>
      <c r="L1549" s="49">
        <v>0</v>
      </c>
      <c r="M1549" s="49">
        <v>0</v>
      </c>
      <c r="N1549" s="49">
        <v>0</v>
      </c>
      <c r="O1549" s="49">
        <v>0</v>
      </c>
      <c r="P1549" s="49">
        <v>0</v>
      </c>
      <c r="Q1549" s="49">
        <v>38.31</v>
      </c>
      <c r="R1549" s="49">
        <v>11.48</v>
      </c>
      <c r="S1549" s="49">
        <v>17.29</v>
      </c>
    </row>
    <row r="1550" spans="1:19" ht="18">
      <c r="A1550" s="49">
        <v>6796</v>
      </c>
      <c r="B1550" s="49" t="s">
        <v>1138</v>
      </c>
      <c r="C1550" s="49">
        <v>0</v>
      </c>
      <c r="D1550" s="49">
        <v>0</v>
      </c>
      <c r="E1550" s="49">
        <v>0</v>
      </c>
      <c r="F1550" s="49">
        <v>0</v>
      </c>
      <c r="G1550" s="49">
        <v>0</v>
      </c>
      <c r="H1550" s="49">
        <v>0</v>
      </c>
      <c r="I1550" s="49">
        <v>0</v>
      </c>
      <c r="J1550" s="49">
        <v>0</v>
      </c>
      <c r="K1550" s="49">
        <v>0</v>
      </c>
      <c r="L1550" s="49">
        <v>0</v>
      </c>
      <c r="M1550" s="49">
        <v>0</v>
      </c>
      <c r="N1550" s="49">
        <v>0</v>
      </c>
      <c r="O1550" s="49">
        <v>0</v>
      </c>
      <c r="P1550" s="49">
        <v>0</v>
      </c>
      <c r="Q1550" s="49">
        <v>0</v>
      </c>
      <c r="R1550" s="49">
        <v>29.96</v>
      </c>
      <c r="S1550" s="49">
        <v>50.46</v>
      </c>
    </row>
    <row r="1551" spans="1:19" ht="18">
      <c r="A1551" s="49">
        <v>6799</v>
      </c>
      <c r="B1551" s="49" t="s">
        <v>1139</v>
      </c>
      <c r="C1551" s="49">
        <v>0</v>
      </c>
      <c r="D1551" s="49">
        <v>0</v>
      </c>
      <c r="E1551" s="49">
        <v>0</v>
      </c>
      <c r="F1551" s="49">
        <v>0</v>
      </c>
      <c r="G1551" s="49">
        <v>0</v>
      </c>
      <c r="H1551" s="49">
        <v>0</v>
      </c>
      <c r="I1551" s="49">
        <v>0</v>
      </c>
      <c r="J1551" s="49">
        <v>0</v>
      </c>
      <c r="K1551" s="49">
        <v>0</v>
      </c>
      <c r="L1551" s="49">
        <v>0</v>
      </c>
      <c r="M1551" s="49">
        <v>0</v>
      </c>
      <c r="N1551" s="49">
        <v>0</v>
      </c>
      <c r="O1551" s="49">
        <v>0</v>
      </c>
      <c r="P1551" s="49">
        <v>0</v>
      </c>
      <c r="Q1551" s="49">
        <v>0</v>
      </c>
      <c r="R1551" s="49">
        <v>11.45</v>
      </c>
      <c r="S1551" s="49">
        <v>36.549999999999997</v>
      </c>
    </row>
    <row r="1552" spans="1:19" ht="18">
      <c r="A1552" s="49">
        <v>6803</v>
      </c>
      <c r="B1552" s="49" t="s">
        <v>1920</v>
      </c>
      <c r="C1552" s="49">
        <v>0</v>
      </c>
      <c r="D1552" s="49">
        <v>0</v>
      </c>
      <c r="E1552" s="49">
        <v>0</v>
      </c>
      <c r="F1552" s="49">
        <v>19.239999999999998</v>
      </c>
      <c r="G1552" s="49">
        <v>15.56</v>
      </c>
      <c r="H1552" s="49">
        <v>14.53</v>
      </c>
      <c r="I1552" s="49">
        <v>19.12</v>
      </c>
      <c r="J1552" s="49">
        <v>16.25</v>
      </c>
      <c r="K1552" s="49">
        <v>14.63</v>
      </c>
      <c r="L1552" s="49">
        <v>13.92</v>
      </c>
      <c r="M1552" s="49">
        <v>14.81</v>
      </c>
      <c r="N1552" s="49">
        <v>14.21</v>
      </c>
      <c r="O1552" s="49">
        <v>17.329999999999998</v>
      </c>
      <c r="P1552" s="49">
        <v>17.8</v>
      </c>
      <c r="Q1552" s="49">
        <v>17.86</v>
      </c>
      <c r="R1552" s="49">
        <v>17.559999999999999</v>
      </c>
      <c r="S1552" s="49">
        <v>18.41</v>
      </c>
    </row>
    <row r="1553" spans="1:19" ht="18">
      <c r="A1553" s="49">
        <v>6804</v>
      </c>
      <c r="B1553" s="49" t="s">
        <v>1921</v>
      </c>
      <c r="C1553" s="49">
        <v>0</v>
      </c>
      <c r="D1553" s="49">
        <v>0</v>
      </c>
      <c r="E1553" s="49">
        <v>0</v>
      </c>
      <c r="F1553" s="49">
        <v>0</v>
      </c>
      <c r="G1553" s="49">
        <v>0</v>
      </c>
      <c r="H1553" s="49">
        <v>0</v>
      </c>
      <c r="I1553" s="49">
        <v>0</v>
      </c>
      <c r="J1553" s="49">
        <v>0</v>
      </c>
      <c r="K1553" s="49">
        <v>0</v>
      </c>
      <c r="L1553" s="49">
        <v>0</v>
      </c>
      <c r="M1553" s="49">
        <v>0</v>
      </c>
      <c r="N1553" s="49">
        <v>0</v>
      </c>
      <c r="O1553" s="49">
        <v>0</v>
      </c>
      <c r="P1553" s="49">
        <v>0</v>
      </c>
      <c r="Q1553" s="49">
        <v>0</v>
      </c>
      <c r="R1553" s="49">
        <v>10.65</v>
      </c>
      <c r="S1553" s="49">
        <v>11.54</v>
      </c>
    </row>
    <row r="1554" spans="1:19" ht="18">
      <c r="A1554" s="49">
        <v>6806</v>
      </c>
      <c r="B1554" s="49" t="s">
        <v>1140</v>
      </c>
      <c r="C1554" s="49">
        <v>0</v>
      </c>
      <c r="D1554" s="49">
        <v>0</v>
      </c>
      <c r="E1554" s="49">
        <v>0</v>
      </c>
      <c r="F1554" s="49">
        <v>0</v>
      </c>
      <c r="G1554" s="49">
        <v>0</v>
      </c>
      <c r="H1554" s="49">
        <v>0</v>
      </c>
      <c r="I1554" s="49">
        <v>0</v>
      </c>
      <c r="J1554" s="49">
        <v>0</v>
      </c>
      <c r="K1554" s="49">
        <v>0</v>
      </c>
      <c r="L1554" s="49">
        <v>0</v>
      </c>
      <c r="M1554" s="49">
        <v>0</v>
      </c>
      <c r="N1554" s="49">
        <v>0</v>
      </c>
      <c r="O1554" s="49">
        <v>0</v>
      </c>
      <c r="P1554" s="49">
        <v>0</v>
      </c>
      <c r="Q1554" s="49">
        <v>26.61</v>
      </c>
      <c r="R1554" s="49">
        <v>69.59</v>
      </c>
      <c r="S1554" s="49">
        <v>63.77</v>
      </c>
    </row>
    <row r="1555" spans="1:19" ht="18">
      <c r="A1555" s="49">
        <v>6807</v>
      </c>
      <c r="B1555" s="49" t="s">
        <v>1141</v>
      </c>
      <c r="C1555" s="49">
        <v>0</v>
      </c>
      <c r="D1555" s="49">
        <v>0</v>
      </c>
      <c r="E1555" s="49">
        <v>0</v>
      </c>
      <c r="F1555" s="49">
        <v>0</v>
      </c>
      <c r="G1555" s="49">
        <v>0</v>
      </c>
      <c r="H1555" s="49">
        <v>0</v>
      </c>
      <c r="I1555" s="49">
        <v>0</v>
      </c>
      <c r="J1555" s="49">
        <v>0</v>
      </c>
      <c r="K1555" s="49">
        <v>0</v>
      </c>
      <c r="L1555" s="49">
        <v>0</v>
      </c>
      <c r="M1555" s="49">
        <v>0</v>
      </c>
      <c r="N1555" s="49">
        <v>0</v>
      </c>
      <c r="O1555" s="49">
        <v>0</v>
      </c>
      <c r="P1555" s="49">
        <v>0</v>
      </c>
      <c r="Q1555" s="49">
        <v>0</v>
      </c>
      <c r="R1555" s="49">
        <v>6.35</v>
      </c>
      <c r="S1555" s="49">
        <v>9.1300000000000008</v>
      </c>
    </row>
    <row r="1556" spans="1:19" ht="18">
      <c r="A1556" s="49">
        <v>6811</v>
      </c>
      <c r="B1556" s="49" t="s">
        <v>1922</v>
      </c>
      <c r="C1556" s="49">
        <v>0</v>
      </c>
      <c r="D1556" s="49">
        <v>0</v>
      </c>
      <c r="E1556" s="49">
        <v>0</v>
      </c>
      <c r="F1556" s="49">
        <v>0</v>
      </c>
      <c r="G1556" s="49">
        <v>0</v>
      </c>
      <c r="H1556" s="49">
        <v>0</v>
      </c>
      <c r="I1556" s="49">
        <v>0</v>
      </c>
      <c r="J1556" s="49">
        <v>0</v>
      </c>
      <c r="K1556" s="49">
        <v>0</v>
      </c>
      <c r="L1556" s="49">
        <v>0</v>
      </c>
      <c r="M1556" s="49">
        <v>0</v>
      </c>
      <c r="N1556" s="49">
        <v>0</v>
      </c>
      <c r="O1556" s="49">
        <v>0</v>
      </c>
      <c r="P1556" s="49">
        <v>0</v>
      </c>
      <c r="Q1556" s="49">
        <v>0</v>
      </c>
      <c r="R1556" s="49">
        <v>12.72</v>
      </c>
      <c r="S1556" s="49">
        <v>24.87</v>
      </c>
    </row>
    <row r="1557" spans="1:19" ht="18">
      <c r="A1557" s="49">
        <v>6823</v>
      </c>
      <c r="B1557" s="49" t="s">
        <v>1923</v>
      </c>
      <c r="C1557" s="49">
        <v>0</v>
      </c>
      <c r="D1557" s="49">
        <v>0</v>
      </c>
      <c r="E1557" s="49">
        <v>0</v>
      </c>
      <c r="F1557" s="49">
        <v>0</v>
      </c>
      <c r="G1557" s="49">
        <v>0</v>
      </c>
      <c r="H1557" s="49">
        <v>0</v>
      </c>
      <c r="I1557" s="49">
        <v>0</v>
      </c>
      <c r="J1557" s="49">
        <v>0</v>
      </c>
      <c r="K1557" s="49">
        <v>0</v>
      </c>
      <c r="L1557" s="49">
        <v>0</v>
      </c>
      <c r="M1557" s="49">
        <v>0</v>
      </c>
      <c r="N1557" s="49">
        <v>0</v>
      </c>
      <c r="O1557" s="49">
        <v>0</v>
      </c>
      <c r="P1557" s="49">
        <v>0</v>
      </c>
      <c r="Q1557" s="49">
        <v>0</v>
      </c>
      <c r="R1557" s="49">
        <v>16.23</v>
      </c>
      <c r="S1557" s="49">
        <v>0</v>
      </c>
    </row>
    <row r="1558" spans="1:19" ht="18">
      <c r="A1558" s="49">
        <v>6829</v>
      </c>
      <c r="B1558" s="49" t="s">
        <v>1924</v>
      </c>
      <c r="C1558" s="49">
        <v>0</v>
      </c>
      <c r="D1558" s="49">
        <v>0</v>
      </c>
      <c r="E1558" s="49">
        <v>0</v>
      </c>
      <c r="F1558" s="49">
        <v>0</v>
      </c>
      <c r="G1558" s="49">
        <v>0</v>
      </c>
      <c r="H1558" s="49">
        <v>0</v>
      </c>
      <c r="I1558" s="49">
        <v>0</v>
      </c>
      <c r="J1558" s="49">
        <v>0</v>
      </c>
      <c r="K1558" s="49">
        <v>0</v>
      </c>
      <c r="L1558" s="49">
        <v>0</v>
      </c>
      <c r="M1558" s="49">
        <v>0</v>
      </c>
      <c r="N1558" s="49">
        <v>0</v>
      </c>
      <c r="O1558" s="49">
        <v>0</v>
      </c>
      <c r="P1558" s="49">
        <v>0</v>
      </c>
      <c r="Q1558" s="49">
        <v>0</v>
      </c>
      <c r="R1558" s="49">
        <v>11.31</v>
      </c>
      <c r="S1558" s="49">
        <v>29.25</v>
      </c>
    </row>
    <row r="1559" spans="1:19" ht="18">
      <c r="A1559" s="49">
        <v>6830</v>
      </c>
      <c r="B1559" s="49" t="s">
        <v>1142</v>
      </c>
      <c r="C1559" s="49">
        <v>0</v>
      </c>
      <c r="D1559" s="49">
        <v>0</v>
      </c>
      <c r="E1559" s="49">
        <v>0</v>
      </c>
      <c r="F1559" s="49">
        <v>0</v>
      </c>
      <c r="G1559" s="49">
        <v>0</v>
      </c>
      <c r="H1559" s="49">
        <v>0</v>
      </c>
      <c r="I1559" s="49">
        <v>0</v>
      </c>
      <c r="J1559" s="49">
        <v>0</v>
      </c>
      <c r="K1559" s="49">
        <v>0</v>
      </c>
      <c r="L1559" s="49">
        <v>0</v>
      </c>
      <c r="M1559" s="49">
        <v>0</v>
      </c>
      <c r="N1559" s="49">
        <v>0</v>
      </c>
      <c r="O1559" s="49">
        <v>0</v>
      </c>
      <c r="P1559" s="49">
        <v>0</v>
      </c>
      <c r="Q1559" s="49">
        <v>0</v>
      </c>
      <c r="R1559" s="49">
        <v>16.8</v>
      </c>
      <c r="S1559" s="49">
        <v>22.18</v>
      </c>
    </row>
    <row r="1560" spans="1:19" ht="18">
      <c r="A1560" s="49">
        <v>6834</v>
      </c>
      <c r="B1560" s="49" t="s">
        <v>1143</v>
      </c>
      <c r="C1560" s="49">
        <v>0</v>
      </c>
      <c r="D1560" s="49">
        <v>0</v>
      </c>
      <c r="E1560" s="49">
        <v>0</v>
      </c>
      <c r="F1560" s="49">
        <v>0</v>
      </c>
      <c r="G1560" s="49">
        <v>0</v>
      </c>
      <c r="H1560" s="49">
        <v>0</v>
      </c>
      <c r="I1560" s="49">
        <v>0</v>
      </c>
      <c r="J1560" s="49">
        <v>0</v>
      </c>
      <c r="K1560" s="49">
        <v>0</v>
      </c>
      <c r="L1560" s="49">
        <v>0</v>
      </c>
      <c r="M1560" s="49">
        <v>0</v>
      </c>
      <c r="N1560" s="49">
        <v>0</v>
      </c>
      <c r="O1560" s="49">
        <v>0</v>
      </c>
      <c r="P1560" s="49">
        <v>0</v>
      </c>
      <c r="Q1560" s="49">
        <v>0</v>
      </c>
      <c r="R1560" s="49">
        <v>10.79</v>
      </c>
      <c r="S1560" s="49">
        <v>0</v>
      </c>
    </row>
    <row r="1561" spans="1:19" ht="18">
      <c r="A1561" s="49">
        <v>6835</v>
      </c>
      <c r="B1561" s="49" t="s">
        <v>1144</v>
      </c>
      <c r="C1561" s="49">
        <v>0</v>
      </c>
      <c r="D1561" s="49">
        <v>0</v>
      </c>
      <c r="E1561" s="49">
        <v>0</v>
      </c>
      <c r="F1561" s="49">
        <v>0</v>
      </c>
      <c r="G1561" s="49">
        <v>0</v>
      </c>
      <c r="H1561" s="49">
        <v>0</v>
      </c>
      <c r="I1561" s="49">
        <v>0</v>
      </c>
      <c r="J1561" s="49">
        <v>0</v>
      </c>
      <c r="K1561" s="49">
        <v>0</v>
      </c>
      <c r="L1561" s="49">
        <v>0</v>
      </c>
      <c r="M1561" s="49">
        <v>0</v>
      </c>
      <c r="N1561" s="49">
        <v>0</v>
      </c>
      <c r="O1561" s="49">
        <v>0</v>
      </c>
      <c r="P1561" s="49">
        <v>0</v>
      </c>
      <c r="Q1561" s="49">
        <v>0</v>
      </c>
      <c r="R1561" s="49">
        <v>11.34</v>
      </c>
      <c r="S1561" s="49">
        <v>17.45</v>
      </c>
    </row>
    <row r="1562" spans="1:19" ht="18">
      <c r="A1562" s="49">
        <v>6843</v>
      </c>
      <c r="B1562" s="49" t="s">
        <v>1925</v>
      </c>
      <c r="C1562" s="49">
        <v>0</v>
      </c>
      <c r="D1562" s="49">
        <v>0</v>
      </c>
      <c r="E1562" s="49">
        <v>0</v>
      </c>
      <c r="F1562" s="49">
        <v>0</v>
      </c>
      <c r="G1562" s="49">
        <v>0</v>
      </c>
      <c r="H1562" s="49">
        <v>0</v>
      </c>
      <c r="I1562" s="49">
        <v>0</v>
      </c>
      <c r="J1562" s="49">
        <v>0</v>
      </c>
      <c r="K1562" s="49">
        <v>0</v>
      </c>
      <c r="L1562" s="49">
        <v>0</v>
      </c>
      <c r="M1562" s="49">
        <v>0</v>
      </c>
      <c r="N1562" s="49">
        <v>0</v>
      </c>
      <c r="O1562" s="49">
        <v>0</v>
      </c>
      <c r="P1562" s="49">
        <v>0</v>
      </c>
      <c r="Q1562" s="49" t="s">
        <v>2069</v>
      </c>
      <c r="R1562" s="49">
        <v>12.15</v>
      </c>
      <c r="S1562" s="49">
        <v>15.15</v>
      </c>
    </row>
    <row r="1563" spans="1:19" ht="18">
      <c r="A1563" s="49">
        <v>6854</v>
      </c>
      <c r="B1563" s="49" t="s">
        <v>1145</v>
      </c>
      <c r="C1563" s="49">
        <v>0</v>
      </c>
      <c r="D1563" s="49">
        <v>0</v>
      </c>
      <c r="E1563" s="49">
        <v>0</v>
      </c>
      <c r="F1563" s="49">
        <v>0</v>
      </c>
      <c r="G1563" s="49">
        <v>0</v>
      </c>
      <c r="H1563" s="49">
        <v>0</v>
      </c>
      <c r="I1563" s="49">
        <v>0</v>
      </c>
      <c r="J1563" s="49">
        <v>0</v>
      </c>
      <c r="K1563" s="49">
        <v>0</v>
      </c>
      <c r="L1563" s="49">
        <v>0</v>
      </c>
      <c r="M1563" s="49">
        <v>0</v>
      </c>
      <c r="N1563" s="49">
        <v>0</v>
      </c>
      <c r="O1563" s="49">
        <v>0</v>
      </c>
      <c r="P1563" s="49">
        <v>0</v>
      </c>
      <c r="Q1563" s="49">
        <v>0</v>
      </c>
      <c r="R1563" s="49">
        <v>0</v>
      </c>
      <c r="S1563" s="49">
        <v>0</v>
      </c>
    </row>
    <row r="1564" spans="1:19" ht="18">
      <c r="A1564" s="49">
        <v>6855</v>
      </c>
      <c r="B1564" s="49" t="s">
        <v>1926</v>
      </c>
      <c r="C1564" s="49">
        <v>0</v>
      </c>
      <c r="D1564" s="49">
        <v>0</v>
      </c>
      <c r="E1564" s="49">
        <v>0</v>
      </c>
      <c r="F1564" s="49">
        <v>0</v>
      </c>
      <c r="G1564" s="49">
        <v>0</v>
      </c>
      <c r="H1564" s="49">
        <v>0</v>
      </c>
      <c r="I1564" s="49">
        <v>0</v>
      </c>
      <c r="J1564" s="49">
        <v>0</v>
      </c>
      <c r="K1564" s="49">
        <v>0</v>
      </c>
      <c r="L1564" s="49">
        <v>0</v>
      </c>
      <c r="M1564" s="49">
        <v>0</v>
      </c>
      <c r="N1564" s="49">
        <v>0</v>
      </c>
      <c r="O1564" s="49">
        <v>0</v>
      </c>
      <c r="P1564" s="49">
        <v>0</v>
      </c>
      <c r="Q1564" s="49" t="s">
        <v>2069</v>
      </c>
      <c r="R1564" s="49">
        <v>9.1999999999999993</v>
      </c>
      <c r="S1564" s="49">
        <v>15.56</v>
      </c>
    </row>
    <row r="1565" spans="1:19" ht="18">
      <c r="A1565" s="49">
        <v>6859</v>
      </c>
      <c r="B1565" s="49" t="s">
        <v>1927</v>
      </c>
      <c r="C1565" s="49">
        <v>0</v>
      </c>
      <c r="D1565" s="49">
        <v>0</v>
      </c>
      <c r="E1565" s="49">
        <v>0</v>
      </c>
      <c r="F1565" s="49">
        <v>0</v>
      </c>
      <c r="G1565" s="49">
        <v>0</v>
      </c>
      <c r="H1565" s="49">
        <v>0</v>
      </c>
      <c r="I1565" s="49">
        <v>0</v>
      </c>
      <c r="J1565" s="49">
        <v>0</v>
      </c>
      <c r="K1565" s="49">
        <v>0</v>
      </c>
      <c r="L1565" s="49">
        <v>0</v>
      </c>
      <c r="M1565" s="49">
        <v>0</v>
      </c>
      <c r="N1565" s="49">
        <v>0</v>
      </c>
      <c r="O1565" s="49">
        <v>0</v>
      </c>
      <c r="P1565" s="49">
        <v>0</v>
      </c>
      <c r="Q1565" s="49">
        <v>0</v>
      </c>
      <c r="R1565" s="49">
        <v>18.63</v>
      </c>
      <c r="S1565" s="49">
        <v>29.21</v>
      </c>
    </row>
    <row r="1566" spans="1:19" ht="18">
      <c r="A1566" s="49">
        <v>6874</v>
      </c>
      <c r="B1566" s="49" t="s">
        <v>1928</v>
      </c>
      <c r="C1566" s="49">
        <v>0</v>
      </c>
      <c r="D1566" s="49">
        <v>0</v>
      </c>
      <c r="E1566" s="49">
        <v>0</v>
      </c>
      <c r="F1566" s="49">
        <v>0</v>
      </c>
      <c r="G1566" s="49">
        <v>0</v>
      </c>
      <c r="H1566" s="49">
        <v>0</v>
      </c>
      <c r="I1566" s="49">
        <v>0</v>
      </c>
      <c r="J1566" s="49">
        <v>0</v>
      </c>
      <c r="K1566" s="49">
        <v>0</v>
      </c>
      <c r="L1566" s="49">
        <v>0</v>
      </c>
      <c r="M1566" s="49">
        <v>0</v>
      </c>
      <c r="N1566" s="49">
        <v>0</v>
      </c>
      <c r="O1566" s="49">
        <v>0</v>
      </c>
      <c r="P1566" s="49">
        <v>0</v>
      </c>
      <c r="Q1566" s="49" t="s">
        <v>2069</v>
      </c>
      <c r="R1566" s="49">
        <v>11.43</v>
      </c>
      <c r="S1566" s="49">
        <v>25.9</v>
      </c>
    </row>
    <row r="1567" spans="1:19" ht="18">
      <c r="A1567" s="49">
        <v>7402</v>
      </c>
      <c r="B1567" s="49" t="s">
        <v>1929</v>
      </c>
      <c r="C1567" s="49">
        <v>0</v>
      </c>
      <c r="D1567" s="49">
        <v>0</v>
      </c>
      <c r="E1567" s="49">
        <v>0</v>
      </c>
      <c r="F1567" s="49">
        <v>0</v>
      </c>
      <c r="G1567" s="49">
        <v>0</v>
      </c>
      <c r="H1567" s="49">
        <v>0</v>
      </c>
      <c r="I1567" s="49">
        <v>0</v>
      </c>
      <c r="J1567" s="49">
        <v>0</v>
      </c>
      <c r="K1567" s="49">
        <v>37.28</v>
      </c>
      <c r="L1567" s="49">
        <v>48.61</v>
      </c>
      <c r="M1567" s="49">
        <v>28.01</v>
      </c>
      <c r="N1567" s="49">
        <v>46.99</v>
      </c>
      <c r="O1567" s="49">
        <v>21.7</v>
      </c>
      <c r="P1567" s="49">
        <v>72.14</v>
      </c>
      <c r="Q1567" s="49">
        <v>33.33</v>
      </c>
      <c r="R1567" s="49">
        <v>13.98</v>
      </c>
      <c r="S1567" s="49">
        <v>64.66</v>
      </c>
    </row>
    <row r="1568" spans="1:19" ht="18">
      <c r="A1568" s="49">
        <v>7556</v>
      </c>
      <c r="B1568" s="49" t="s">
        <v>1930</v>
      </c>
      <c r="C1568" s="49">
        <v>0</v>
      </c>
      <c r="D1568" s="49">
        <v>0</v>
      </c>
      <c r="E1568" s="49">
        <v>0</v>
      </c>
      <c r="F1568" s="49">
        <v>0</v>
      </c>
      <c r="G1568" s="49">
        <v>0</v>
      </c>
      <c r="H1568" s="49">
        <v>0</v>
      </c>
      <c r="I1568" s="49">
        <v>0</v>
      </c>
      <c r="J1568" s="49">
        <v>0</v>
      </c>
      <c r="K1568" s="49">
        <v>0</v>
      </c>
      <c r="L1568" s="49">
        <v>0</v>
      </c>
      <c r="M1568" s="49">
        <v>0</v>
      </c>
      <c r="N1568" s="49">
        <v>0</v>
      </c>
      <c r="O1568" s="49">
        <v>0</v>
      </c>
      <c r="P1568" s="49">
        <v>29.02</v>
      </c>
      <c r="Q1568" s="49">
        <v>27.78</v>
      </c>
      <c r="R1568" s="49">
        <v>17.46</v>
      </c>
      <c r="S1568" s="49">
        <v>21.92</v>
      </c>
    </row>
    <row r="1569" spans="1:19" ht="18">
      <c r="A1569" s="49">
        <v>8011</v>
      </c>
      <c r="B1569" s="49" t="s">
        <v>1146</v>
      </c>
      <c r="C1569" s="49">
        <v>0</v>
      </c>
      <c r="D1569" s="49">
        <v>0</v>
      </c>
      <c r="E1569" s="49">
        <v>0</v>
      </c>
      <c r="F1569" s="49">
        <v>0</v>
      </c>
      <c r="G1569" s="49">
        <v>13.11</v>
      </c>
      <c r="H1569" s="49">
        <v>23.87</v>
      </c>
      <c r="I1569" s="49">
        <v>18.59</v>
      </c>
      <c r="J1569" s="49">
        <v>24.89</v>
      </c>
      <c r="K1569" s="49">
        <v>0</v>
      </c>
      <c r="L1569" s="49">
        <v>58.89</v>
      </c>
      <c r="M1569" s="49">
        <v>21.32</v>
      </c>
      <c r="N1569" s="49">
        <v>0</v>
      </c>
      <c r="O1569" s="49">
        <v>0</v>
      </c>
      <c r="P1569" s="49">
        <v>409.17</v>
      </c>
      <c r="Q1569" s="49">
        <v>0</v>
      </c>
      <c r="R1569" s="49">
        <v>0</v>
      </c>
      <c r="S1569" s="49">
        <v>0</v>
      </c>
    </row>
    <row r="1570" spans="1:19" ht="18">
      <c r="A1570" s="49">
        <v>8016</v>
      </c>
      <c r="B1570" s="49" t="s">
        <v>1147</v>
      </c>
      <c r="C1570" s="49">
        <v>15.85</v>
      </c>
      <c r="D1570" s="49">
        <v>4.87</v>
      </c>
      <c r="E1570" s="49">
        <v>22.81</v>
      </c>
      <c r="F1570" s="49">
        <v>14.32</v>
      </c>
      <c r="G1570" s="49">
        <v>12.24</v>
      </c>
      <c r="H1570" s="49">
        <v>13.69</v>
      </c>
      <c r="I1570" s="49">
        <v>14.42</v>
      </c>
      <c r="J1570" s="49">
        <v>15.78</v>
      </c>
      <c r="K1570" s="49">
        <v>13.56</v>
      </c>
      <c r="L1570" s="49">
        <v>12.32</v>
      </c>
      <c r="M1570" s="49">
        <v>11.12</v>
      </c>
      <c r="N1570" s="49">
        <v>13.64</v>
      </c>
      <c r="O1570" s="49">
        <v>17.760000000000002</v>
      </c>
      <c r="P1570" s="49">
        <v>16.2</v>
      </c>
      <c r="Q1570" s="49">
        <v>8.1300000000000008</v>
      </c>
      <c r="R1570" s="49">
        <v>4.2300000000000004</v>
      </c>
      <c r="S1570" s="49">
        <v>18.5</v>
      </c>
    </row>
    <row r="1571" spans="1:19" ht="18">
      <c r="A1571" s="49">
        <v>8021</v>
      </c>
      <c r="B1571" s="49" t="s">
        <v>1148</v>
      </c>
      <c r="C1571" s="49">
        <v>16.809999999999999</v>
      </c>
      <c r="D1571" s="49">
        <v>3.95</v>
      </c>
      <c r="E1571" s="49">
        <v>27.48</v>
      </c>
      <c r="F1571" s="49">
        <v>16.399999999999999</v>
      </c>
      <c r="G1571" s="49">
        <v>9.41</v>
      </c>
      <c r="H1571" s="49">
        <v>10.8</v>
      </c>
      <c r="I1571" s="49">
        <v>10.91</v>
      </c>
      <c r="J1571" s="49">
        <v>14.11</v>
      </c>
      <c r="K1571" s="49">
        <v>10.02</v>
      </c>
      <c r="L1571" s="49">
        <v>10.83</v>
      </c>
      <c r="M1571" s="49">
        <v>13.69</v>
      </c>
      <c r="N1571" s="49">
        <v>10.29</v>
      </c>
      <c r="O1571" s="49">
        <v>14.09</v>
      </c>
      <c r="P1571" s="49">
        <v>18.68</v>
      </c>
      <c r="Q1571" s="49">
        <v>13.41</v>
      </c>
      <c r="R1571" s="49">
        <v>11.74</v>
      </c>
      <c r="S1571" s="49">
        <v>0</v>
      </c>
    </row>
    <row r="1572" spans="1:19" ht="18">
      <c r="A1572" s="49">
        <v>8024</v>
      </c>
      <c r="B1572" s="49" t="s">
        <v>1931</v>
      </c>
      <c r="C1572" s="49">
        <v>9.81</v>
      </c>
      <c r="D1572" s="49">
        <v>5.94</v>
      </c>
      <c r="E1572" s="49">
        <v>29</v>
      </c>
      <c r="F1572" s="49">
        <v>12.41</v>
      </c>
      <c r="G1572" s="49">
        <v>30</v>
      </c>
      <c r="H1572" s="49">
        <v>56.2</v>
      </c>
      <c r="I1572" s="49">
        <v>35.75</v>
      </c>
      <c r="J1572" s="49">
        <v>25.08</v>
      </c>
      <c r="K1572" s="49">
        <v>24.42</v>
      </c>
      <c r="L1572" s="49">
        <v>55.24</v>
      </c>
      <c r="M1572" s="49">
        <v>58.95</v>
      </c>
      <c r="N1572" s="49">
        <v>101.5</v>
      </c>
      <c r="O1572" s="49">
        <v>121.67</v>
      </c>
      <c r="P1572" s="49">
        <v>0</v>
      </c>
      <c r="Q1572" s="49">
        <v>25.98</v>
      </c>
      <c r="R1572" s="49">
        <v>7.46</v>
      </c>
      <c r="S1572" s="49">
        <v>0</v>
      </c>
    </row>
    <row r="1573" spans="1:19" ht="18">
      <c r="A1573" s="49">
        <v>8027</v>
      </c>
      <c r="B1573" s="49" t="s">
        <v>1932</v>
      </c>
      <c r="C1573" s="49">
        <v>0</v>
      </c>
      <c r="D1573" s="49">
        <v>0</v>
      </c>
      <c r="E1573" s="49">
        <v>0</v>
      </c>
      <c r="F1573" s="49">
        <v>0</v>
      </c>
      <c r="G1573" s="49">
        <v>0</v>
      </c>
      <c r="H1573" s="49">
        <v>0</v>
      </c>
      <c r="I1573" s="49">
        <v>0</v>
      </c>
      <c r="J1573" s="49">
        <v>0</v>
      </c>
      <c r="K1573" s="49">
        <v>21.19</v>
      </c>
      <c r="L1573" s="49">
        <v>0</v>
      </c>
      <c r="M1573" s="49">
        <v>0</v>
      </c>
      <c r="N1573" s="49">
        <v>626</v>
      </c>
      <c r="O1573" s="49">
        <v>70.64</v>
      </c>
      <c r="P1573" s="49">
        <v>271.39</v>
      </c>
      <c r="Q1573" s="49">
        <v>31.72</v>
      </c>
      <c r="R1573" s="49">
        <v>12.05</v>
      </c>
      <c r="S1573" s="49">
        <v>159.27000000000001</v>
      </c>
    </row>
    <row r="1574" spans="1:19" ht="18">
      <c r="A1574" s="49">
        <v>8028</v>
      </c>
      <c r="B1574" s="49" t="s">
        <v>1149</v>
      </c>
      <c r="C1574" s="49">
        <v>0</v>
      </c>
      <c r="D1574" s="49">
        <v>0</v>
      </c>
      <c r="E1574" s="49">
        <v>0</v>
      </c>
      <c r="F1574" s="49">
        <v>0</v>
      </c>
      <c r="G1574" s="49">
        <v>0</v>
      </c>
      <c r="H1574" s="49">
        <v>0</v>
      </c>
      <c r="I1574" s="49">
        <v>0</v>
      </c>
      <c r="J1574" s="49">
        <v>0</v>
      </c>
      <c r="K1574" s="49">
        <v>0</v>
      </c>
      <c r="L1574" s="49">
        <v>0</v>
      </c>
      <c r="M1574" s="49">
        <v>0</v>
      </c>
      <c r="N1574" s="49">
        <v>34.21</v>
      </c>
      <c r="O1574" s="49">
        <v>28.03</v>
      </c>
      <c r="P1574" s="49">
        <v>51.95</v>
      </c>
      <c r="Q1574" s="49">
        <v>50.7</v>
      </c>
      <c r="R1574" s="49">
        <v>21.49</v>
      </c>
      <c r="S1574" s="49">
        <v>22.55</v>
      </c>
    </row>
    <row r="1575" spans="1:19" ht="18">
      <c r="A1575" s="49">
        <v>8032</v>
      </c>
      <c r="B1575" s="49" t="s">
        <v>1933</v>
      </c>
      <c r="C1575" s="49">
        <v>9.41</v>
      </c>
      <c r="D1575" s="49">
        <v>6.55</v>
      </c>
      <c r="E1575" s="49">
        <v>18.86</v>
      </c>
      <c r="F1575" s="49">
        <v>9.14</v>
      </c>
      <c r="G1575" s="49">
        <v>8.82</v>
      </c>
      <c r="H1575" s="49">
        <v>10.46</v>
      </c>
      <c r="I1575" s="49">
        <v>9.8800000000000008</v>
      </c>
      <c r="J1575" s="49">
        <v>9.1</v>
      </c>
      <c r="K1575" s="49">
        <v>9.43</v>
      </c>
      <c r="L1575" s="49">
        <v>11.53</v>
      </c>
      <c r="M1575" s="49">
        <v>10.06</v>
      </c>
      <c r="N1575" s="49">
        <v>8.6300000000000008</v>
      </c>
      <c r="O1575" s="49">
        <v>13.26</v>
      </c>
      <c r="P1575" s="49">
        <v>22.37</v>
      </c>
      <c r="Q1575" s="49">
        <v>10.91</v>
      </c>
      <c r="R1575" s="49">
        <v>6.77</v>
      </c>
      <c r="S1575" s="49">
        <v>22.03</v>
      </c>
    </row>
    <row r="1576" spans="1:19" ht="18">
      <c r="A1576" s="49">
        <v>8033</v>
      </c>
      <c r="B1576" s="49" t="s">
        <v>1150</v>
      </c>
      <c r="C1576" s="49">
        <v>14.5</v>
      </c>
      <c r="D1576" s="49">
        <v>22.05</v>
      </c>
      <c r="E1576" s="49">
        <v>0</v>
      </c>
      <c r="F1576" s="49">
        <v>0</v>
      </c>
      <c r="G1576" s="49">
        <v>0</v>
      </c>
      <c r="H1576" s="49">
        <v>0</v>
      </c>
      <c r="I1576" s="49">
        <v>0</v>
      </c>
      <c r="J1576" s="49">
        <v>112.08</v>
      </c>
      <c r="K1576" s="49">
        <v>0</v>
      </c>
      <c r="L1576" s="49">
        <v>0</v>
      </c>
      <c r="M1576" s="49">
        <v>0</v>
      </c>
      <c r="N1576" s="49">
        <v>0</v>
      </c>
      <c r="O1576" s="49">
        <v>0</v>
      </c>
      <c r="P1576" s="49">
        <v>0</v>
      </c>
      <c r="Q1576" s="49">
        <v>63.7</v>
      </c>
      <c r="R1576" s="49">
        <v>4275</v>
      </c>
      <c r="S1576" s="49">
        <v>0</v>
      </c>
    </row>
    <row r="1577" spans="1:19" ht="18">
      <c r="A1577" s="49">
        <v>8034</v>
      </c>
      <c r="B1577" s="49" t="s">
        <v>1934</v>
      </c>
      <c r="C1577" s="49">
        <v>0</v>
      </c>
      <c r="D1577" s="49">
        <v>11.31</v>
      </c>
      <c r="E1577" s="49">
        <v>0</v>
      </c>
      <c r="F1577" s="49">
        <v>0</v>
      </c>
      <c r="G1577" s="49">
        <v>0</v>
      </c>
      <c r="H1577" s="49">
        <v>0</v>
      </c>
      <c r="I1577" s="49">
        <v>0</v>
      </c>
      <c r="J1577" s="49">
        <v>0</v>
      </c>
      <c r="K1577" s="49">
        <v>133.75</v>
      </c>
      <c r="L1577" s="49">
        <v>0</v>
      </c>
      <c r="M1577" s="49">
        <v>9.0299999999999994</v>
      </c>
      <c r="N1577" s="49">
        <v>12.31</v>
      </c>
      <c r="O1577" s="49">
        <v>34.5</v>
      </c>
      <c r="P1577" s="49">
        <v>15.87</v>
      </c>
      <c r="Q1577" s="49">
        <v>132.5</v>
      </c>
      <c r="R1577" s="49">
        <v>9.77</v>
      </c>
      <c r="S1577" s="49">
        <v>25.15</v>
      </c>
    </row>
    <row r="1578" spans="1:19" ht="18">
      <c r="A1578" s="49">
        <v>8038</v>
      </c>
      <c r="B1578" s="49" t="s">
        <v>1935</v>
      </c>
      <c r="C1578" s="49">
        <v>0</v>
      </c>
      <c r="D1578" s="49">
        <v>0</v>
      </c>
      <c r="E1578" s="49">
        <v>0</v>
      </c>
      <c r="F1578" s="49">
        <v>0</v>
      </c>
      <c r="G1578" s="49">
        <v>0</v>
      </c>
      <c r="H1578" s="49">
        <v>0</v>
      </c>
      <c r="I1578" s="49">
        <v>0</v>
      </c>
      <c r="J1578" s="49">
        <v>0</v>
      </c>
      <c r="K1578" s="49">
        <v>0</v>
      </c>
      <c r="L1578" s="49">
        <v>0</v>
      </c>
      <c r="M1578" s="49">
        <v>0</v>
      </c>
      <c r="N1578" s="49">
        <v>0</v>
      </c>
      <c r="O1578" s="49">
        <v>0</v>
      </c>
      <c r="P1578" s="49">
        <v>0</v>
      </c>
      <c r="Q1578" s="49">
        <v>0</v>
      </c>
      <c r="R1578" s="49">
        <v>0</v>
      </c>
      <c r="S1578" s="49">
        <v>123.17</v>
      </c>
    </row>
    <row r="1579" spans="1:19" ht="18">
      <c r="A1579" s="49">
        <v>8039</v>
      </c>
      <c r="B1579" s="49" t="s">
        <v>1151</v>
      </c>
      <c r="C1579" s="49">
        <v>12.07</v>
      </c>
      <c r="D1579" s="49">
        <v>7.25</v>
      </c>
      <c r="E1579" s="49">
        <v>35.119999999999997</v>
      </c>
      <c r="F1579" s="49">
        <v>16.920000000000002</v>
      </c>
      <c r="G1579" s="49">
        <v>9.41</v>
      </c>
      <c r="H1579" s="49">
        <v>14.66</v>
      </c>
      <c r="I1579" s="49">
        <v>14.29</v>
      </c>
      <c r="J1579" s="49">
        <v>9.48</v>
      </c>
      <c r="K1579" s="49">
        <v>9.7899999999999991</v>
      </c>
      <c r="L1579" s="49">
        <v>13.47</v>
      </c>
      <c r="M1579" s="49">
        <v>16.34</v>
      </c>
      <c r="N1579" s="49">
        <v>10.9</v>
      </c>
      <c r="O1579" s="49">
        <v>15.43</v>
      </c>
      <c r="P1579" s="49">
        <v>15.73</v>
      </c>
      <c r="Q1579" s="49">
        <v>12.03</v>
      </c>
      <c r="R1579" s="49">
        <v>10.65</v>
      </c>
      <c r="S1579" s="49">
        <v>26.95</v>
      </c>
    </row>
    <row r="1580" spans="1:19" ht="18">
      <c r="A1580" s="49">
        <v>8040</v>
      </c>
      <c r="B1580" s="49" t="s">
        <v>1936</v>
      </c>
      <c r="C1580" s="49">
        <v>40.07</v>
      </c>
      <c r="D1580" s="49">
        <v>17.25</v>
      </c>
      <c r="E1580" s="49">
        <v>0</v>
      </c>
      <c r="F1580" s="49">
        <v>20.65</v>
      </c>
      <c r="G1580" s="49">
        <v>0</v>
      </c>
      <c r="H1580" s="49">
        <v>0</v>
      </c>
      <c r="I1580" s="49">
        <v>0</v>
      </c>
      <c r="J1580" s="49">
        <v>0</v>
      </c>
      <c r="K1580" s="49">
        <v>0</v>
      </c>
      <c r="L1580" s="49">
        <v>0</v>
      </c>
      <c r="M1580" s="49">
        <v>0</v>
      </c>
      <c r="N1580" s="49">
        <v>0</v>
      </c>
      <c r="O1580" s="49">
        <v>12.6</v>
      </c>
      <c r="P1580" s="49">
        <v>0</v>
      </c>
      <c r="Q1580" s="49">
        <v>0</v>
      </c>
      <c r="R1580" s="49">
        <v>27.93</v>
      </c>
      <c r="S1580" s="49">
        <v>345.71</v>
      </c>
    </row>
    <row r="1581" spans="1:19" ht="18">
      <c r="A1581" s="49">
        <v>8042</v>
      </c>
      <c r="B1581" s="49" t="s">
        <v>1937</v>
      </c>
      <c r="C1581" s="49">
        <v>12.5</v>
      </c>
      <c r="D1581" s="49">
        <v>4.84</v>
      </c>
      <c r="E1581" s="49">
        <v>13</v>
      </c>
      <c r="F1581" s="49">
        <v>8.93</v>
      </c>
      <c r="G1581" s="49">
        <v>6.48</v>
      </c>
      <c r="H1581" s="49">
        <v>7.66</v>
      </c>
      <c r="I1581" s="49">
        <v>9.23</v>
      </c>
      <c r="J1581" s="49">
        <v>9.6999999999999993</v>
      </c>
      <c r="K1581" s="49">
        <v>10.57</v>
      </c>
      <c r="L1581" s="49">
        <v>10.7</v>
      </c>
      <c r="M1581" s="49">
        <v>14.18</v>
      </c>
      <c r="N1581" s="49">
        <v>23.27</v>
      </c>
      <c r="O1581" s="49">
        <v>0</v>
      </c>
      <c r="P1581" s="49">
        <v>70.319999999999993</v>
      </c>
      <c r="Q1581" s="49">
        <v>135.86000000000001</v>
      </c>
      <c r="R1581" s="49">
        <v>19.86</v>
      </c>
      <c r="S1581" s="49">
        <v>392</v>
      </c>
    </row>
    <row r="1582" spans="1:19" ht="18">
      <c r="A1582" s="49">
        <v>8043</v>
      </c>
      <c r="B1582" s="49" t="s">
        <v>1938</v>
      </c>
      <c r="C1582" s="49">
        <v>8.31</v>
      </c>
      <c r="D1582" s="49">
        <v>4.7300000000000004</v>
      </c>
      <c r="E1582" s="49">
        <v>15.45</v>
      </c>
      <c r="F1582" s="49">
        <v>9</v>
      </c>
      <c r="G1582" s="49">
        <v>7.49</v>
      </c>
      <c r="H1582" s="49">
        <v>14.48</v>
      </c>
      <c r="I1582" s="49">
        <v>8.76</v>
      </c>
      <c r="J1582" s="49">
        <v>11.59</v>
      </c>
      <c r="K1582" s="49">
        <v>7.31</v>
      </c>
      <c r="L1582" s="49">
        <v>12.5</v>
      </c>
      <c r="M1582" s="49">
        <v>17.010000000000002</v>
      </c>
      <c r="N1582" s="49">
        <v>7.42</v>
      </c>
      <c r="O1582" s="49">
        <v>19.940000000000001</v>
      </c>
      <c r="P1582" s="49">
        <v>0</v>
      </c>
      <c r="Q1582" s="49">
        <v>19</v>
      </c>
      <c r="R1582" s="49">
        <v>10.97</v>
      </c>
      <c r="S1582" s="49">
        <v>215.77</v>
      </c>
    </row>
    <row r="1583" spans="1:19" ht="18">
      <c r="A1583" s="49">
        <v>8044</v>
      </c>
      <c r="B1583" s="49" t="s">
        <v>1939</v>
      </c>
      <c r="C1583" s="49">
        <v>0</v>
      </c>
      <c r="D1583" s="49">
        <v>14.23</v>
      </c>
      <c r="E1583" s="49">
        <v>41.3</v>
      </c>
      <c r="F1583" s="49">
        <v>36.270000000000003</v>
      </c>
      <c r="G1583" s="49">
        <v>31.4</v>
      </c>
      <c r="H1583" s="49">
        <v>28.74</v>
      </c>
      <c r="I1583" s="49">
        <v>41.64</v>
      </c>
      <c r="J1583" s="49">
        <v>46.73</v>
      </c>
      <c r="K1583" s="49">
        <v>40.67</v>
      </c>
      <c r="L1583" s="49">
        <v>37.090000000000003</v>
      </c>
      <c r="M1583" s="49">
        <v>34</v>
      </c>
      <c r="N1583" s="49">
        <v>0</v>
      </c>
      <c r="O1583" s="49">
        <v>93.76</v>
      </c>
      <c r="P1583" s="49">
        <v>40.909999999999997</v>
      </c>
      <c r="Q1583" s="49">
        <v>49.61</v>
      </c>
      <c r="R1583" s="49">
        <v>0</v>
      </c>
      <c r="S1583" s="49">
        <v>0</v>
      </c>
    </row>
    <row r="1584" spans="1:19" ht="18">
      <c r="A1584" s="49">
        <v>8046</v>
      </c>
      <c r="B1584" s="49" t="s">
        <v>1152</v>
      </c>
      <c r="C1584" s="49">
        <v>16.87</v>
      </c>
      <c r="D1584" s="49">
        <v>5.22</v>
      </c>
      <c r="E1584" s="49">
        <v>31.98</v>
      </c>
      <c r="F1584" s="49">
        <v>22.99</v>
      </c>
      <c r="G1584" s="49">
        <v>13.67</v>
      </c>
      <c r="H1584" s="49">
        <v>0</v>
      </c>
      <c r="I1584" s="49">
        <v>0</v>
      </c>
      <c r="J1584" s="49">
        <v>23.53</v>
      </c>
      <c r="K1584" s="49">
        <v>17.29</v>
      </c>
      <c r="L1584" s="49">
        <v>0</v>
      </c>
      <c r="M1584" s="49">
        <v>0</v>
      </c>
      <c r="N1584" s="49">
        <v>0</v>
      </c>
      <c r="O1584" s="49">
        <v>102.11</v>
      </c>
      <c r="P1584" s="49">
        <v>44.83</v>
      </c>
      <c r="Q1584" s="49">
        <v>44.27</v>
      </c>
      <c r="R1584" s="49">
        <v>8.23</v>
      </c>
      <c r="S1584" s="49">
        <v>16.05</v>
      </c>
    </row>
    <row r="1585" spans="1:19" ht="18">
      <c r="A1585" s="49">
        <v>8047</v>
      </c>
      <c r="B1585" s="49" t="s">
        <v>1940</v>
      </c>
      <c r="C1585" s="49">
        <v>20.48</v>
      </c>
      <c r="D1585" s="49">
        <v>3.89</v>
      </c>
      <c r="E1585" s="49">
        <v>0</v>
      </c>
      <c r="F1585" s="49">
        <v>28.3</v>
      </c>
      <c r="G1585" s="49">
        <v>174</v>
      </c>
      <c r="H1585" s="49">
        <v>19.510000000000002</v>
      </c>
      <c r="I1585" s="49">
        <v>30</v>
      </c>
      <c r="J1585" s="49">
        <v>14.74</v>
      </c>
      <c r="K1585" s="49">
        <v>17.62</v>
      </c>
      <c r="L1585" s="49">
        <v>21.27</v>
      </c>
      <c r="M1585" s="49">
        <v>15.84</v>
      </c>
      <c r="N1585" s="49">
        <v>0</v>
      </c>
      <c r="O1585" s="49">
        <v>0</v>
      </c>
      <c r="P1585" s="49">
        <v>31.08</v>
      </c>
      <c r="Q1585" s="49">
        <v>270</v>
      </c>
      <c r="R1585" s="49">
        <v>0</v>
      </c>
      <c r="S1585" s="49">
        <v>0</v>
      </c>
    </row>
    <row r="1586" spans="1:19" ht="18">
      <c r="A1586" s="49">
        <v>8048</v>
      </c>
      <c r="B1586" s="49" t="s">
        <v>1941</v>
      </c>
      <c r="C1586" s="49">
        <v>0</v>
      </c>
      <c r="D1586" s="49">
        <v>0</v>
      </c>
      <c r="E1586" s="49">
        <v>23.69</v>
      </c>
      <c r="F1586" s="49">
        <v>21.84</v>
      </c>
      <c r="G1586" s="49">
        <v>20.74</v>
      </c>
      <c r="H1586" s="49">
        <v>18.38</v>
      </c>
      <c r="I1586" s="49">
        <v>22.87</v>
      </c>
      <c r="J1586" s="49">
        <v>18.18</v>
      </c>
      <c r="K1586" s="49">
        <v>12.03</v>
      </c>
      <c r="L1586" s="49">
        <v>10.67</v>
      </c>
      <c r="M1586" s="49">
        <v>12.7</v>
      </c>
      <c r="N1586" s="49">
        <v>11.67</v>
      </c>
      <c r="O1586" s="49">
        <v>12.94</v>
      </c>
      <c r="P1586" s="49">
        <v>17.5</v>
      </c>
      <c r="Q1586" s="49">
        <v>8.74</v>
      </c>
      <c r="R1586" s="49">
        <v>14.03</v>
      </c>
      <c r="S1586" s="49">
        <v>16.420000000000002</v>
      </c>
    </row>
    <row r="1587" spans="1:19" ht="18">
      <c r="A1587" s="49">
        <v>8049</v>
      </c>
      <c r="B1587" s="49" t="s">
        <v>1942</v>
      </c>
      <c r="C1587" s="49">
        <v>50</v>
      </c>
      <c r="D1587" s="49">
        <v>0</v>
      </c>
      <c r="E1587" s="49">
        <v>134.33000000000001</v>
      </c>
      <c r="F1587" s="49">
        <v>13.27</v>
      </c>
      <c r="G1587" s="49">
        <v>0</v>
      </c>
      <c r="H1587" s="49">
        <v>0</v>
      </c>
      <c r="I1587" s="49">
        <v>0</v>
      </c>
      <c r="J1587" s="49">
        <v>13.48</v>
      </c>
      <c r="K1587" s="49">
        <v>10.14</v>
      </c>
      <c r="L1587" s="49">
        <v>9.48</v>
      </c>
      <c r="M1587" s="49">
        <v>9.4700000000000006</v>
      </c>
      <c r="N1587" s="49">
        <v>8.02</v>
      </c>
      <c r="O1587" s="49">
        <v>8.82</v>
      </c>
      <c r="P1587" s="49">
        <v>9.8800000000000008</v>
      </c>
      <c r="Q1587" s="49">
        <v>10.41</v>
      </c>
      <c r="R1587" s="49">
        <v>8.8000000000000007</v>
      </c>
      <c r="S1587" s="49">
        <v>10.09</v>
      </c>
    </row>
    <row r="1588" spans="1:19" ht="18">
      <c r="A1588" s="49">
        <v>8050</v>
      </c>
      <c r="B1588" s="49" t="s">
        <v>1943</v>
      </c>
      <c r="C1588" s="49">
        <v>12.19</v>
      </c>
      <c r="D1588" s="49">
        <v>6.7</v>
      </c>
      <c r="E1588" s="49">
        <v>24.45</v>
      </c>
      <c r="F1588" s="49">
        <v>13.93</v>
      </c>
      <c r="G1588" s="49">
        <v>10.16</v>
      </c>
      <c r="H1588" s="49">
        <v>9.02</v>
      </c>
      <c r="I1588" s="49">
        <v>16.32</v>
      </c>
      <c r="J1588" s="49">
        <v>15.39</v>
      </c>
      <c r="K1588" s="49">
        <v>12.23</v>
      </c>
      <c r="L1588" s="49">
        <v>11.74</v>
      </c>
      <c r="M1588" s="49">
        <v>16.46</v>
      </c>
      <c r="N1588" s="49">
        <v>21.67</v>
      </c>
      <c r="O1588" s="49">
        <v>38.89</v>
      </c>
      <c r="P1588" s="49">
        <v>47.2</v>
      </c>
      <c r="Q1588" s="49">
        <v>47.94</v>
      </c>
      <c r="R1588" s="49">
        <v>13.4</v>
      </c>
      <c r="S1588" s="49">
        <v>15.31</v>
      </c>
    </row>
    <row r="1589" spans="1:19" ht="18">
      <c r="A1589" s="49">
        <v>8054</v>
      </c>
      <c r="B1589" s="49" t="s">
        <v>1944</v>
      </c>
      <c r="C1589" s="49">
        <v>25.84</v>
      </c>
      <c r="D1589" s="49">
        <v>15.72</v>
      </c>
      <c r="E1589" s="49">
        <v>27.08</v>
      </c>
      <c r="F1589" s="49">
        <v>22.92</v>
      </c>
      <c r="G1589" s="49">
        <v>12.58</v>
      </c>
      <c r="H1589" s="49">
        <v>8.94</v>
      </c>
      <c r="I1589" s="49">
        <v>34.020000000000003</v>
      </c>
      <c r="J1589" s="49">
        <v>13.45</v>
      </c>
      <c r="K1589" s="49">
        <v>22.5</v>
      </c>
      <c r="L1589" s="49">
        <v>19.13</v>
      </c>
      <c r="M1589" s="49">
        <v>18.88</v>
      </c>
      <c r="N1589" s="49">
        <v>18.32</v>
      </c>
      <c r="O1589" s="49">
        <v>0</v>
      </c>
      <c r="P1589" s="49">
        <v>0</v>
      </c>
      <c r="Q1589" s="49">
        <v>17.36</v>
      </c>
      <c r="R1589" s="49">
        <v>29.7</v>
      </c>
      <c r="S1589" s="49">
        <v>0</v>
      </c>
    </row>
    <row r="1590" spans="1:19" ht="18">
      <c r="A1590" s="49">
        <v>8059</v>
      </c>
      <c r="B1590" s="49" t="s">
        <v>1945</v>
      </c>
      <c r="C1590" s="49">
        <v>0</v>
      </c>
      <c r="D1590" s="49">
        <v>0</v>
      </c>
      <c r="E1590" s="49">
        <v>0</v>
      </c>
      <c r="F1590" s="49">
        <v>260</v>
      </c>
      <c r="G1590" s="49">
        <v>0</v>
      </c>
      <c r="H1590" s="49">
        <v>0</v>
      </c>
      <c r="I1590" s="49">
        <v>0</v>
      </c>
      <c r="J1590" s="49">
        <v>12.4</v>
      </c>
      <c r="K1590" s="49">
        <v>9.1999999999999993</v>
      </c>
      <c r="L1590" s="49">
        <v>320</v>
      </c>
      <c r="M1590" s="49">
        <v>0</v>
      </c>
      <c r="N1590" s="49">
        <v>0</v>
      </c>
      <c r="O1590" s="49">
        <v>0</v>
      </c>
      <c r="P1590" s="49">
        <v>0</v>
      </c>
      <c r="Q1590" s="49">
        <v>0</v>
      </c>
      <c r="R1590" s="49">
        <v>0</v>
      </c>
      <c r="S1590" s="49">
        <v>66.760000000000005</v>
      </c>
    </row>
    <row r="1591" spans="1:19" ht="18">
      <c r="A1591" s="49">
        <v>8064</v>
      </c>
      <c r="B1591" s="49" t="s">
        <v>1946</v>
      </c>
      <c r="C1591" s="49">
        <v>9.25</v>
      </c>
      <c r="D1591" s="49">
        <v>2.8</v>
      </c>
      <c r="E1591" s="49">
        <v>0</v>
      </c>
      <c r="F1591" s="49">
        <v>0</v>
      </c>
      <c r="G1591" s="49">
        <v>443.5</v>
      </c>
      <c r="H1591" s="49">
        <v>0</v>
      </c>
      <c r="I1591" s="49">
        <v>0</v>
      </c>
      <c r="J1591" s="49">
        <v>10.02</v>
      </c>
      <c r="K1591" s="49">
        <v>16.46</v>
      </c>
      <c r="L1591" s="49">
        <v>37.270000000000003</v>
      </c>
      <c r="M1591" s="49">
        <v>26.75</v>
      </c>
      <c r="N1591" s="49">
        <v>11.91</v>
      </c>
      <c r="O1591" s="49">
        <v>7.55</v>
      </c>
      <c r="P1591" s="49">
        <v>0</v>
      </c>
      <c r="Q1591" s="49">
        <v>11.01</v>
      </c>
      <c r="R1591" s="49">
        <v>7.26</v>
      </c>
      <c r="S1591" s="49">
        <v>15.91</v>
      </c>
    </row>
    <row r="1592" spans="1:19" ht="18">
      <c r="A1592" s="49">
        <v>8066</v>
      </c>
      <c r="B1592" s="49" t="s">
        <v>1947</v>
      </c>
      <c r="C1592" s="49">
        <v>0</v>
      </c>
      <c r="D1592" s="49">
        <v>0</v>
      </c>
      <c r="E1592" s="49">
        <v>0</v>
      </c>
      <c r="F1592" s="49">
        <v>0</v>
      </c>
      <c r="G1592" s="49">
        <v>0</v>
      </c>
      <c r="H1592" s="49">
        <v>0</v>
      </c>
      <c r="I1592" s="49">
        <v>39.659999999999997</v>
      </c>
      <c r="J1592" s="49">
        <v>26.06</v>
      </c>
      <c r="K1592" s="49">
        <v>13.64</v>
      </c>
      <c r="L1592" s="49">
        <v>10.85</v>
      </c>
      <c r="M1592" s="49">
        <v>12.75</v>
      </c>
      <c r="N1592" s="49">
        <v>8.5</v>
      </c>
      <c r="O1592" s="49">
        <v>8.26</v>
      </c>
      <c r="P1592" s="49">
        <v>22.06</v>
      </c>
      <c r="Q1592" s="49">
        <v>23.59</v>
      </c>
      <c r="R1592" s="49">
        <v>14.92</v>
      </c>
      <c r="S1592" s="49">
        <v>80</v>
      </c>
    </row>
    <row r="1593" spans="1:19" ht="18">
      <c r="A1593" s="49">
        <v>8067</v>
      </c>
      <c r="B1593" s="49" t="s">
        <v>1948</v>
      </c>
      <c r="C1593" s="49">
        <v>16.64</v>
      </c>
      <c r="D1593" s="49">
        <v>0</v>
      </c>
      <c r="E1593" s="49">
        <v>18.13</v>
      </c>
      <c r="F1593" s="49">
        <v>0</v>
      </c>
      <c r="G1593" s="49">
        <v>0</v>
      </c>
      <c r="H1593" s="49">
        <v>0</v>
      </c>
      <c r="I1593" s="49">
        <v>0</v>
      </c>
      <c r="J1593" s="49">
        <v>0</v>
      </c>
      <c r="K1593" s="49">
        <v>0</v>
      </c>
      <c r="L1593" s="49">
        <v>0</v>
      </c>
      <c r="M1593" s="49">
        <v>0</v>
      </c>
      <c r="N1593" s="49">
        <v>0</v>
      </c>
      <c r="O1593" s="49">
        <v>0</v>
      </c>
      <c r="P1593" s="49">
        <v>0</v>
      </c>
      <c r="Q1593" s="49">
        <v>0</v>
      </c>
      <c r="R1593" s="49">
        <v>0</v>
      </c>
      <c r="S1593" s="49">
        <v>0</v>
      </c>
    </row>
    <row r="1594" spans="1:19" ht="18">
      <c r="A1594" s="49">
        <v>8068</v>
      </c>
      <c r="B1594" s="49" t="s">
        <v>1949</v>
      </c>
      <c r="C1594" s="49">
        <v>33.81</v>
      </c>
      <c r="D1594" s="49">
        <v>0</v>
      </c>
      <c r="E1594" s="49">
        <v>0</v>
      </c>
      <c r="F1594" s="49">
        <v>0</v>
      </c>
      <c r="G1594" s="49">
        <v>0</v>
      </c>
      <c r="H1594" s="49">
        <v>0</v>
      </c>
      <c r="I1594" s="49">
        <v>0</v>
      </c>
      <c r="J1594" s="49">
        <v>27.58</v>
      </c>
      <c r="K1594" s="49">
        <v>23.28</v>
      </c>
      <c r="L1594" s="49">
        <v>41.25</v>
      </c>
      <c r="M1594" s="49">
        <v>91.3</v>
      </c>
      <c r="N1594" s="49">
        <v>49.38</v>
      </c>
      <c r="O1594" s="49">
        <v>0</v>
      </c>
      <c r="P1594" s="49">
        <v>0</v>
      </c>
      <c r="Q1594" s="49">
        <v>0</v>
      </c>
      <c r="R1594" s="49">
        <v>0</v>
      </c>
      <c r="S1594" s="49">
        <v>0</v>
      </c>
    </row>
    <row r="1595" spans="1:19" ht="18">
      <c r="A1595" s="49">
        <v>8069</v>
      </c>
      <c r="B1595" s="49" t="s">
        <v>1950</v>
      </c>
      <c r="C1595" s="49">
        <v>40.090000000000003</v>
      </c>
      <c r="D1595" s="49">
        <v>16.78</v>
      </c>
      <c r="E1595" s="49">
        <v>0</v>
      </c>
      <c r="F1595" s="49">
        <v>26.74</v>
      </c>
      <c r="G1595" s="49">
        <v>5.96</v>
      </c>
      <c r="H1595" s="49">
        <v>0</v>
      </c>
      <c r="I1595" s="49">
        <v>181.67</v>
      </c>
      <c r="J1595" s="49">
        <v>69.52</v>
      </c>
      <c r="K1595" s="49">
        <v>31.3</v>
      </c>
      <c r="L1595" s="49">
        <v>14.71</v>
      </c>
      <c r="M1595" s="49">
        <v>18.11</v>
      </c>
      <c r="N1595" s="49">
        <v>20.37</v>
      </c>
      <c r="O1595" s="49">
        <v>10.67</v>
      </c>
      <c r="P1595" s="49">
        <v>16.3</v>
      </c>
      <c r="Q1595" s="49">
        <v>35.869999999999997</v>
      </c>
      <c r="R1595" s="49">
        <v>19.440000000000001</v>
      </c>
      <c r="S1595" s="49">
        <v>26.69</v>
      </c>
    </row>
    <row r="1596" spans="1:19" ht="18">
      <c r="A1596" s="49">
        <v>8070</v>
      </c>
      <c r="B1596" s="49" t="s">
        <v>1153</v>
      </c>
      <c r="C1596" s="49">
        <v>0</v>
      </c>
      <c r="D1596" s="49">
        <v>9.92</v>
      </c>
      <c r="E1596" s="49">
        <v>38.64</v>
      </c>
      <c r="F1596" s="49">
        <v>12.2</v>
      </c>
      <c r="G1596" s="49">
        <v>9.2899999999999991</v>
      </c>
      <c r="H1596" s="49">
        <v>72.36</v>
      </c>
      <c r="I1596" s="49">
        <v>10.7</v>
      </c>
      <c r="J1596" s="49">
        <v>16.95</v>
      </c>
      <c r="K1596" s="49">
        <v>6.21</v>
      </c>
      <c r="L1596" s="49">
        <v>10.48</v>
      </c>
      <c r="M1596" s="49">
        <v>10.53</v>
      </c>
      <c r="N1596" s="49">
        <v>11.72</v>
      </c>
      <c r="O1596" s="49">
        <v>9.89</v>
      </c>
      <c r="P1596" s="49">
        <v>19.899999999999999</v>
      </c>
      <c r="Q1596" s="49">
        <v>18.010000000000002</v>
      </c>
      <c r="R1596" s="49">
        <v>8.68</v>
      </c>
      <c r="S1596" s="49">
        <v>14.66</v>
      </c>
    </row>
    <row r="1597" spans="1:19" ht="18">
      <c r="A1597" s="49">
        <v>8071</v>
      </c>
      <c r="B1597" s="49" t="s">
        <v>1951</v>
      </c>
      <c r="C1597" s="49">
        <v>0</v>
      </c>
      <c r="D1597" s="49">
        <v>0</v>
      </c>
      <c r="E1597" s="49">
        <v>152.80000000000001</v>
      </c>
      <c r="F1597" s="49">
        <v>60.96</v>
      </c>
      <c r="G1597" s="49">
        <v>12.21</v>
      </c>
      <c r="H1597" s="49">
        <v>12.68</v>
      </c>
      <c r="I1597" s="49">
        <v>17.32</v>
      </c>
      <c r="J1597" s="49">
        <v>101.5</v>
      </c>
      <c r="K1597" s="49">
        <v>61</v>
      </c>
      <c r="L1597" s="49">
        <v>0</v>
      </c>
      <c r="M1597" s="49">
        <v>16.21</v>
      </c>
      <c r="N1597" s="49">
        <v>14.74</v>
      </c>
      <c r="O1597" s="49">
        <v>9.01</v>
      </c>
      <c r="P1597" s="49">
        <v>31.15</v>
      </c>
      <c r="Q1597" s="49">
        <v>26.39</v>
      </c>
      <c r="R1597" s="49">
        <v>11.61</v>
      </c>
      <c r="S1597" s="49">
        <v>0</v>
      </c>
    </row>
    <row r="1598" spans="1:19" ht="18">
      <c r="A1598" s="49">
        <v>8072</v>
      </c>
      <c r="B1598" s="49" t="s">
        <v>1154</v>
      </c>
      <c r="C1598" s="49">
        <v>15.11</v>
      </c>
      <c r="D1598" s="49">
        <v>7.98</v>
      </c>
      <c r="E1598" s="49">
        <v>13.62</v>
      </c>
      <c r="F1598" s="49">
        <v>11.85</v>
      </c>
      <c r="G1598" s="49">
        <v>10.94</v>
      </c>
      <c r="H1598" s="49">
        <v>10.42</v>
      </c>
      <c r="I1598" s="49">
        <v>13.58</v>
      </c>
      <c r="J1598" s="49">
        <v>22.97</v>
      </c>
      <c r="K1598" s="49">
        <v>12.46</v>
      </c>
      <c r="L1598" s="49">
        <v>41.2</v>
      </c>
      <c r="M1598" s="49">
        <v>0</v>
      </c>
      <c r="N1598" s="49">
        <v>0</v>
      </c>
      <c r="O1598" s="49">
        <v>0</v>
      </c>
      <c r="P1598" s="49">
        <v>0</v>
      </c>
      <c r="Q1598" s="49">
        <v>108.6</v>
      </c>
      <c r="R1598" s="49">
        <v>20.36</v>
      </c>
      <c r="S1598" s="49">
        <v>33.94</v>
      </c>
    </row>
    <row r="1599" spans="1:19" ht="18">
      <c r="A1599" s="49">
        <v>8074</v>
      </c>
      <c r="B1599" s="49" t="s">
        <v>1952</v>
      </c>
      <c r="C1599" s="49">
        <v>0</v>
      </c>
      <c r="D1599" s="49">
        <v>13.9</v>
      </c>
      <c r="E1599" s="49">
        <v>18.48</v>
      </c>
      <c r="F1599" s="49">
        <v>10.67</v>
      </c>
      <c r="G1599" s="49">
        <v>15.3</v>
      </c>
      <c r="H1599" s="49">
        <v>10.8</v>
      </c>
      <c r="I1599" s="49">
        <v>18.8</v>
      </c>
      <c r="J1599" s="49">
        <v>16.39</v>
      </c>
      <c r="K1599" s="49">
        <v>10.75</v>
      </c>
      <c r="L1599" s="49">
        <v>12.56</v>
      </c>
      <c r="M1599" s="49">
        <v>13.44</v>
      </c>
      <c r="N1599" s="49">
        <v>11</v>
      </c>
      <c r="O1599" s="49">
        <v>35.479999999999997</v>
      </c>
      <c r="P1599" s="49">
        <v>22.97</v>
      </c>
      <c r="Q1599" s="49">
        <v>19.95</v>
      </c>
      <c r="R1599" s="49">
        <v>20.93</v>
      </c>
      <c r="S1599" s="49">
        <v>5.81</v>
      </c>
    </row>
    <row r="1600" spans="1:19" ht="18">
      <c r="A1600" s="49">
        <v>8076</v>
      </c>
      <c r="B1600" s="49" t="s">
        <v>1953</v>
      </c>
      <c r="C1600" s="49">
        <v>41.42</v>
      </c>
      <c r="D1600" s="49">
        <v>7.62</v>
      </c>
      <c r="E1600" s="49">
        <v>0</v>
      </c>
      <c r="F1600" s="49">
        <v>0</v>
      </c>
      <c r="G1600" s="49">
        <v>0</v>
      </c>
      <c r="H1600" s="49">
        <v>39.799999999999997</v>
      </c>
      <c r="I1600" s="49">
        <v>150</v>
      </c>
      <c r="J1600" s="49">
        <v>64.77</v>
      </c>
      <c r="K1600" s="49">
        <v>82.91</v>
      </c>
      <c r="L1600" s="49">
        <v>60.3</v>
      </c>
      <c r="M1600" s="49">
        <v>64.150000000000006</v>
      </c>
      <c r="N1600" s="49">
        <v>39.17</v>
      </c>
      <c r="O1600" s="49">
        <v>30.37</v>
      </c>
      <c r="P1600" s="49">
        <v>0</v>
      </c>
      <c r="Q1600" s="49">
        <v>508.57</v>
      </c>
      <c r="R1600" s="49">
        <v>22.54</v>
      </c>
      <c r="S1600" s="49">
        <v>32.090000000000003</v>
      </c>
    </row>
    <row r="1601" spans="1:19" ht="18">
      <c r="A1601" s="49">
        <v>8077</v>
      </c>
      <c r="B1601" s="49" t="s">
        <v>1954</v>
      </c>
      <c r="C1601" s="49">
        <v>0</v>
      </c>
      <c r="D1601" s="49">
        <v>0</v>
      </c>
      <c r="E1601" s="49">
        <v>0</v>
      </c>
      <c r="F1601" s="49">
        <v>0</v>
      </c>
      <c r="G1601" s="49">
        <v>0</v>
      </c>
      <c r="H1601" s="49">
        <v>0</v>
      </c>
      <c r="I1601" s="49">
        <v>0</v>
      </c>
      <c r="J1601" s="49">
        <v>313.33</v>
      </c>
      <c r="K1601" s="49">
        <v>485.5</v>
      </c>
      <c r="L1601" s="49">
        <v>0</v>
      </c>
      <c r="M1601" s="49">
        <v>0</v>
      </c>
      <c r="N1601" s="49">
        <v>38.700000000000003</v>
      </c>
      <c r="O1601" s="49">
        <v>50.52</v>
      </c>
      <c r="P1601" s="49">
        <v>0</v>
      </c>
      <c r="Q1601" s="49">
        <v>0</v>
      </c>
      <c r="R1601" s="49">
        <v>0</v>
      </c>
      <c r="S1601" s="49">
        <v>0</v>
      </c>
    </row>
    <row r="1602" spans="1:19" ht="18">
      <c r="A1602" s="49">
        <v>8080</v>
      </c>
      <c r="B1602" s="49" t="s">
        <v>1955</v>
      </c>
      <c r="C1602" s="49">
        <v>10.02</v>
      </c>
      <c r="D1602" s="49">
        <v>3.6</v>
      </c>
      <c r="E1602" s="49">
        <v>0</v>
      </c>
      <c r="F1602" s="49">
        <v>0</v>
      </c>
      <c r="G1602" s="49">
        <v>36.5</v>
      </c>
      <c r="H1602" s="49">
        <v>0</v>
      </c>
      <c r="I1602" s="49">
        <v>28.09</v>
      </c>
      <c r="J1602" s="49">
        <v>0</v>
      </c>
      <c r="K1602" s="49">
        <v>0</v>
      </c>
      <c r="L1602" s="49">
        <v>0</v>
      </c>
      <c r="M1602" s="49">
        <v>0</v>
      </c>
      <c r="N1602" s="49">
        <v>0</v>
      </c>
      <c r="O1602" s="49">
        <v>0</v>
      </c>
      <c r="P1602" s="49">
        <v>0</v>
      </c>
      <c r="Q1602" s="49">
        <v>0</v>
      </c>
      <c r="R1602" s="49">
        <v>2.5299999999999998</v>
      </c>
      <c r="S1602" s="49">
        <v>0</v>
      </c>
    </row>
    <row r="1603" spans="1:19" ht="18">
      <c r="A1603" s="49">
        <v>8081</v>
      </c>
      <c r="B1603" s="49" t="s">
        <v>1155</v>
      </c>
      <c r="C1603" s="49">
        <v>17.579999999999998</v>
      </c>
      <c r="D1603" s="49">
        <v>11.1</v>
      </c>
      <c r="E1603" s="49">
        <v>27.1</v>
      </c>
      <c r="F1603" s="49">
        <v>13.02</v>
      </c>
      <c r="G1603" s="49">
        <v>10.119999999999999</v>
      </c>
      <c r="H1603" s="49">
        <v>13.39</v>
      </c>
      <c r="I1603" s="49">
        <v>12.52</v>
      </c>
      <c r="J1603" s="49">
        <v>12.78</v>
      </c>
      <c r="K1603" s="49">
        <v>11.05</v>
      </c>
      <c r="L1603" s="49">
        <v>15.93</v>
      </c>
      <c r="M1603" s="49">
        <v>14.68</v>
      </c>
      <c r="N1603" s="49">
        <v>13.57</v>
      </c>
      <c r="O1603" s="49">
        <v>15.89</v>
      </c>
      <c r="P1603" s="49">
        <v>14.24</v>
      </c>
      <c r="Q1603" s="49">
        <v>12.13</v>
      </c>
      <c r="R1603" s="49">
        <v>5.19</v>
      </c>
      <c r="S1603" s="49">
        <v>16.78</v>
      </c>
    </row>
    <row r="1604" spans="1:19" ht="18">
      <c r="A1604" s="49">
        <v>8083</v>
      </c>
      <c r="B1604" s="49" t="s">
        <v>1956</v>
      </c>
      <c r="C1604" s="49">
        <v>12.45</v>
      </c>
      <c r="D1604" s="49">
        <v>7.88</v>
      </c>
      <c r="E1604" s="49">
        <v>20.79</v>
      </c>
      <c r="F1604" s="49">
        <v>11.41</v>
      </c>
      <c r="G1604" s="49">
        <v>11.56</v>
      </c>
      <c r="H1604" s="49">
        <v>11.23</v>
      </c>
      <c r="I1604" s="49">
        <v>16.98</v>
      </c>
      <c r="J1604" s="49">
        <v>15.79</v>
      </c>
      <c r="K1604" s="49">
        <v>14.6</v>
      </c>
      <c r="L1604" s="49">
        <v>15.51</v>
      </c>
      <c r="M1604" s="49">
        <v>15.45</v>
      </c>
      <c r="N1604" s="49">
        <v>14.97</v>
      </c>
      <c r="O1604" s="49">
        <v>15.54</v>
      </c>
      <c r="P1604" s="49">
        <v>21.28</v>
      </c>
      <c r="Q1604" s="49">
        <v>16.09</v>
      </c>
      <c r="R1604" s="49">
        <v>14.05</v>
      </c>
      <c r="S1604" s="49">
        <v>24.25</v>
      </c>
    </row>
    <row r="1605" spans="1:19" ht="18">
      <c r="A1605" s="49">
        <v>8084</v>
      </c>
      <c r="B1605" s="49" t="s">
        <v>1957</v>
      </c>
      <c r="C1605" s="49">
        <v>0</v>
      </c>
      <c r="D1605" s="49">
        <v>10.17</v>
      </c>
      <c r="E1605" s="49">
        <v>0</v>
      </c>
      <c r="F1605" s="49">
        <v>0</v>
      </c>
      <c r="G1605" s="49">
        <v>0</v>
      </c>
      <c r="H1605" s="49">
        <v>7.93</v>
      </c>
      <c r="I1605" s="49">
        <v>37.76</v>
      </c>
      <c r="J1605" s="49">
        <v>581.25</v>
      </c>
      <c r="K1605" s="49">
        <v>0</v>
      </c>
      <c r="L1605" s="49">
        <v>30</v>
      </c>
      <c r="M1605" s="49">
        <v>0</v>
      </c>
      <c r="N1605" s="49">
        <v>66.69</v>
      </c>
      <c r="O1605" s="49">
        <v>0</v>
      </c>
      <c r="P1605" s="49">
        <v>0</v>
      </c>
      <c r="Q1605" s="49">
        <v>0</v>
      </c>
      <c r="R1605" s="49">
        <v>0</v>
      </c>
      <c r="S1605" s="49">
        <v>2886.67</v>
      </c>
    </row>
    <row r="1606" spans="1:19" ht="18">
      <c r="A1606" s="49">
        <v>8085</v>
      </c>
      <c r="B1606" s="49" t="s">
        <v>1958</v>
      </c>
      <c r="C1606" s="49">
        <v>38.200000000000003</v>
      </c>
      <c r="D1606" s="49">
        <v>16.22</v>
      </c>
      <c r="E1606" s="49">
        <v>0</v>
      </c>
      <c r="F1606" s="49">
        <v>0</v>
      </c>
      <c r="G1606" s="49">
        <v>0</v>
      </c>
      <c r="H1606" s="49">
        <v>0</v>
      </c>
      <c r="I1606" s="49">
        <v>0</v>
      </c>
      <c r="J1606" s="49">
        <v>0</v>
      </c>
      <c r="K1606" s="49">
        <v>0</v>
      </c>
      <c r="L1606" s="49">
        <v>10.98</v>
      </c>
      <c r="M1606" s="49">
        <v>0</v>
      </c>
      <c r="N1606" s="49">
        <v>0</v>
      </c>
      <c r="O1606" s="49">
        <v>0</v>
      </c>
      <c r="P1606" s="49">
        <v>0</v>
      </c>
      <c r="Q1606" s="49">
        <v>50.83</v>
      </c>
      <c r="R1606" s="49">
        <v>22.13</v>
      </c>
      <c r="S1606" s="49">
        <v>388.46</v>
      </c>
    </row>
    <row r="1607" spans="1:19" ht="18">
      <c r="A1607" s="49">
        <v>8086</v>
      </c>
      <c r="B1607" s="49" t="s">
        <v>1959</v>
      </c>
      <c r="C1607" s="49">
        <v>0</v>
      </c>
      <c r="D1607" s="49">
        <v>0</v>
      </c>
      <c r="E1607" s="49">
        <v>370.38</v>
      </c>
      <c r="F1607" s="49">
        <v>35.32</v>
      </c>
      <c r="G1607" s="49">
        <v>23.74</v>
      </c>
      <c r="H1607" s="49">
        <v>99.52</v>
      </c>
      <c r="I1607" s="49">
        <v>0</v>
      </c>
      <c r="J1607" s="49">
        <v>47.82</v>
      </c>
      <c r="K1607" s="49">
        <v>11.91</v>
      </c>
      <c r="L1607" s="49">
        <v>11.85</v>
      </c>
      <c r="M1607" s="49">
        <v>40.36</v>
      </c>
      <c r="N1607" s="49">
        <v>23.37</v>
      </c>
      <c r="O1607" s="49">
        <v>57.85</v>
      </c>
      <c r="P1607" s="49">
        <v>43.13</v>
      </c>
      <c r="Q1607" s="49">
        <v>36.04</v>
      </c>
      <c r="R1607" s="49">
        <v>44.22</v>
      </c>
      <c r="S1607" s="49">
        <v>0</v>
      </c>
    </row>
    <row r="1608" spans="1:19" ht="18">
      <c r="A1608" s="49">
        <v>8087</v>
      </c>
      <c r="B1608" s="49" t="s">
        <v>1960</v>
      </c>
      <c r="C1608" s="49">
        <v>0</v>
      </c>
      <c r="D1608" s="49">
        <v>0</v>
      </c>
      <c r="E1608" s="49">
        <v>0</v>
      </c>
      <c r="F1608" s="49">
        <v>72.63</v>
      </c>
      <c r="G1608" s="49">
        <v>0</v>
      </c>
      <c r="H1608" s="49">
        <v>140.4</v>
      </c>
      <c r="I1608" s="49">
        <v>0</v>
      </c>
      <c r="J1608" s="49">
        <v>0</v>
      </c>
      <c r="K1608" s="49">
        <v>0</v>
      </c>
      <c r="L1608" s="49">
        <v>152.19999999999999</v>
      </c>
      <c r="M1608" s="49">
        <v>25.03</v>
      </c>
      <c r="N1608" s="49">
        <v>0</v>
      </c>
      <c r="O1608" s="49">
        <v>149.19999999999999</v>
      </c>
      <c r="P1608" s="49">
        <v>0</v>
      </c>
      <c r="Q1608" s="49">
        <v>0</v>
      </c>
      <c r="R1608" s="49">
        <v>66.84</v>
      </c>
      <c r="S1608" s="49">
        <v>10.96</v>
      </c>
    </row>
    <row r="1609" spans="1:19" ht="18">
      <c r="A1609" s="49">
        <v>8088</v>
      </c>
      <c r="B1609" s="49" t="s">
        <v>1961</v>
      </c>
      <c r="C1609" s="49">
        <v>0</v>
      </c>
      <c r="D1609" s="49">
        <v>0</v>
      </c>
      <c r="E1609" s="49">
        <v>0</v>
      </c>
      <c r="F1609" s="49">
        <v>116.15</v>
      </c>
      <c r="G1609" s="49">
        <v>0</v>
      </c>
      <c r="H1609" s="49">
        <v>116</v>
      </c>
      <c r="I1609" s="49">
        <v>8.5399999999999991</v>
      </c>
      <c r="J1609" s="49">
        <v>18.100000000000001</v>
      </c>
      <c r="K1609" s="49">
        <v>9.0299999999999994</v>
      </c>
      <c r="L1609" s="49">
        <v>19.899999999999999</v>
      </c>
      <c r="M1609" s="49">
        <v>20.94</v>
      </c>
      <c r="N1609" s="49">
        <v>69.44</v>
      </c>
      <c r="O1609" s="49">
        <v>10.94</v>
      </c>
      <c r="P1609" s="49">
        <v>14.83</v>
      </c>
      <c r="Q1609" s="49">
        <v>29.88</v>
      </c>
      <c r="R1609" s="49">
        <v>6.12</v>
      </c>
      <c r="S1609" s="49">
        <v>14.89</v>
      </c>
    </row>
    <row r="1610" spans="1:19" ht="18">
      <c r="A1610" s="49">
        <v>8089</v>
      </c>
      <c r="B1610" s="49" t="s">
        <v>1962</v>
      </c>
      <c r="C1610" s="49">
        <v>0</v>
      </c>
      <c r="D1610" s="49">
        <v>0</v>
      </c>
      <c r="E1610" s="49">
        <v>0</v>
      </c>
      <c r="F1610" s="49">
        <v>0</v>
      </c>
      <c r="G1610" s="49">
        <v>0</v>
      </c>
      <c r="H1610" s="49">
        <v>0</v>
      </c>
      <c r="I1610" s="49">
        <v>0</v>
      </c>
      <c r="J1610" s="49">
        <v>0</v>
      </c>
      <c r="K1610" s="49">
        <v>0</v>
      </c>
      <c r="L1610" s="49">
        <v>0</v>
      </c>
      <c r="M1610" s="49">
        <v>0</v>
      </c>
      <c r="N1610" s="49">
        <v>0</v>
      </c>
      <c r="O1610" s="49">
        <v>0</v>
      </c>
      <c r="P1610" s="49">
        <v>9.2899999999999991</v>
      </c>
      <c r="Q1610" s="49">
        <v>108.71</v>
      </c>
      <c r="R1610" s="49">
        <v>0</v>
      </c>
      <c r="S1610" s="49">
        <v>0</v>
      </c>
    </row>
    <row r="1611" spans="1:19" ht="18">
      <c r="A1611" s="49">
        <v>8091</v>
      </c>
      <c r="B1611" s="49" t="s">
        <v>1963</v>
      </c>
      <c r="C1611" s="49">
        <v>9.8699999999999992</v>
      </c>
      <c r="D1611" s="49">
        <v>4.88</v>
      </c>
      <c r="E1611" s="49">
        <v>32.81</v>
      </c>
      <c r="F1611" s="49">
        <v>10.8</v>
      </c>
      <c r="G1611" s="49">
        <v>7.46</v>
      </c>
      <c r="H1611" s="49">
        <v>10.1</v>
      </c>
      <c r="I1611" s="49">
        <v>12.34</v>
      </c>
      <c r="J1611" s="49">
        <v>11.69</v>
      </c>
      <c r="K1611" s="49">
        <v>12.66</v>
      </c>
      <c r="L1611" s="49">
        <v>13.95</v>
      </c>
      <c r="M1611" s="49">
        <v>12.01</v>
      </c>
      <c r="N1611" s="49">
        <v>10.42</v>
      </c>
      <c r="O1611" s="49">
        <v>16.5</v>
      </c>
      <c r="P1611" s="49">
        <v>21.78</v>
      </c>
      <c r="Q1611" s="49">
        <v>16.420000000000002</v>
      </c>
      <c r="R1611" s="49">
        <v>8.4</v>
      </c>
      <c r="S1611" s="49">
        <v>14.49</v>
      </c>
    </row>
    <row r="1612" spans="1:19" ht="18">
      <c r="A1612" s="49">
        <v>8092</v>
      </c>
      <c r="B1612" s="49" t="s">
        <v>1964</v>
      </c>
      <c r="C1612" s="49">
        <v>0</v>
      </c>
      <c r="D1612" s="49">
        <v>0</v>
      </c>
      <c r="E1612" s="49">
        <v>0</v>
      </c>
      <c r="F1612" s="49">
        <v>68.16</v>
      </c>
      <c r="G1612" s="49">
        <v>421.5</v>
      </c>
      <c r="H1612" s="49">
        <v>42.65</v>
      </c>
      <c r="I1612" s="49">
        <v>0</v>
      </c>
      <c r="J1612" s="49">
        <v>155.56</v>
      </c>
      <c r="K1612" s="49">
        <v>0</v>
      </c>
      <c r="L1612" s="49">
        <v>0</v>
      </c>
      <c r="M1612" s="49">
        <v>0</v>
      </c>
      <c r="N1612" s="49">
        <v>0</v>
      </c>
      <c r="O1612" s="49">
        <v>0</v>
      </c>
      <c r="P1612" s="49">
        <v>0</v>
      </c>
      <c r="Q1612" s="49">
        <v>0</v>
      </c>
      <c r="R1612" s="49">
        <v>204.17</v>
      </c>
      <c r="S1612" s="49">
        <v>145</v>
      </c>
    </row>
    <row r="1613" spans="1:19" ht="18">
      <c r="A1613" s="49">
        <v>8093</v>
      </c>
      <c r="B1613" s="49" t="s">
        <v>1965</v>
      </c>
      <c r="C1613" s="49">
        <v>9.34</v>
      </c>
      <c r="D1613" s="49">
        <v>19.28</v>
      </c>
      <c r="E1613" s="49">
        <v>16.16</v>
      </c>
      <c r="F1613" s="49">
        <v>0</v>
      </c>
      <c r="G1613" s="49">
        <v>0</v>
      </c>
      <c r="H1613" s="49">
        <v>0</v>
      </c>
      <c r="I1613" s="49">
        <v>0</v>
      </c>
      <c r="J1613" s="49">
        <v>0</v>
      </c>
      <c r="K1613" s="49">
        <v>0</v>
      </c>
      <c r="L1613" s="49">
        <v>27.3</v>
      </c>
      <c r="M1613" s="49">
        <v>0</v>
      </c>
      <c r="N1613" s="49">
        <v>0</v>
      </c>
      <c r="O1613" s="49">
        <v>0</v>
      </c>
      <c r="P1613" s="49">
        <v>0</v>
      </c>
      <c r="Q1613" s="49">
        <v>0</v>
      </c>
      <c r="R1613" s="49">
        <v>68.13</v>
      </c>
      <c r="S1613" s="49">
        <v>0</v>
      </c>
    </row>
    <row r="1614" spans="1:19" ht="18">
      <c r="A1614" s="49">
        <v>8096</v>
      </c>
      <c r="B1614" s="49" t="s">
        <v>1966</v>
      </c>
      <c r="C1614" s="49">
        <v>9.2100000000000009</v>
      </c>
      <c r="D1614" s="49">
        <v>7.23</v>
      </c>
      <c r="E1614" s="49">
        <v>23.87</v>
      </c>
      <c r="F1614" s="49">
        <v>13.81</v>
      </c>
      <c r="G1614" s="49">
        <v>7.87</v>
      </c>
      <c r="H1614" s="49">
        <v>8.64</v>
      </c>
      <c r="I1614" s="49">
        <v>0</v>
      </c>
      <c r="J1614" s="49">
        <v>0</v>
      </c>
      <c r="K1614" s="49">
        <v>11.27</v>
      </c>
      <c r="L1614" s="49">
        <v>0</v>
      </c>
      <c r="M1614" s="49">
        <v>10.87</v>
      </c>
      <c r="N1614" s="49">
        <v>0</v>
      </c>
      <c r="O1614" s="49">
        <v>0</v>
      </c>
      <c r="P1614" s="49">
        <v>13.06</v>
      </c>
      <c r="Q1614" s="49">
        <v>20.67</v>
      </c>
      <c r="R1614" s="49">
        <v>10.83</v>
      </c>
      <c r="S1614" s="49">
        <v>0</v>
      </c>
    </row>
    <row r="1615" spans="1:19" ht="18">
      <c r="A1615" s="49">
        <v>8097</v>
      </c>
      <c r="B1615" s="49" t="s">
        <v>1967</v>
      </c>
      <c r="C1615" s="49">
        <v>0</v>
      </c>
      <c r="D1615" s="49">
        <v>0</v>
      </c>
      <c r="E1615" s="49">
        <v>0</v>
      </c>
      <c r="F1615" s="49">
        <v>0</v>
      </c>
      <c r="G1615" s="49">
        <v>0</v>
      </c>
      <c r="H1615" s="49">
        <v>18.02</v>
      </c>
      <c r="I1615" s="49">
        <v>0</v>
      </c>
      <c r="J1615" s="49">
        <v>0</v>
      </c>
      <c r="K1615" s="49">
        <v>0</v>
      </c>
      <c r="L1615" s="49">
        <v>56.46</v>
      </c>
      <c r="M1615" s="49">
        <v>0</v>
      </c>
      <c r="N1615" s="49">
        <v>2.67</v>
      </c>
      <c r="O1615" s="49">
        <v>0</v>
      </c>
      <c r="P1615" s="49">
        <v>0</v>
      </c>
      <c r="Q1615" s="49">
        <v>0</v>
      </c>
      <c r="R1615" s="49">
        <v>11.21</v>
      </c>
      <c r="S1615" s="49">
        <v>390</v>
      </c>
    </row>
    <row r="1616" spans="1:19" ht="18">
      <c r="A1616" s="49">
        <v>8099</v>
      </c>
      <c r="B1616" s="49" t="s">
        <v>1968</v>
      </c>
      <c r="C1616" s="49">
        <v>11.86</v>
      </c>
      <c r="D1616" s="49">
        <v>5.66</v>
      </c>
      <c r="E1616" s="49">
        <v>18.36</v>
      </c>
      <c r="F1616" s="49">
        <v>11.56</v>
      </c>
      <c r="G1616" s="49">
        <v>9.44</v>
      </c>
      <c r="H1616" s="49">
        <v>11.84</v>
      </c>
      <c r="I1616" s="49">
        <v>17.940000000000001</v>
      </c>
      <c r="J1616" s="49">
        <v>17.010000000000002</v>
      </c>
      <c r="K1616" s="49">
        <v>12.38</v>
      </c>
      <c r="L1616" s="49">
        <v>14.5</v>
      </c>
      <c r="M1616" s="49">
        <v>11.62</v>
      </c>
      <c r="N1616" s="49">
        <v>13.1</v>
      </c>
      <c r="O1616" s="49">
        <v>13.61</v>
      </c>
      <c r="P1616" s="49">
        <v>16.39</v>
      </c>
      <c r="Q1616" s="49">
        <v>24.66</v>
      </c>
      <c r="R1616" s="49">
        <v>19.07</v>
      </c>
      <c r="S1616" s="49">
        <v>24.22</v>
      </c>
    </row>
    <row r="1617" spans="1:19" ht="18">
      <c r="A1617" s="49">
        <v>8101</v>
      </c>
      <c r="B1617" s="49" t="s">
        <v>1156</v>
      </c>
      <c r="C1617" s="49">
        <v>0</v>
      </c>
      <c r="D1617" s="49">
        <v>0</v>
      </c>
      <c r="E1617" s="49">
        <v>0</v>
      </c>
      <c r="F1617" s="49">
        <v>0</v>
      </c>
      <c r="G1617" s="49">
        <v>9.1999999999999993</v>
      </c>
      <c r="H1617" s="49">
        <v>0</v>
      </c>
      <c r="I1617" s="49">
        <v>340</v>
      </c>
      <c r="J1617" s="49">
        <v>148.13</v>
      </c>
      <c r="K1617" s="49">
        <v>0</v>
      </c>
      <c r="L1617" s="49">
        <v>0</v>
      </c>
      <c r="M1617" s="49">
        <v>0</v>
      </c>
      <c r="N1617" s="49">
        <v>0</v>
      </c>
      <c r="O1617" s="49">
        <v>0</v>
      </c>
      <c r="P1617" s="49">
        <v>0</v>
      </c>
      <c r="Q1617" s="49">
        <v>0</v>
      </c>
      <c r="R1617" s="49">
        <v>1.51</v>
      </c>
      <c r="S1617" s="49">
        <v>0</v>
      </c>
    </row>
    <row r="1618" spans="1:19" ht="18">
      <c r="A1618" s="49">
        <v>8103</v>
      </c>
      <c r="B1618" s="49" t="s">
        <v>1157</v>
      </c>
      <c r="C1618" s="49">
        <v>11.56</v>
      </c>
      <c r="D1618" s="49">
        <v>4.8099999999999996</v>
      </c>
      <c r="E1618" s="49">
        <v>25.61</v>
      </c>
      <c r="F1618" s="49">
        <v>8.4499999999999993</v>
      </c>
      <c r="G1618" s="49">
        <v>7.55</v>
      </c>
      <c r="H1618" s="49">
        <v>8.84</v>
      </c>
      <c r="I1618" s="49">
        <v>11.55</v>
      </c>
      <c r="J1618" s="49">
        <v>11.37</v>
      </c>
      <c r="K1618" s="49">
        <v>11.45</v>
      </c>
      <c r="L1618" s="49">
        <v>13.01</v>
      </c>
      <c r="M1618" s="49">
        <v>9.9700000000000006</v>
      </c>
      <c r="N1618" s="49">
        <v>11.78</v>
      </c>
      <c r="O1618" s="49">
        <v>11.07</v>
      </c>
      <c r="P1618" s="49">
        <v>14.64</v>
      </c>
      <c r="Q1618" s="49">
        <v>13.28</v>
      </c>
      <c r="R1618" s="49">
        <v>6.3</v>
      </c>
      <c r="S1618" s="49">
        <v>15.96</v>
      </c>
    </row>
    <row r="1619" spans="1:19" ht="18">
      <c r="A1619" s="49">
        <v>8104</v>
      </c>
      <c r="B1619" s="49" t="s">
        <v>1158</v>
      </c>
      <c r="C1619" s="49">
        <v>0</v>
      </c>
      <c r="D1619" s="49">
        <v>0</v>
      </c>
      <c r="E1619" s="49">
        <v>0</v>
      </c>
      <c r="F1619" s="49">
        <v>0</v>
      </c>
      <c r="G1619" s="49">
        <v>0</v>
      </c>
      <c r="H1619" s="49">
        <v>0</v>
      </c>
      <c r="I1619" s="49">
        <v>0</v>
      </c>
      <c r="J1619" s="49">
        <v>0</v>
      </c>
      <c r="K1619" s="49">
        <v>0</v>
      </c>
      <c r="L1619" s="49">
        <v>0</v>
      </c>
      <c r="M1619" s="49">
        <v>0</v>
      </c>
      <c r="N1619" s="49">
        <v>0</v>
      </c>
      <c r="O1619" s="49">
        <v>28.93</v>
      </c>
      <c r="P1619" s="49">
        <v>27.93</v>
      </c>
      <c r="Q1619" s="49">
        <v>23.16</v>
      </c>
      <c r="R1619" s="49">
        <v>69.8</v>
      </c>
      <c r="S1619" s="49">
        <v>0</v>
      </c>
    </row>
    <row r="1620" spans="1:19" ht="18">
      <c r="A1620" s="49">
        <v>8105</v>
      </c>
      <c r="B1620" s="49" t="s">
        <v>1159</v>
      </c>
      <c r="C1620" s="49">
        <v>21.14</v>
      </c>
      <c r="D1620" s="49">
        <v>6.6</v>
      </c>
      <c r="E1620" s="49">
        <v>0</v>
      </c>
      <c r="F1620" s="49">
        <v>500</v>
      </c>
      <c r="G1620" s="49">
        <v>0</v>
      </c>
      <c r="H1620" s="49">
        <v>0</v>
      </c>
      <c r="I1620" s="49">
        <v>0</v>
      </c>
      <c r="J1620" s="49">
        <v>68.33</v>
      </c>
      <c r="K1620" s="49">
        <v>26.03</v>
      </c>
      <c r="L1620" s="49">
        <v>15.14</v>
      </c>
      <c r="M1620" s="49">
        <v>10.67</v>
      </c>
      <c r="N1620" s="49">
        <v>16.829999999999998</v>
      </c>
      <c r="O1620" s="49">
        <v>14.89</v>
      </c>
      <c r="P1620" s="49">
        <v>0</v>
      </c>
      <c r="Q1620" s="49">
        <v>0</v>
      </c>
      <c r="R1620" s="49">
        <v>7.39</v>
      </c>
      <c r="S1620" s="49">
        <v>21.69</v>
      </c>
    </row>
    <row r="1621" spans="1:19" ht="18">
      <c r="A1621" s="49">
        <v>8107</v>
      </c>
      <c r="B1621" s="49" t="s">
        <v>1969</v>
      </c>
      <c r="C1621" s="49">
        <v>30.22</v>
      </c>
      <c r="D1621" s="49">
        <v>4.76</v>
      </c>
      <c r="E1621" s="49">
        <v>117.63</v>
      </c>
      <c r="F1621" s="49">
        <v>0</v>
      </c>
      <c r="G1621" s="49">
        <v>0</v>
      </c>
      <c r="H1621" s="49">
        <v>0</v>
      </c>
      <c r="I1621" s="49">
        <v>0</v>
      </c>
      <c r="J1621" s="49">
        <v>0</v>
      </c>
      <c r="K1621" s="49">
        <v>44.39</v>
      </c>
      <c r="L1621" s="49">
        <v>16.28</v>
      </c>
      <c r="M1621" s="49">
        <v>5</v>
      </c>
      <c r="N1621" s="49">
        <v>9.2200000000000006</v>
      </c>
      <c r="O1621" s="49">
        <v>8.86</v>
      </c>
      <c r="P1621" s="49">
        <v>0</v>
      </c>
      <c r="Q1621" s="49">
        <v>25.86</v>
      </c>
      <c r="R1621" s="49">
        <v>35.979999999999997</v>
      </c>
      <c r="S1621" s="49">
        <v>0</v>
      </c>
    </row>
    <row r="1622" spans="1:19" ht="18">
      <c r="A1622" s="49">
        <v>8109</v>
      </c>
      <c r="B1622" s="49" t="s">
        <v>1970</v>
      </c>
      <c r="C1622" s="49">
        <v>9.7899999999999991</v>
      </c>
      <c r="D1622" s="49">
        <v>6.47</v>
      </c>
      <c r="E1622" s="49">
        <v>11.67</v>
      </c>
      <c r="F1622" s="49">
        <v>13.06</v>
      </c>
      <c r="G1622" s="49">
        <v>8.93</v>
      </c>
      <c r="H1622" s="49">
        <v>13.89</v>
      </c>
      <c r="I1622" s="49">
        <v>15.35</v>
      </c>
      <c r="J1622" s="49">
        <v>13.99</v>
      </c>
      <c r="K1622" s="49">
        <v>10.029999999999999</v>
      </c>
      <c r="L1622" s="49">
        <v>13.27</v>
      </c>
      <c r="M1622" s="49">
        <v>13.79</v>
      </c>
      <c r="N1622" s="49">
        <v>11.72</v>
      </c>
      <c r="O1622" s="49">
        <v>12.82</v>
      </c>
      <c r="P1622" s="49">
        <v>19.190000000000001</v>
      </c>
      <c r="Q1622" s="49">
        <v>15.33</v>
      </c>
      <c r="R1622" s="49">
        <v>9.82</v>
      </c>
      <c r="S1622" s="49">
        <v>12.16</v>
      </c>
    </row>
    <row r="1623" spans="1:19" ht="18">
      <c r="A1623" s="49">
        <v>8110</v>
      </c>
      <c r="B1623" s="49" t="s">
        <v>1160</v>
      </c>
      <c r="C1623" s="49">
        <v>7.43</v>
      </c>
      <c r="D1623" s="49">
        <v>4.54</v>
      </c>
      <c r="E1623" s="49">
        <v>0</v>
      </c>
      <c r="F1623" s="49">
        <v>9.5500000000000007</v>
      </c>
      <c r="G1623" s="49">
        <v>5.08</v>
      </c>
      <c r="H1623" s="49">
        <v>0</v>
      </c>
      <c r="I1623" s="49">
        <v>20.98</v>
      </c>
      <c r="J1623" s="49">
        <v>9.83</v>
      </c>
      <c r="K1623" s="49">
        <v>16.8</v>
      </c>
      <c r="L1623" s="49">
        <v>26.59</v>
      </c>
      <c r="M1623" s="49">
        <v>10.59</v>
      </c>
      <c r="N1623" s="49">
        <v>10.09</v>
      </c>
      <c r="O1623" s="49">
        <v>48.54</v>
      </c>
      <c r="P1623" s="49">
        <v>21.23</v>
      </c>
      <c r="Q1623" s="49">
        <v>78.540000000000006</v>
      </c>
      <c r="R1623" s="49">
        <v>11.7</v>
      </c>
      <c r="S1623" s="49">
        <v>0</v>
      </c>
    </row>
    <row r="1624" spans="1:19" ht="18">
      <c r="A1624" s="49">
        <v>8111</v>
      </c>
      <c r="B1624" s="49" t="s">
        <v>1971</v>
      </c>
      <c r="C1624" s="49">
        <v>35.71</v>
      </c>
      <c r="D1624" s="49">
        <v>0</v>
      </c>
      <c r="E1624" s="49">
        <v>0</v>
      </c>
      <c r="F1624" s="49">
        <v>33.6</v>
      </c>
      <c r="G1624" s="49">
        <v>0</v>
      </c>
      <c r="H1624" s="49">
        <v>0</v>
      </c>
      <c r="I1624" s="49">
        <v>0</v>
      </c>
      <c r="J1624" s="49">
        <v>0</v>
      </c>
      <c r="K1624" s="49">
        <v>0</v>
      </c>
      <c r="L1624" s="49">
        <v>0</v>
      </c>
      <c r="M1624" s="49">
        <v>55.88</v>
      </c>
      <c r="N1624" s="49">
        <v>5.36</v>
      </c>
      <c r="O1624" s="49">
        <v>13.96</v>
      </c>
      <c r="P1624" s="49">
        <v>18.059999999999999</v>
      </c>
      <c r="Q1624" s="49">
        <v>20.29</v>
      </c>
      <c r="R1624" s="49">
        <v>4.5</v>
      </c>
      <c r="S1624" s="49">
        <v>31.9</v>
      </c>
    </row>
    <row r="1625" spans="1:19" ht="18">
      <c r="A1625" s="49">
        <v>8112</v>
      </c>
      <c r="B1625" s="49" t="s">
        <v>1161</v>
      </c>
      <c r="C1625" s="49">
        <v>0</v>
      </c>
      <c r="D1625" s="49">
        <v>19.829999999999998</v>
      </c>
      <c r="E1625" s="49">
        <v>41.22</v>
      </c>
      <c r="F1625" s="49">
        <v>10.65</v>
      </c>
      <c r="G1625" s="49">
        <v>9.48</v>
      </c>
      <c r="H1625" s="49">
        <v>21.27</v>
      </c>
      <c r="I1625" s="49">
        <v>17.100000000000001</v>
      </c>
      <c r="J1625" s="49">
        <v>16.899999999999999</v>
      </c>
      <c r="K1625" s="49">
        <v>12.45</v>
      </c>
      <c r="L1625" s="49">
        <v>9.84</v>
      </c>
      <c r="M1625" s="49">
        <v>8.1</v>
      </c>
      <c r="N1625" s="49">
        <v>6.49</v>
      </c>
      <c r="O1625" s="49">
        <v>9.14</v>
      </c>
      <c r="P1625" s="49">
        <v>9.17</v>
      </c>
      <c r="Q1625" s="49">
        <v>7.97</v>
      </c>
      <c r="R1625" s="49">
        <v>5.99</v>
      </c>
      <c r="S1625" s="49">
        <v>20.51</v>
      </c>
    </row>
    <row r="1626" spans="1:19" ht="18">
      <c r="A1626" s="49">
        <v>8114</v>
      </c>
      <c r="B1626" s="49" t="s">
        <v>1162</v>
      </c>
      <c r="C1626" s="49">
        <v>12.21</v>
      </c>
      <c r="D1626" s="49">
        <v>4.92</v>
      </c>
      <c r="E1626" s="49">
        <v>19.57</v>
      </c>
      <c r="F1626" s="49">
        <v>12.55</v>
      </c>
      <c r="G1626" s="49">
        <v>8.57</v>
      </c>
      <c r="H1626" s="49">
        <v>10.95</v>
      </c>
      <c r="I1626" s="49">
        <v>17.62</v>
      </c>
      <c r="J1626" s="49">
        <v>15.16</v>
      </c>
      <c r="K1626" s="49">
        <v>17.149999999999999</v>
      </c>
      <c r="L1626" s="49">
        <v>23.11</v>
      </c>
      <c r="M1626" s="49">
        <v>12.95</v>
      </c>
      <c r="N1626" s="49">
        <v>8.5500000000000007</v>
      </c>
      <c r="O1626" s="49">
        <v>17.579999999999998</v>
      </c>
      <c r="P1626" s="49">
        <v>35.42</v>
      </c>
      <c r="Q1626" s="49">
        <v>28.2</v>
      </c>
      <c r="R1626" s="49">
        <v>8.4600000000000009</v>
      </c>
      <c r="S1626" s="49">
        <v>20.36</v>
      </c>
    </row>
    <row r="1627" spans="1:19" ht="18">
      <c r="A1627" s="49">
        <v>8121</v>
      </c>
      <c r="B1627" s="49" t="s">
        <v>1972</v>
      </c>
      <c r="C1627" s="49">
        <v>87.22</v>
      </c>
      <c r="D1627" s="49">
        <v>10.28</v>
      </c>
      <c r="E1627" s="49">
        <v>0</v>
      </c>
      <c r="F1627" s="49">
        <v>41.3</v>
      </c>
      <c r="G1627" s="49">
        <v>7.89</v>
      </c>
      <c r="H1627" s="49">
        <v>151.88</v>
      </c>
      <c r="I1627" s="49">
        <v>0</v>
      </c>
      <c r="J1627" s="49">
        <v>0</v>
      </c>
      <c r="K1627" s="49">
        <v>0</v>
      </c>
      <c r="L1627" s="49">
        <v>0</v>
      </c>
      <c r="M1627" s="49">
        <v>0</v>
      </c>
      <c r="N1627" s="49">
        <v>33.25</v>
      </c>
      <c r="O1627" s="49">
        <v>0</v>
      </c>
      <c r="P1627" s="49">
        <v>0</v>
      </c>
      <c r="Q1627" s="49">
        <v>243.18</v>
      </c>
      <c r="R1627" s="49">
        <v>95.8</v>
      </c>
      <c r="S1627" s="49">
        <v>0</v>
      </c>
    </row>
    <row r="1628" spans="1:19" ht="18">
      <c r="A1628" s="49">
        <v>8131</v>
      </c>
      <c r="B1628" s="49" t="s">
        <v>1163</v>
      </c>
      <c r="C1628" s="49">
        <v>17.72</v>
      </c>
      <c r="D1628" s="49">
        <v>6.17</v>
      </c>
      <c r="E1628" s="49">
        <v>0</v>
      </c>
      <c r="F1628" s="49">
        <v>11.95</v>
      </c>
      <c r="G1628" s="49">
        <v>6.8</v>
      </c>
      <c r="H1628" s="49">
        <v>18.239999999999998</v>
      </c>
      <c r="I1628" s="49">
        <v>156.82</v>
      </c>
      <c r="J1628" s="49">
        <v>16.170000000000002</v>
      </c>
      <c r="K1628" s="49">
        <v>7.88</v>
      </c>
      <c r="L1628" s="49">
        <v>9.73</v>
      </c>
      <c r="M1628" s="49">
        <v>10.92</v>
      </c>
      <c r="N1628" s="49">
        <v>8.8800000000000008</v>
      </c>
      <c r="O1628" s="49">
        <v>13.87</v>
      </c>
      <c r="P1628" s="49">
        <v>12</v>
      </c>
      <c r="Q1628" s="49">
        <v>11.92</v>
      </c>
      <c r="R1628" s="49">
        <v>7.71</v>
      </c>
      <c r="S1628" s="49">
        <v>21.91</v>
      </c>
    </row>
    <row r="1629" spans="1:19" ht="18">
      <c r="A1629" s="49">
        <v>8147</v>
      </c>
      <c r="B1629" s="49" t="s">
        <v>1973</v>
      </c>
      <c r="C1629" s="49">
        <v>0</v>
      </c>
      <c r="D1629" s="49">
        <v>0</v>
      </c>
      <c r="E1629" s="49">
        <v>0</v>
      </c>
      <c r="F1629" s="49">
        <v>0</v>
      </c>
      <c r="G1629" s="49">
        <v>0</v>
      </c>
      <c r="H1629" s="49">
        <v>0</v>
      </c>
      <c r="I1629" s="49">
        <v>18.03</v>
      </c>
      <c r="J1629" s="49">
        <v>14.54</v>
      </c>
      <c r="K1629" s="49">
        <v>13.84</v>
      </c>
      <c r="L1629" s="49">
        <v>13.98</v>
      </c>
      <c r="M1629" s="49">
        <v>21.35</v>
      </c>
      <c r="N1629" s="49">
        <v>17.62</v>
      </c>
      <c r="O1629" s="49">
        <v>0</v>
      </c>
      <c r="P1629" s="49">
        <v>64.3</v>
      </c>
      <c r="Q1629" s="49">
        <v>65.42</v>
      </c>
      <c r="R1629" s="49">
        <v>18.66</v>
      </c>
      <c r="S1629" s="49">
        <v>27.23</v>
      </c>
    </row>
    <row r="1630" spans="1:19" ht="18">
      <c r="A1630" s="49">
        <v>8150</v>
      </c>
      <c r="B1630" s="49" t="s">
        <v>1164</v>
      </c>
      <c r="C1630" s="49">
        <v>0</v>
      </c>
      <c r="D1630" s="49">
        <v>0</v>
      </c>
      <c r="E1630" s="49">
        <v>0</v>
      </c>
      <c r="F1630" s="49">
        <v>0</v>
      </c>
      <c r="G1630" s="49">
        <v>0</v>
      </c>
      <c r="H1630" s="49">
        <v>0</v>
      </c>
      <c r="I1630" s="49">
        <v>0</v>
      </c>
      <c r="J1630" s="49">
        <v>11.95</v>
      </c>
      <c r="K1630" s="49">
        <v>9.92</v>
      </c>
      <c r="L1630" s="49">
        <v>14.9</v>
      </c>
      <c r="M1630" s="49">
        <v>6.53</v>
      </c>
      <c r="N1630" s="49">
        <v>25.34</v>
      </c>
      <c r="O1630" s="49">
        <v>9.6999999999999993</v>
      </c>
      <c r="P1630" s="49">
        <v>11.3</v>
      </c>
      <c r="Q1630" s="49">
        <v>8.17</v>
      </c>
      <c r="R1630" s="49">
        <v>5.26</v>
      </c>
      <c r="S1630" s="49">
        <v>19.649999999999999</v>
      </c>
    </row>
    <row r="1631" spans="1:19" ht="18">
      <c r="A1631" s="49">
        <v>8155</v>
      </c>
      <c r="B1631" s="49" t="s">
        <v>1974</v>
      </c>
      <c r="C1631" s="49">
        <v>0</v>
      </c>
      <c r="D1631" s="49">
        <v>0</v>
      </c>
      <c r="E1631" s="49">
        <v>0</v>
      </c>
      <c r="F1631" s="49">
        <v>0</v>
      </c>
      <c r="G1631" s="49">
        <v>0</v>
      </c>
      <c r="H1631" s="49">
        <v>13.55</v>
      </c>
      <c r="I1631" s="49">
        <v>12.83</v>
      </c>
      <c r="J1631" s="49">
        <v>16.47</v>
      </c>
      <c r="K1631" s="49">
        <v>8.56</v>
      </c>
      <c r="L1631" s="49">
        <v>9.4</v>
      </c>
      <c r="M1631" s="49">
        <v>15.67</v>
      </c>
      <c r="N1631" s="49">
        <v>7.05</v>
      </c>
      <c r="O1631" s="49">
        <v>30.99</v>
      </c>
      <c r="P1631" s="49">
        <v>11.39</v>
      </c>
      <c r="Q1631" s="49">
        <v>23.75</v>
      </c>
      <c r="R1631" s="49">
        <v>8.3699999999999992</v>
      </c>
      <c r="S1631" s="49">
        <v>39.04</v>
      </c>
    </row>
    <row r="1632" spans="1:19" ht="18">
      <c r="A1632" s="49">
        <v>8163</v>
      </c>
      <c r="B1632" s="49" t="s">
        <v>1165</v>
      </c>
      <c r="C1632" s="49">
        <v>17.350000000000001</v>
      </c>
      <c r="D1632" s="49">
        <v>4.6900000000000004</v>
      </c>
      <c r="E1632" s="49">
        <v>29.82</v>
      </c>
      <c r="F1632" s="49">
        <v>13.83</v>
      </c>
      <c r="G1632" s="49">
        <v>41.58</v>
      </c>
      <c r="H1632" s="49">
        <v>29.54</v>
      </c>
      <c r="I1632" s="49">
        <v>203.64</v>
      </c>
      <c r="J1632" s="49">
        <v>148.75</v>
      </c>
      <c r="K1632" s="49">
        <v>9.17</v>
      </c>
      <c r="L1632" s="49">
        <v>17.22</v>
      </c>
      <c r="M1632" s="49">
        <v>14.39</v>
      </c>
      <c r="N1632" s="49">
        <v>8.1300000000000008</v>
      </c>
      <c r="O1632" s="49">
        <v>12.2</v>
      </c>
      <c r="P1632" s="49">
        <v>14.07</v>
      </c>
      <c r="Q1632" s="49">
        <v>13.03</v>
      </c>
      <c r="R1632" s="49">
        <v>8.7899999999999991</v>
      </c>
      <c r="S1632" s="49">
        <v>8.69</v>
      </c>
    </row>
    <row r="1633" spans="1:19" ht="18">
      <c r="A1633" s="49">
        <v>8171</v>
      </c>
      <c r="B1633" s="49" t="s">
        <v>1975</v>
      </c>
      <c r="C1633" s="49">
        <v>0</v>
      </c>
      <c r="D1633" s="49">
        <v>0</v>
      </c>
      <c r="E1633" s="49">
        <v>0</v>
      </c>
      <c r="F1633" s="49">
        <v>0</v>
      </c>
      <c r="G1633" s="49">
        <v>11.07</v>
      </c>
      <c r="H1633" s="49">
        <v>0</v>
      </c>
      <c r="I1633" s="49">
        <v>0</v>
      </c>
      <c r="J1633" s="49">
        <v>0</v>
      </c>
      <c r="K1633" s="49">
        <v>0</v>
      </c>
      <c r="L1633" s="49">
        <v>0</v>
      </c>
      <c r="M1633" s="49">
        <v>0</v>
      </c>
      <c r="N1633" s="49">
        <v>0</v>
      </c>
      <c r="O1633" s="49">
        <v>2.13</v>
      </c>
      <c r="P1633" s="49">
        <v>0</v>
      </c>
      <c r="Q1633" s="49">
        <v>0</v>
      </c>
      <c r="R1633" s="49">
        <v>27.64</v>
      </c>
      <c r="S1633" s="49">
        <v>191.82</v>
      </c>
    </row>
    <row r="1634" spans="1:19" ht="18">
      <c r="A1634" s="49">
        <v>8176</v>
      </c>
      <c r="B1634" s="49" t="s">
        <v>1976</v>
      </c>
      <c r="C1634" s="49">
        <v>0</v>
      </c>
      <c r="D1634" s="49">
        <v>0</v>
      </c>
      <c r="E1634" s="49">
        <v>0</v>
      </c>
      <c r="F1634" s="49">
        <v>0</v>
      </c>
      <c r="G1634" s="49">
        <v>0</v>
      </c>
      <c r="H1634" s="49">
        <v>0</v>
      </c>
      <c r="I1634" s="49">
        <v>0</v>
      </c>
      <c r="J1634" s="49">
        <v>0</v>
      </c>
      <c r="K1634" s="49">
        <v>0</v>
      </c>
      <c r="L1634" s="49">
        <v>9.3000000000000007</v>
      </c>
      <c r="M1634" s="49">
        <v>45.66</v>
      </c>
      <c r="N1634" s="49">
        <v>11.13</v>
      </c>
      <c r="O1634" s="49">
        <v>65</v>
      </c>
      <c r="P1634" s="49">
        <v>0</v>
      </c>
      <c r="Q1634" s="49">
        <v>0</v>
      </c>
      <c r="R1634" s="49">
        <v>0</v>
      </c>
      <c r="S1634" s="49">
        <v>0</v>
      </c>
    </row>
    <row r="1635" spans="1:19" ht="18">
      <c r="A1635" s="49">
        <v>8182</v>
      </c>
      <c r="B1635" s="49" t="s">
        <v>1977</v>
      </c>
      <c r="C1635" s="49">
        <v>9.8000000000000007</v>
      </c>
      <c r="D1635" s="49">
        <v>4.07</v>
      </c>
      <c r="E1635" s="49">
        <v>29.44</v>
      </c>
      <c r="F1635" s="49">
        <v>12.57</v>
      </c>
      <c r="G1635" s="49">
        <v>11.54</v>
      </c>
      <c r="H1635" s="49">
        <v>88.08</v>
      </c>
      <c r="I1635" s="49">
        <v>27.98</v>
      </c>
      <c r="J1635" s="49">
        <v>12.69</v>
      </c>
      <c r="K1635" s="49">
        <v>13.78</v>
      </c>
      <c r="L1635" s="49">
        <v>19.93</v>
      </c>
      <c r="M1635" s="49">
        <v>12.13</v>
      </c>
      <c r="N1635" s="49">
        <v>12.5</v>
      </c>
      <c r="O1635" s="49">
        <v>22.69</v>
      </c>
      <c r="P1635" s="49">
        <v>16.09</v>
      </c>
      <c r="Q1635" s="49">
        <v>14.23</v>
      </c>
      <c r="R1635" s="49">
        <v>7.2</v>
      </c>
      <c r="S1635" s="49">
        <v>113.28</v>
      </c>
    </row>
    <row r="1636" spans="1:19" ht="18">
      <c r="A1636" s="49">
        <v>8183</v>
      </c>
      <c r="B1636" s="49" t="s">
        <v>1978</v>
      </c>
      <c r="C1636" s="49">
        <v>22.26</v>
      </c>
      <c r="D1636" s="49">
        <v>0</v>
      </c>
      <c r="E1636" s="49">
        <v>0</v>
      </c>
      <c r="F1636" s="49">
        <v>22.77</v>
      </c>
      <c r="G1636" s="49">
        <v>0</v>
      </c>
      <c r="H1636" s="49">
        <v>0</v>
      </c>
      <c r="I1636" s="49">
        <v>0</v>
      </c>
      <c r="J1636" s="49">
        <v>15.55</v>
      </c>
      <c r="K1636" s="49">
        <v>0</v>
      </c>
      <c r="L1636" s="49">
        <v>57.6</v>
      </c>
      <c r="M1636" s="49">
        <v>15.1</v>
      </c>
      <c r="N1636" s="49">
        <v>13.48</v>
      </c>
      <c r="O1636" s="49">
        <v>13.02</v>
      </c>
      <c r="P1636" s="49">
        <v>18.829999999999998</v>
      </c>
      <c r="Q1636" s="49">
        <v>21.03</v>
      </c>
      <c r="R1636" s="49">
        <v>8.5</v>
      </c>
      <c r="S1636" s="49">
        <v>11.71</v>
      </c>
    </row>
    <row r="1637" spans="1:19" ht="18">
      <c r="A1637" s="49">
        <v>8201</v>
      </c>
      <c r="B1637" s="49" t="s">
        <v>1166</v>
      </c>
      <c r="C1637" s="49">
        <v>16.03</v>
      </c>
      <c r="D1637" s="49">
        <v>7.19</v>
      </c>
      <c r="E1637" s="49">
        <v>0</v>
      </c>
      <c r="F1637" s="49">
        <v>0</v>
      </c>
      <c r="G1637" s="49">
        <v>12.17</v>
      </c>
      <c r="H1637" s="49">
        <v>0</v>
      </c>
      <c r="I1637" s="49">
        <v>0</v>
      </c>
      <c r="J1637" s="49">
        <v>0</v>
      </c>
      <c r="K1637" s="49">
        <v>0</v>
      </c>
      <c r="L1637" s="49">
        <v>0</v>
      </c>
      <c r="M1637" s="49">
        <v>0</v>
      </c>
      <c r="N1637" s="49">
        <v>0</v>
      </c>
      <c r="O1637" s="49">
        <v>0</v>
      </c>
      <c r="P1637" s="49">
        <v>0</v>
      </c>
      <c r="Q1637" s="49">
        <v>8.4</v>
      </c>
      <c r="R1637" s="49">
        <v>0</v>
      </c>
      <c r="S1637" s="49">
        <v>0</v>
      </c>
    </row>
    <row r="1638" spans="1:19" ht="18">
      <c r="A1638" s="49">
        <v>8210</v>
      </c>
      <c r="B1638" s="49" t="s">
        <v>1167</v>
      </c>
      <c r="C1638" s="49">
        <v>10.45</v>
      </c>
      <c r="D1638" s="49">
        <v>6.17</v>
      </c>
      <c r="E1638" s="49">
        <v>17.72</v>
      </c>
      <c r="F1638" s="49">
        <v>12.46</v>
      </c>
      <c r="G1638" s="49">
        <v>8.43</v>
      </c>
      <c r="H1638" s="49">
        <v>9.64</v>
      </c>
      <c r="I1638" s="49">
        <v>10.39</v>
      </c>
      <c r="J1638" s="49">
        <v>12.34</v>
      </c>
      <c r="K1638" s="49">
        <v>11.5</v>
      </c>
      <c r="L1638" s="49">
        <v>10.61</v>
      </c>
      <c r="M1638" s="49">
        <v>10.41</v>
      </c>
      <c r="N1638" s="49">
        <v>10.01</v>
      </c>
      <c r="O1638" s="49">
        <v>11.33</v>
      </c>
      <c r="P1638" s="49">
        <v>10.73</v>
      </c>
      <c r="Q1638" s="49">
        <v>10.88</v>
      </c>
      <c r="R1638" s="49">
        <v>8.77</v>
      </c>
      <c r="S1638" s="49">
        <v>47.88</v>
      </c>
    </row>
    <row r="1639" spans="1:19" ht="18">
      <c r="A1639" s="49">
        <v>8213</v>
      </c>
      <c r="B1639" s="49" t="s">
        <v>1168</v>
      </c>
      <c r="C1639" s="49">
        <v>0</v>
      </c>
      <c r="D1639" s="49">
        <v>0</v>
      </c>
      <c r="E1639" s="49">
        <v>23.07</v>
      </c>
      <c r="F1639" s="49">
        <v>9.16</v>
      </c>
      <c r="G1639" s="49">
        <v>11.98</v>
      </c>
      <c r="H1639" s="49">
        <v>7.66</v>
      </c>
      <c r="I1639" s="49">
        <v>8.18</v>
      </c>
      <c r="J1639" s="49">
        <v>9.1</v>
      </c>
      <c r="K1639" s="49">
        <v>7.22</v>
      </c>
      <c r="L1639" s="49">
        <v>10.08</v>
      </c>
      <c r="M1639" s="49">
        <v>9.56</v>
      </c>
      <c r="N1639" s="49">
        <v>7.77</v>
      </c>
      <c r="O1639" s="49">
        <v>7.79</v>
      </c>
      <c r="P1639" s="49">
        <v>6.46</v>
      </c>
      <c r="Q1639" s="49">
        <v>8.02</v>
      </c>
      <c r="R1639" s="49">
        <v>4.68</v>
      </c>
      <c r="S1639" s="49">
        <v>10.83</v>
      </c>
    </row>
    <row r="1640" spans="1:19" ht="18">
      <c r="A1640" s="49">
        <v>8215</v>
      </c>
      <c r="B1640" s="49" t="s">
        <v>1169</v>
      </c>
      <c r="C1640" s="49">
        <v>0</v>
      </c>
      <c r="D1640" s="49">
        <v>0</v>
      </c>
      <c r="E1640" s="49">
        <v>0</v>
      </c>
      <c r="F1640" s="49">
        <v>11.86</v>
      </c>
      <c r="G1640" s="49">
        <v>0</v>
      </c>
      <c r="H1640" s="49">
        <v>0</v>
      </c>
      <c r="I1640" s="49">
        <v>10.56</v>
      </c>
      <c r="J1640" s="49">
        <v>8.43</v>
      </c>
      <c r="K1640" s="49">
        <v>9.98</v>
      </c>
      <c r="L1640" s="49">
        <v>0</v>
      </c>
      <c r="M1640" s="49">
        <v>14.18</v>
      </c>
      <c r="N1640" s="49">
        <v>14.65</v>
      </c>
      <c r="O1640" s="49">
        <v>19.079999999999998</v>
      </c>
      <c r="P1640" s="49">
        <v>34</v>
      </c>
      <c r="Q1640" s="49">
        <v>13.85</v>
      </c>
      <c r="R1640" s="49">
        <v>7.57</v>
      </c>
      <c r="S1640" s="49">
        <v>18.93</v>
      </c>
    </row>
    <row r="1641" spans="1:19" ht="18">
      <c r="A1641" s="49">
        <v>8222</v>
      </c>
      <c r="B1641" s="49" t="s">
        <v>1170</v>
      </c>
      <c r="C1641" s="49">
        <v>0</v>
      </c>
      <c r="D1641" s="49">
        <v>0</v>
      </c>
      <c r="E1641" s="49">
        <v>0</v>
      </c>
      <c r="F1641" s="49">
        <v>0</v>
      </c>
      <c r="G1641" s="49">
        <v>0</v>
      </c>
      <c r="H1641" s="49">
        <v>0</v>
      </c>
      <c r="I1641" s="49">
        <v>0</v>
      </c>
      <c r="J1641" s="49">
        <v>0</v>
      </c>
      <c r="K1641" s="49">
        <v>18.41</v>
      </c>
      <c r="L1641" s="49">
        <v>21.73</v>
      </c>
      <c r="M1641" s="49">
        <v>43.7</v>
      </c>
      <c r="N1641" s="49">
        <v>27.58</v>
      </c>
      <c r="O1641" s="49">
        <v>21.63</v>
      </c>
      <c r="P1641" s="49">
        <v>0</v>
      </c>
      <c r="Q1641" s="49">
        <v>0</v>
      </c>
      <c r="R1641" s="49">
        <v>371.43</v>
      </c>
      <c r="S1641" s="49">
        <v>60.51</v>
      </c>
    </row>
    <row r="1642" spans="1:19" ht="18">
      <c r="A1642" s="49">
        <v>8227</v>
      </c>
      <c r="B1642" s="49" t="s">
        <v>1979</v>
      </c>
      <c r="C1642" s="49">
        <v>0</v>
      </c>
      <c r="D1642" s="49">
        <v>0</v>
      </c>
      <c r="E1642" s="49">
        <v>0</v>
      </c>
      <c r="F1642" s="49">
        <v>0</v>
      </c>
      <c r="G1642" s="49">
        <v>0</v>
      </c>
      <c r="H1642" s="49">
        <v>0</v>
      </c>
      <c r="I1642" s="49">
        <v>0</v>
      </c>
      <c r="J1642" s="49">
        <v>0</v>
      </c>
      <c r="K1642" s="49">
        <v>0</v>
      </c>
      <c r="L1642" s="49">
        <v>0</v>
      </c>
      <c r="M1642" s="49">
        <v>0</v>
      </c>
      <c r="N1642" s="49">
        <v>0</v>
      </c>
      <c r="O1642" s="49">
        <v>0</v>
      </c>
      <c r="P1642" s="49">
        <v>0</v>
      </c>
      <c r="Q1642" s="49">
        <v>0</v>
      </c>
      <c r="R1642" s="49">
        <v>29.67</v>
      </c>
      <c r="S1642" s="49">
        <v>86.73</v>
      </c>
    </row>
    <row r="1643" spans="1:19" ht="18">
      <c r="A1643" s="49">
        <v>8234</v>
      </c>
      <c r="B1643" s="49" t="s">
        <v>1980</v>
      </c>
      <c r="C1643" s="49">
        <v>14.33</v>
      </c>
      <c r="D1643" s="49">
        <v>8.49</v>
      </c>
      <c r="E1643" s="49">
        <v>18.79</v>
      </c>
      <c r="F1643" s="49">
        <v>12.49</v>
      </c>
      <c r="G1643" s="49">
        <v>7.42</v>
      </c>
      <c r="H1643" s="49">
        <v>13.52</v>
      </c>
      <c r="I1643" s="49">
        <v>13.86</v>
      </c>
      <c r="J1643" s="49">
        <v>15.4</v>
      </c>
      <c r="K1643" s="49">
        <v>24.04</v>
      </c>
      <c r="L1643" s="49">
        <v>21.57</v>
      </c>
      <c r="M1643" s="49">
        <v>25.19</v>
      </c>
      <c r="N1643" s="49">
        <v>21.26</v>
      </c>
      <c r="O1643" s="49">
        <v>15.95</v>
      </c>
      <c r="P1643" s="49">
        <v>22.79</v>
      </c>
      <c r="Q1643" s="49">
        <v>29.7</v>
      </c>
      <c r="R1643" s="49">
        <v>4.9800000000000004</v>
      </c>
      <c r="S1643" s="49">
        <v>23.67</v>
      </c>
    </row>
    <row r="1644" spans="1:19" ht="18">
      <c r="A1644" s="49">
        <v>8240</v>
      </c>
      <c r="B1644" s="49" t="s">
        <v>1981</v>
      </c>
      <c r="C1644" s="49">
        <v>13.92</v>
      </c>
      <c r="D1644" s="49">
        <v>18.579999999999998</v>
      </c>
      <c r="E1644" s="49">
        <v>41.97</v>
      </c>
      <c r="F1644" s="49">
        <v>12.36</v>
      </c>
      <c r="G1644" s="49">
        <v>7.66</v>
      </c>
      <c r="H1644" s="49">
        <v>12.24</v>
      </c>
      <c r="I1644" s="49">
        <v>18.170000000000002</v>
      </c>
      <c r="J1644" s="49">
        <v>16</v>
      </c>
      <c r="K1644" s="49">
        <v>0</v>
      </c>
      <c r="L1644" s="49">
        <v>0</v>
      </c>
      <c r="M1644" s="49">
        <v>0</v>
      </c>
      <c r="N1644" s="49">
        <v>8.85</v>
      </c>
      <c r="O1644" s="49">
        <v>19.29</v>
      </c>
      <c r="P1644" s="49">
        <v>16.7</v>
      </c>
      <c r="Q1644" s="49">
        <v>11.95</v>
      </c>
      <c r="R1644" s="49">
        <v>6.26</v>
      </c>
      <c r="S1644" s="49">
        <v>17.170000000000002</v>
      </c>
    </row>
    <row r="1645" spans="1:19" ht="18">
      <c r="A1645" s="49">
        <v>8249</v>
      </c>
      <c r="B1645" s="49" t="s">
        <v>1171</v>
      </c>
      <c r="C1645" s="49">
        <v>8.73</v>
      </c>
      <c r="D1645" s="49">
        <v>9.2899999999999991</v>
      </c>
      <c r="E1645" s="49">
        <v>29.3</v>
      </c>
      <c r="F1645" s="49">
        <v>12.97</v>
      </c>
      <c r="G1645" s="49">
        <v>18.079999999999998</v>
      </c>
      <c r="H1645" s="49">
        <v>9.83</v>
      </c>
      <c r="I1645" s="49">
        <v>23.12</v>
      </c>
      <c r="J1645" s="49">
        <v>9.2899999999999991</v>
      </c>
      <c r="K1645" s="49">
        <v>8.51</v>
      </c>
      <c r="L1645" s="49">
        <v>12</v>
      </c>
      <c r="M1645" s="49">
        <v>13.28</v>
      </c>
      <c r="N1645" s="49">
        <v>16.45</v>
      </c>
      <c r="O1645" s="49">
        <v>11.95</v>
      </c>
      <c r="P1645" s="49">
        <v>18.73</v>
      </c>
      <c r="Q1645" s="49">
        <v>14.05</v>
      </c>
      <c r="R1645" s="49">
        <v>11.13</v>
      </c>
      <c r="S1645" s="49">
        <v>16.48</v>
      </c>
    </row>
    <row r="1646" spans="1:19" ht="18">
      <c r="A1646" s="49">
        <v>8255</v>
      </c>
      <c r="B1646" s="49" t="s">
        <v>1982</v>
      </c>
      <c r="C1646" s="49">
        <v>25.12</v>
      </c>
      <c r="D1646" s="49">
        <v>8.89</v>
      </c>
      <c r="E1646" s="49">
        <v>41.32</v>
      </c>
      <c r="F1646" s="49">
        <v>22.97</v>
      </c>
      <c r="G1646" s="49">
        <v>14.96</v>
      </c>
      <c r="H1646" s="49">
        <v>15.17</v>
      </c>
      <c r="I1646" s="49">
        <v>17.77</v>
      </c>
      <c r="J1646" s="49">
        <v>12.67</v>
      </c>
      <c r="K1646" s="49">
        <v>13.86</v>
      </c>
      <c r="L1646" s="49">
        <v>14.18</v>
      </c>
      <c r="M1646" s="49">
        <v>15.57</v>
      </c>
      <c r="N1646" s="49">
        <v>13.41</v>
      </c>
      <c r="O1646" s="49">
        <v>19.23</v>
      </c>
      <c r="P1646" s="49">
        <v>45.95</v>
      </c>
      <c r="Q1646" s="49">
        <v>43.26</v>
      </c>
      <c r="R1646" s="49">
        <v>28.34</v>
      </c>
      <c r="S1646" s="49">
        <v>24.7</v>
      </c>
    </row>
    <row r="1647" spans="1:19" ht="18">
      <c r="A1647" s="49">
        <v>8261</v>
      </c>
      <c r="B1647" s="49" t="s">
        <v>1172</v>
      </c>
      <c r="C1647" s="49">
        <v>19.41</v>
      </c>
      <c r="D1647" s="49">
        <v>17.02</v>
      </c>
      <c r="E1647" s="49">
        <v>28.66</v>
      </c>
      <c r="F1647" s="49">
        <v>18.57</v>
      </c>
      <c r="G1647" s="49">
        <v>0</v>
      </c>
      <c r="H1647" s="49">
        <v>0</v>
      </c>
      <c r="I1647" s="49">
        <v>0</v>
      </c>
      <c r="J1647" s="49">
        <v>237</v>
      </c>
      <c r="K1647" s="49">
        <v>12.45</v>
      </c>
      <c r="L1647" s="49">
        <v>30.49</v>
      </c>
      <c r="M1647" s="49">
        <v>176.11</v>
      </c>
      <c r="N1647" s="49">
        <v>16.04</v>
      </c>
      <c r="O1647" s="49">
        <v>29.22</v>
      </c>
      <c r="P1647" s="49">
        <v>32.06</v>
      </c>
      <c r="Q1647" s="49">
        <v>17.84</v>
      </c>
      <c r="R1647" s="49">
        <v>11.85</v>
      </c>
      <c r="S1647" s="49">
        <v>33.200000000000003</v>
      </c>
    </row>
    <row r="1648" spans="1:19" ht="18">
      <c r="A1648" s="49">
        <v>8271</v>
      </c>
      <c r="B1648" s="49" t="s">
        <v>1173</v>
      </c>
      <c r="C1648" s="49">
        <v>0</v>
      </c>
      <c r="D1648" s="49">
        <v>0</v>
      </c>
      <c r="E1648" s="49">
        <v>0</v>
      </c>
      <c r="F1648" s="49">
        <v>9.02</v>
      </c>
      <c r="G1648" s="49">
        <v>8.89</v>
      </c>
      <c r="H1648" s="49">
        <v>8.6</v>
      </c>
      <c r="I1648" s="49">
        <v>8.9499999999999993</v>
      </c>
      <c r="J1648" s="49">
        <v>9.18</v>
      </c>
      <c r="K1648" s="49">
        <v>9.15</v>
      </c>
      <c r="L1648" s="49">
        <v>10.91</v>
      </c>
      <c r="M1648" s="49">
        <v>10.24</v>
      </c>
      <c r="N1648" s="49">
        <v>6.83</v>
      </c>
      <c r="O1648" s="49">
        <v>12.35</v>
      </c>
      <c r="P1648" s="49">
        <v>11.8</v>
      </c>
      <c r="Q1648" s="49">
        <v>10.76</v>
      </c>
      <c r="R1648" s="49">
        <v>9.06</v>
      </c>
      <c r="S1648" s="49">
        <v>14.74</v>
      </c>
    </row>
    <row r="1649" spans="1:19" ht="18">
      <c r="A1649" s="49">
        <v>8277</v>
      </c>
      <c r="B1649" s="49" t="s">
        <v>1983</v>
      </c>
      <c r="C1649" s="49">
        <v>0</v>
      </c>
      <c r="D1649" s="49">
        <v>0</v>
      </c>
      <c r="E1649" s="49">
        <v>0</v>
      </c>
      <c r="F1649" s="49">
        <v>10.19</v>
      </c>
      <c r="G1649" s="49">
        <v>0</v>
      </c>
      <c r="H1649" s="49">
        <v>0</v>
      </c>
      <c r="I1649" s="49">
        <v>43.06</v>
      </c>
      <c r="J1649" s="49">
        <v>39.51</v>
      </c>
      <c r="K1649" s="49">
        <v>0</v>
      </c>
      <c r="L1649" s="49">
        <v>0</v>
      </c>
      <c r="M1649" s="49">
        <v>0</v>
      </c>
      <c r="N1649" s="49">
        <v>0</v>
      </c>
      <c r="O1649" s="49">
        <v>0</v>
      </c>
      <c r="P1649" s="49">
        <v>0</v>
      </c>
      <c r="Q1649" s="49">
        <v>0</v>
      </c>
      <c r="R1649" s="49">
        <v>0</v>
      </c>
      <c r="S1649" s="49">
        <v>0</v>
      </c>
    </row>
    <row r="1650" spans="1:19" ht="18">
      <c r="A1650" s="49">
        <v>8279</v>
      </c>
      <c r="B1650" s="49" t="s">
        <v>1984</v>
      </c>
      <c r="C1650" s="49">
        <v>0</v>
      </c>
      <c r="D1650" s="49">
        <v>0</v>
      </c>
      <c r="E1650" s="49">
        <v>0</v>
      </c>
      <c r="F1650" s="49">
        <v>0</v>
      </c>
      <c r="G1650" s="49">
        <v>0</v>
      </c>
      <c r="H1650" s="49">
        <v>0</v>
      </c>
      <c r="I1650" s="49">
        <v>0</v>
      </c>
      <c r="J1650" s="49">
        <v>0</v>
      </c>
      <c r="K1650" s="49">
        <v>0</v>
      </c>
      <c r="L1650" s="49">
        <v>27.19</v>
      </c>
      <c r="M1650" s="49">
        <v>22.25</v>
      </c>
      <c r="N1650" s="49">
        <v>19.07</v>
      </c>
      <c r="O1650" s="49">
        <v>14.97</v>
      </c>
      <c r="P1650" s="49">
        <v>13</v>
      </c>
      <c r="Q1650" s="49">
        <v>14.41</v>
      </c>
      <c r="R1650" s="49">
        <v>13.76</v>
      </c>
      <c r="S1650" s="49">
        <v>14.38</v>
      </c>
    </row>
    <row r="1651" spans="1:19" ht="18">
      <c r="A1651" s="49">
        <v>8284</v>
      </c>
      <c r="B1651" s="49" t="s">
        <v>1985</v>
      </c>
      <c r="C1651" s="49">
        <v>0</v>
      </c>
      <c r="D1651" s="49">
        <v>0</v>
      </c>
      <c r="E1651" s="49">
        <v>0</v>
      </c>
      <c r="F1651" s="49">
        <v>0</v>
      </c>
      <c r="G1651" s="49">
        <v>0</v>
      </c>
      <c r="H1651" s="49">
        <v>0</v>
      </c>
      <c r="I1651" s="49">
        <v>0</v>
      </c>
      <c r="J1651" s="49">
        <v>0</v>
      </c>
      <c r="K1651" s="49">
        <v>0</v>
      </c>
      <c r="L1651" s="49">
        <v>0</v>
      </c>
      <c r="M1651" s="49">
        <v>0</v>
      </c>
      <c r="N1651" s="49">
        <v>0</v>
      </c>
      <c r="O1651" s="49">
        <v>0</v>
      </c>
      <c r="P1651" s="49">
        <v>17.45</v>
      </c>
      <c r="Q1651" s="49">
        <v>13.17</v>
      </c>
      <c r="R1651" s="49">
        <v>8.59</v>
      </c>
      <c r="S1651" s="49">
        <v>13.94</v>
      </c>
    </row>
    <row r="1652" spans="1:19" ht="18">
      <c r="A1652" s="49">
        <v>8289</v>
      </c>
      <c r="B1652" s="49" t="s">
        <v>1986</v>
      </c>
      <c r="C1652" s="49">
        <v>0</v>
      </c>
      <c r="D1652" s="49">
        <v>7.02</v>
      </c>
      <c r="E1652" s="49">
        <v>112.33</v>
      </c>
      <c r="F1652" s="49">
        <v>9.35</v>
      </c>
      <c r="G1652" s="49">
        <v>9.3800000000000008</v>
      </c>
      <c r="H1652" s="49">
        <v>0</v>
      </c>
      <c r="I1652" s="49">
        <v>31.55</v>
      </c>
      <c r="J1652" s="49">
        <v>15.52</v>
      </c>
      <c r="K1652" s="49">
        <v>12.84</v>
      </c>
      <c r="L1652" s="49">
        <v>35</v>
      </c>
      <c r="M1652" s="49">
        <v>38.1</v>
      </c>
      <c r="N1652" s="49">
        <v>7.82</v>
      </c>
      <c r="O1652" s="49">
        <v>75.790000000000006</v>
      </c>
      <c r="P1652" s="49">
        <v>0</v>
      </c>
      <c r="Q1652" s="49">
        <v>18.559999999999999</v>
      </c>
      <c r="R1652" s="49">
        <v>6.18</v>
      </c>
      <c r="S1652" s="49">
        <v>15.98</v>
      </c>
    </row>
    <row r="1653" spans="1:19" ht="18">
      <c r="A1653" s="49">
        <v>8291</v>
      </c>
      <c r="B1653" s="49" t="s">
        <v>1987</v>
      </c>
      <c r="C1653" s="49">
        <v>0</v>
      </c>
      <c r="D1653" s="49">
        <v>0</v>
      </c>
      <c r="E1653" s="49">
        <v>0</v>
      </c>
      <c r="F1653" s="49">
        <v>0</v>
      </c>
      <c r="G1653" s="49">
        <v>48.57</v>
      </c>
      <c r="H1653" s="49">
        <v>0</v>
      </c>
      <c r="I1653" s="49">
        <v>0</v>
      </c>
      <c r="J1653" s="49">
        <v>0</v>
      </c>
      <c r="K1653" s="49">
        <v>0</v>
      </c>
      <c r="L1653" s="49">
        <v>0</v>
      </c>
      <c r="M1653" s="49">
        <v>0</v>
      </c>
      <c r="N1653" s="49">
        <v>0</v>
      </c>
      <c r="O1653" s="49">
        <v>0</v>
      </c>
      <c r="P1653" s="49">
        <v>0</v>
      </c>
      <c r="Q1653" s="49">
        <v>0</v>
      </c>
      <c r="R1653" s="49">
        <v>0</v>
      </c>
      <c r="S1653" s="49">
        <v>0</v>
      </c>
    </row>
    <row r="1654" spans="1:19" ht="18">
      <c r="A1654" s="49">
        <v>8299</v>
      </c>
      <c r="B1654" s="49" t="s">
        <v>1988</v>
      </c>
      <c r="C1654" s="49">
        <v>13.55</v>
      </c>
      <c r="D1654" s="49">
        <v>13.95</v>
      </c>
      <c r="E1654" s="49">
        <v>26.51</v>
      </c>
      <c r="F1654" s="49">
        <v>14.79</v>
      </c>
      <c r="G1654" s="49">
        <v>15.64</v>
      </c>
      <c r="H1654" s="49">
        <v>11.86</v>
      </c>
      <c r="I1654" s="49">
        <v>11.39</v>
      </c>
      <c r="J1654" s="49">
        <v>12.76</v>
      </c>
      <c r="K1654" s="49">
        <v>12.29</v>
      </c>
      <c r="L1654" s="49">
        <v>11.39</v>
      </c>
      <c r="M1654" s="49">
        <v>9.68</v>
      </c>
      <c r="N1654" s="49">
        <v>9.34</v>
      </c>
      <c r="O1654" s="49">
        <v>16.41</v>
      </c>
      <c r="P1654" s="49">
        <v>10.63</v>
      </c>
      <c r="Q1654" s="49">
        <v>9.9700000000000006</v>
      </c>
      <c r="R1654" s="49">
        <v>8.8699999999999992</v>
      </c>
      <c r="S1654" s="49">
        <v>59.56</v>
      </c>
    </row>
    <row r="1655" spans="1:19" ht="18">
      <c r="A1655" s="49">
        <v>8341</v>
      </c>
      <c r="B1655" s="49" t="s">
        <v>1174</v>
      </c>
      <c r="C1655" s="49">
        <v>0</v>
      </c>
      <c r="D1655" s="49">
        <v>0</v>
      </c>
      <c r="E1655" s="49">
        <v>0</v>
      </c>
      <c r="F1655" s="49">
        <v>0</v>
      </c>
      <c r="G1655" s="49">
        <v>0</v>
      </c>
      <c r="H1655" s="49">
        <v>0</v>
      </c>
      <c r="I1655" s="49">
        <v>0</v>
      </c>
      <c r="J1655" s="49">
        <v>0</v>
      </c>
      <c r="K1655" s="49">
        <v>32.29</v>
      </c>
      <c r="L1655" s="49">
        <v>21.52</v>
      </c>
      <c r="M1655" s="49">
        <v>36.43</v>
      </c>
      <c r="N1655" s="49">
        <v>30.48</v>
      </c>
      <c r="O1655" s="49">
        <v>26.2</v>
      </c>
      <c r="P1655" s="49">
        <v>26.75</v>
      </c>
      <c r="Q1655" s="49">
        <v>23.2</v>
      </c>
      <c r="R1655" s="49">
        <v>20.07</v>
      </c>
      <c r="S1655" s="49">
        <v>31.25</v>
      </c>
    </row>
    <row r="1656" spans="1:19" ht="18">
      <c r="A1656" s="49">
        <v>8342</v>
      </c>
      <c r="B1656" s="49" t="s">
        <v>1989</v>
      </c>
      <c r="C1656" s="49">
        <v>0</v>
      </c>
      <c r="D1656" s="49">
        <v>0</v>
      </c>
      <c r="E1656" s="49">
        <v>0</v>
      </c>
      <c r="F1656" s="49">
        <v>0</v>
      </c>
      <c r="G1656" s="49">
        <v>0</v>
      </c>
      <c r="H1656" s="49">
        <v>0</v>
      </c>
      <c r="I1656" s="49">
        <v>0</v>
      </c>
      <c r="J1656" s="49">
        <v>0</v>
      </c>
      <c r="K1656" s="49">
        <v>0</v>
      </c>
      <c r="L1656" s="49">
        <v>0</v>
      </c>
      <c r="M1656" s="49">
        <v>10.15</v>
      </c>
      <c r="N1656" s="49">
        <v>16.239999999999998</v>
      </c>
      <c r="O1656" s="49">
        <v>14.54</v>
      </c>
      <c r="P1656" s="49">
        <v>13.43</v>
      </c>
      <c r="Q1656" s="49">
        <v>9.4</v>
      </c>
      <c r="R1656" s="49">
        <v>7.72</v>
      </c>
      <c r="S1656" s="49">
        <v>16.52</v>
      </c>
    </row>
    <row r="1657" spans="1:19" ht="18">
      <c r="A1657" s="49">
        <v>8349</v>
      </c>
      <c r="B1657" s="49" t="s">
        <v>1990</v>
      </c>
      <c r="C1657" s="49">
        <v>23.99</v>
      </c>
      <c r="D1657" s="49">
        <v>28.15</v>
      </c>
      <c r="E1657" s="49">
        <v>0</v>
      </c>
      <c r="F1657" s="49">
        <v>21.6</v>
      </c>
      <c r="G1657" s="49">
        <v>18.84</v>
      </c>
      <c r="H1657" s="49">
        <v>13.25</v>
      </c>
      <c r="I1657" s="49">
        <v>23.42</v>
      </c>
      <c r="J1657" s="49">
        <v>32.69</v>
      </c>
      <c r="K1657" s="49">
        <v>14.31</v>
      </c>
      <c r="L1657" s="49">
        <v>17.079999999999998</v>
      </c>
      <c r="M1657" s="49">
        <v>16.079999999999998</v>
      </c>
      <c r="N1657" s="49">
        <v>13.56</v>
      </c>
      <c r="O1657" s="49">
        <v>25.19</v>
      </c>
      <c r="P1657" s="49">
        <v>40.6</v>
      </c>
      <c r="Q1657" s="49">
        <v>16.940000000000001</v>
      </c>
      <c r="R1657" s="49">
        <v>12.29</v>
      </c>
      <c r="S1657" s="49">
        <v>22.92</v>
      </c>
    </row>
    <row r="1658" spans="1:19" ht="18">
      <c r="A1658" s="49">
        <v>8354</v>
      </c>
      <c r="B1658" s="49" t="s">
        <v>1991</v>
      </c>
      <c r="C1658" s="49">
        <v>9.01</v>
      </c>
      <c r="D1658" s="49">
        <v>8.57</v>
      </c>
      <c r="E1658" s="49">
        <v>0</v>
      </c>
      <c r="F1658" s="49">
        <v>229</v>
      </c>
      <c r="G1658" s="49">
        <v>238.75</v>
      </c>
      <c r="H1658" s="49">
        <v>3.04</v>
      </c>
      <c r="I1658" s="49">
        <v>4.5599999999999996</v>
      </c>
      <c r="J1658" s="49">
        <v>10.84</v>
      </c>
      <c r="K1658" s="49">
        <v>8.82</v>
      </c>
      <c r="L1658" s="49">
        <v>90.79</v>
      </c>
      <c r="M1658" s="49">
        <v>7.77</v>
      </c>
      <c r="N1658" s="49">
        <v>20.67</v>
      </c>
      <c r="O1658" s="49">
        <v>5.31</v>
      </c>
      <c r="P1658" s="49">
        <v>60.71</v>
      </c>
      <c r="Q1658" s="49">
        <v>372.5</v>
      </c>
      <c r="R1658" s="49">
        <v>3.12</v>
      </c>
      <c r="S1658" s="49">
        <v>31.04</v>
      </c>
    </row>
    <row r="1659" spans="1:19" ht="18">
      <c r="A1659" s="49">
        <v>8358</v>
      </c>
      <c r="B1659" s="49" t="s">
        <v>1992</v>
      </c>
      <c r="C1659" s="49">
        <v>0</v>
      </c>
      <c r="D1659" s="49">
        <v>0</v>
      </c>
      <c r="E1659" s="49">
        <v>0</v>
      </c>
      <c r="F1659" s="49">
        <v>9.18</v>
      </c>
      <c r="G1659" s="49">
        <v>27.76</v>
      </c>
      <c r="H1659" s="49">
        <v>0</v>
      </c>
      <c r="I1659" s="49">
        <v>0</v>
      </c>
      <c r="J1659" s="49">
        <v>0</v>
      </c>
      <c r="K1659" s="49">
        <v>0</v>
      </c>
      <c r="L1659" s="49">
        <v>28.89</v>
      </c>
      <c r="M1659" s="49">
        <v>8.5299999999999994</v>
      </c>
      <c r="N1659" s="49">
        <v>8.77</v>
      </c>
      <c r="O1659" s="49">
        <v>25.95</v>
      </c>
      <c r="P1659" s="49">
        <v>24.23</v>
      </c>
      <c r="Q1659" s="49">
        <v>16.760000000000002</v>
      </c>
      <c r="R1659" s="49">
        <v>9.98</v>
      </c>
      <c r="S1659" s="49">
        <v>29.56</v>
      </c>
    </row>
    <row r="1660" spans="1:19" ht="18">
      <c r="A1660" s="49">
        <v>8367</v>
      </c>
      <c r="B1660" s="49" t="s">
        <v>1175</v>
      </c>
      <c r="C1660" s="49">
        <v>0</v>
      </c>
      <c r="D1660" s="49">
        <v>0</v>
      </c>
      <c r="E1660" s="49">
        <v>0</v>
      </c>
      <c r="F1660" s="49">
        <v>0</v>
      </c>
      <c r="G1660" s="49">
        <v>0</v>
      </c>
      <c r="H1660" s="49">
        <v>0</v>
      </c>
      <c r="I1660" s="49">
        <v>0</v>
      </c>
      <c r="J1660" s="49">
        <v>0</v>
      </c>
      <c r="K1660" s="49">
        <v>0</v>
      </c>
      <c r="L1660" s="49">
        <v>0</v>
      </c>
      <c r="M1660" s="49">
        <v>0</v>
      </c>
      <c r="N1660" s="49">
        <v>15.9</v>
      </c>
      <c r="O1660" s="49">
        <v>14.69</v>
      </c>
      <c r="P1660" s="49">
        <v>11.63</v>
      </c>
      <c r="Q1660" s="49">
        <v>7.5</v>
      </c>
      <c r="R1660" s="49">
        <v>12.61</v>
      </c>
      <c r="S1660" s="49">
        <v>15.63</v>
      </c>
    </row>
    <row r="1661" spans="1:19" ht="18">
      <c r="A1661" s="49">
        <v>8374</v>
      </c>
      <c r="B1661" s="49" t="s">
        <v>1176</v>
      </c>
      <c r="C1661" s="49">
        <v>9.83</v>
      </c>
      <c r="D1661" s="49">
        <v>4.67</v>
      </c>
      <c r="E1661" s="49">
        <v>25.57</v>
      </c>
      <c r="F1661" s="49">
        <v>13.12</v>
      </c>
      <c r="G1661" s="49">
        <v>6.29</v>
      </c>
      <c r="H1661" s="49">
        <v>47.42</v>
      </c>
      <c r="I1661" s="49">
        <v>0</v>
      </c>
      <c r="J1661" s="49">
        <v>0</v>
      </c>
      <c r="K1661" s="49">
        <v>0</v>
      </c>
      <c r="L1661" s="49">
        <v>0</v>
      </c>
      <c r="M1661" s="49">
        <v>16.12</v>
      </c>
      <c r="N1661" s="49">
        <v>10.38</v>
      </c>
      <c r="O1661" s="49">
        <v>0</v>
      </c>
      <c r="P1661" s="49">
        <v>152.06</v>
      </c>
      <c r="Q1661" s="49">
        <v>23.35</v>
      </c>
      <c r="R1661" s="49">
        <v>29.95</v>
      </c>
      <c r="S1661" s="49">
        <v>0</v>
      </c>
    </row>
    <row r="1662" spans="1:19" ht="18">
      <c r="A1662" s="49">
        <v>8383</v>
      </c>
      <c r="B1662" s="49" t="s">
        <v>1993</v>
      </c>
      <c r="C1662" s="49">
        <v>10.72</v>
      </c>
      <c r="D1662" s="49">
        <v>15.21</v>
      </c>
      <c r="E1662" s="49">
        <v>0</v>
      </c>
      <c r="F1662" s="49">
        <v>13</v>
      </c>
      <c r="G1662" s="49">
        <v>12.57</v>
      </c>
      <c r="H1662" s="49">
        <v>25.98</v>
      </c>
      <c r="I1662" s="49">
        <v>16.100000000000001</v>
      </c>
      <c r="J1662" s="49">
        <v>12.54</v>
      </c>
      <c r="K1662" s="49">
        <v>15.7</v>
      </c>
      <c r="L1662" s="49">
        <v>11.25</v>
      </c>
      <c r="M1662" s="49">
        <v>11.61</v>
      </c>
      <c r="N1662" s="49">
        <v>11.15</v>
      </c>
      <c r="O1662" s="49">
        <v>15.44</v>
      </c>
      <c r="P1662" s="49">
        <v>13.3</v>
      </c>
      <c r="Q1662" s="49">
        <v>15.37</v>
      </c>
      <c r="R1662" s="49">
        <v>11.83</v>
      </c>
      <c r="S1662" s="49">
        <v>36.29</v>
      </c>
    </row>
    <row r="1663" spans="1:19" ht="18">
      <c r="A1663" s="49">
        <v>8390</v>
      </c>
      <c r="B1663" s="49" t="s">
        <v>1994</v>
      </c>
      <c r="C1663" s="49">
        <v>0</v>
      </c>
      <c r="D1663" s="49">
        <v>8.1199999999999992</v>
      </c>
      <c r="E1663" s="49">
        <v>146.15</v>
      </c>
      <c r="F1663" s="49">
        <v>15.93</v>
      </c>
      <c r="G1663" s="49">
        <v>10.43</v>
      </c>
      <c r="H1663" s="49">
        <v>18.420000000000002</v>
      </c>
      <c r="I1663" s="49">
        <v>46.89</v>
      </c>
      <c r="J1663" s="49">
        <v>38.19</v>
      </c>
      <c r="K1663" s="49">
        <v>70.5</v>
      </c>
      <c r="L1663" s="49">
        <v>0</v>
      </c>
      <c r="M1663" s="49">
        <v>55.14</v>
      </c>
      <c r="N1663" s="49">
        <v>16.41</v>
      </c>
      <c r="O1663" s="49">
        <v>15.69</v>
      </c>
      <c r="P1663" s="49">
        <v>13.39</v>
      </c>
      <c r="Q1663" s="49">
        <v>11.1</v>
      </c>
      <c r="R1663" s="49">
        <v>9.43</v>
      </c>
      <c r="S1663" s="49">
        <v>9.36</v>
      </c>
    </row>
    <row r="1664" spans="1:19" ht="18">
      <c r="A1664" s="49">
        <v>8401</v>
      </c>
      <c r="B1664" s="49" t="s">
        <v>1995</v>
      </c>
      <c r="C1664" s="49">
        <v>0</v>
      </c>
      <c r="D1664" s="49">
        <v>0</v>
      </c>
      <c r="E1664" s="49">
        <v>0</v>
      </c>
      <c r="F1664" s="49">
        <v>13.38</v>
      </c>
      <c r="G1664" s="49">
        <v>10.19</v>
      </c>
      <c r="H1664" s="49">
        <v>8.89</v>
      </c>
      <c r="I1664" s="49">
        <v>0</v>
      </c>
      <c r="J1664" s="49">
        <v>10.73</v>
      </c>
      <c r="K1664" s="49">
        <v>10.86</v>
      </c>
      <c r="L1664" s="49">
        <v>1000</v>
      </c>
      <c r="M1664" s="49">
        <v>9.73</v>
      </c>
      <c r="N1664" s="49">
        <v>12.82</v>
      </c>
      <c r="O1664" s="49">
        <v>23.85</v>
      </c>
      <c r="P1664" s="49">
        <v>18.97</v>
      </c>
      <c r="Q1664" s="49">
        <v>11.25</v>
      </c>
      <c r="R1664" s="49">
        <v>7.54</v>
      </c>
      <c r="S1664" s="49">
        <v>12.84</v>
      </c>
    </row>
    <row r="1665" spans="1:19" ht="18">
      <c r="A1665" s="49">
        <v>8403</v>
      </c>
      <c r="B1665" s="49" t="s">
        <v>1996</v>
      </c>
      <c r="C1665" s="49">
        <v>0</v>
      </c>
      <c r="D1665" s="49">
        <v>0</v>
      </c>
      <c r="E1665" s="49">
        <v>0</v>
      </c>
      <c r="F1665" s="49">
        <v>0</v>
      </c>
      <c r="G1665" s="49">
        <v>15.24</v>
      </c>
      <c r="H1665" s="49">
        <v>31.74</v>
      </c>
      <c r="I1665" s="49">
        <v>28.93</v>
      </c>
      <c r="J1665" s="49">
        <v>17.760000000000002</v>
      </c>
      <c r="K1665" s="49">
        <v>13.06</v>
      </c>
      <c r="L1665" s="49">
        <v>22.89</v>
      </c>
      <c r="M1665" s="49">
        <v>22.19</v>
      </c>
      <c r="N1665" s="49">
        <v>30</v>
      </c>
      <c r="O1665" s="49">
        <v>12.8</v>
      </c>
      <c r="P1665" s="49">
        <v>18.760000000000002</v>
      </c>
      <c r="Q1665" s="49">
        <v>14.75</v>
      </c>
      <c r="R1665" s="49">
        <v>9.39</v>
      </c>
      <c r="S1665" s="49">
        <v>96.76</v>
      </c>
    </row>
    <row r="1666" spans="1:19" ht="18">
      <c r="A1666" s="49">
        <v>8404</v>
      </c>
      <c r="B1666" s="49" t="s">
        <v>1177</v>
      </c>
      <c r="C1666" s="49">
        <v>0</v>
      </c>
      <c r="D1666" s="49">
        <v>0</v>
      </c>
      <c r="E1666" s="49">
        <v>0</v>
      </c>
      <c r="F1666" s="49">
        <v>0</v>
      </c>
      <c r="G1666" s="49">
        <v>9.9</v>
      </c>
      <c r="H1666" s="49">
        <v>24.14</v>
      </c>
      <c r="I1666" s="49">
        <v>13.75</v>
      </c>
      <c r="J1666" s="49">
        <v>12.01</v>
      </c>
      <c r="K1666" s="49">
        <v>15.65</v>
      </c>
      <c r="L1666" s="49">
        <v>19.2</v>
      </c>
      <c r="M1666" s="49">
        <v>34.97</v>
      </c>
      <c r="N1666" s="49">
        <v>45</v>
      </c>
      <c r="O1666" s="49">
        <v>31.52</v>
      </c>
      <c r="P1666" s="49">
        <v>20.84</v>
      </c>
      <c r="Q1666" s="49">
        <v>9.1</v>
      </c>
      <c r="R1666" s="49">
        <v>10.08</v>
      </c>
      <c r="S1666" s="49">
        <v>0</v>
      </c>
    </row>
    <row r="1667" spans="1:19" ht="18">
      <c r="A1667" s="49">
        <v>8409</v>
      </c>
      <c r="B1667" s="49" t="s">
        <v>1997</v>
      </c>
      <c r="C1667" s="49">
        <v>0</v>
      </c>
      <c r="D1667" s="49">
        <v>0</v>
      </c>
      <c r="E1667" s="49">
        <v>0</v>
      </c>
      <c r="F1667" s="49">
        <v>0</v>
      </c>
      <c r="G1667" s="49">
        <v>0</v>
      </c>
      <c r="H1667" s="49">
        <v>0</v>
      </c>
      <c r="I1667" s="49">
        <v>0</v>
      </c>
      <c r="J1667" s="49">
        <v>0</v>
      </c>
      <c r="K1667" s="49">
        <v>0</v>
      </c>
      <c r="L1667" s="49">
        <v>0</v>
      </c>
      <c r="M1667" s="49">
        <v>0</v>
      </c>
      <c r="N1667" s="49">
        <v>0</v>
      </c>
      <c r="O1667" s="49">
        <v>0</v>
      </c>
      <c r="P1667" s="49">
        <v>0</v>
      </c>
      <c r="Q1667" s="49">
        <v>0</v>
      </c>
      <c r="R1667" s="49">
        <v>42.11</v>
      </c>
      <c r="S1667" s="49">
        <v>0</v>
      </c>
    </row>
    <row r="1668" spans="1:19" ht="18">
      <c r="A1668" s="49">
        <v>8410</v>
      </c>
      <c r="B1668" s="49" t="s">
        <v>1998</v>
      </c>
      <c r="C1668" s="49">
        <v>0</v>
      </c>
      <c r="D1668" s="49">
        <v>0</v>
      </c>
      <c r="E1668" s="49">
        <v>0</v>
      </c>
      <c r="F1668" s="49">
        <v>0</v>
      </c>
      <c r="G1668" s="49">
        <v>8.56</v>
      </c>
      <c r="H1668" s="49">
        <v>30.49</v>
      </c>
      <c r="I1668" s="49">
        <v>11.35</v>
      </c>
      <c r="J1668" s="49">
        <v>6.65</v>
      </c>
      <c r="K1668" s="49">
        <v>33.58</v>
      </c>
      <c r="L1668" s="49">
        <v>14.7</v>
      </c>
      <c r="M1668" s="49">
        <v>13.03</v>
      </c>
      <c r="N1668" s="49">
        <v>8.41</v>
      </c>
      <c r="O1668" s="49">
        <v>11.28</v>
      </c>
      <c r="P1668" s="49">
        <v>10.65</v>
      </c>
      <c r="Q1668" s="49">
        <v>14.86</v>
      </c>
      <c r="R1668" s="49">
        <v>23.6</v>
      </c>
      <c r="S1668" s="49">
        <v>15.91</v>
      </c>
    </row>
    <row r="1669" spans="1:19" ht="18">
      <c r="A1669" s="49">
        <v>8411</v>
      </c>
      <c r="B1669" s="49" t="s">
        <v>1178</v>
      </c>
      <c r="C1669" s="49">
        <v>0</v>
      </c>
      <c r="D1669" s="49">
        <v>0</v>
      </c>
      <c r="E1669" s="49">
        <v>0</v>
      </c>
      <c r="F1669" s="49">
        <v>0</v>
      </c>
      <c r="G1669" s="49">
        <v>9.66</v>
      </c>
      <c r="H1669" s="49">
        <v>12.36</v>
      </c>
      <c r="I1669" s="49">
        <v>13.03</v>
      </c>
      <c r="J1669" s="49">
        <v>14.96</v>
      </c>
      <c r="K1669" s="49">
        <v>24.17</v>
      </c>
      <c r="L1669" s="49">
        <v>13.61</v>
      </c>
      <c r="M1669" s="49">
        <v>14.83</v>
      </c>
      <c r="N1669" s="49">
        <v>0</v>
      </c>
      <c r="O1669" s="49">
        <v>0</v>
      </c>
      <c r="P1669" s="49">
        <v>17.75</v>
      </c>
      <c r="Q1669" s="49">
        <v>27.42</v>
      </c>
      <c r="R1669" s="49">
        <v>0</v>
      </c>
      <c r="S1669" s="49">
        <v>46.06</v>
      </c>
    </row>
    <row r="1670" spans="1:19" ht="18">
      <c r="A1670" s="49">
        <v>8415</v>
      </c>
      <c r="B1670" s="49" t="s">
        <v>1999</v>
      </c>
      <c r="C1670" s="49">
        <v>0</v>
      </c>
      <c r="D1670" s="49">
        <v>0</v>
      </c>
      <c r="E1670" s="49">
        <v>0</v>
      </c>
      <c r="F1670" s="49">
        <v>0</v>
      </c>
      <c r="G1670" s="49">
        <v>0</v>
      </c>
      <c r="H1670" s="49">
        <v>0</v>
      </c>
      <c r="I1670" s="49">
        <v>0</v>
      </c>
      <c r="J1670" s="49">
        <v>0</v>
      </c>
      <c r="K1670" s="49">
        <v>0</v>
      </c>
      <c r="L1670" s="49">
        <v>38.799999999999997</v>
      </c>
      <c r="M1670" s="49">
        <v>20.53</v>
      </c>
      <c r="N1670" s="49">
        <v>31.7</v>
      </c>
      <c r="O1670" s="49">
        <v>25.69</v>
      </c>
      <c r="P1670" s="49">
        <v>58.62</v>
      </c>
      <c r="Q1670" s="49">
        <v>13.02</v>
      </c>
      <c r="R1670" s="49">
        <v>8.1199999999999992</v>
      </c>
      <c r="S1670" s="49">
        <v>10.86</v>
      </c>
    </row>
    <row r="1671" spans="1:19" ht="18">
      <c r="A1671" s="49">
        <v>8416</v>
      </c>
      <c r="B1671" s="49" t="s">
        <v>2000</v>
      </c>
      <c r="C1671" s="49">
        <v>0</v>
      </c>
      <c r="D1671" s="49">
        <v>0</v>
      </c>
      <c r="E1671" s="49">
        <v>0</v>
      </c>
      <c r="F1671" s="49">
        <v>0</v>
      </c>
      <c r="G1671" s="49">
        <v>0</v>
      </c>
      <c r="H1671" s="49">
        <v>12.29</v>
      </c>
      <c r="I1671" s="49">
        <v>34.130000000000003</v>
      </c>
      <c r="J1671" s="49">
        <v>18.62</v>
      </c>
      <c r="K1671" s="49">
        <v>14.62</v>
      </c>
      <c r="L1671" s="49">
        <v>10.43</v>
      </c>
      <c r="M1671" s="49">
        <v>11.8</v>
      </c>
      <c r="N1671" s="49">
        <v>12.72</v>
      </c>
      <c r="O1671" s="49">
        <v>12.65</v>
      </c>
      <c r="P1671" s="49">
        <v>11.77</v>
      </c>
      <c r="Q1671" s="49">
        <v>11.47</v>
      </c>
      <c r="R1671" s="49">
        <v>10.47</v>
      </c>
      <c r="S1671" s="49">
        <v>13.25</v>
      </c>
    </row>
    <row r="1672" spans="1:19" ht="18">
      <c r="A1672" s="49">
        <v>8418</v>
      </c>
      <c r="B1672" s="49" t="s">
        <v>2001</v>
      </c>
      <c r="C1672" s="49">
        <v>0</v>
      </c>
      <c r="D1672" s="49">
        <v>0</v>
      </c>
      <c r="E1672" s="49">
        <v>0</v>
      </c>
      <c r="F1672" s="49">
        <v>0</v>
      </c>
      <c r="G1672" s="49">
        <v>10.85</v>
      </c>
      <c r="H1672" s="49">
        <v>38.380000000000003</v>
      </c>
      <c r="I1672" s="49">
        <v>21.85</v>
      </c>
      <c r="J1672" s="49">
        <v>123</v>
      </c>
      <c r="K1672" s="49">
        <v>0</v>
      </c>
      <c r="L1672" s="49">
        <v>0</v>
      </c>
      <c r="M1672" s="49">
        <v>0</v>
      </c>
      <c r="N1672" s="49">
        <v>0</v>
      </c>
      <c r="O1672" s="49">
        <v>0</v>
      </c>
      <c r="P1672" s="49">
        <v>0</v>
      </c>
      <c r="Q1672" s="49">
        <v>0</v>
      </c>
      <c r="R1672" s="49">
        <v>0</v>
      </c>
      <c r="S1672" s="49">
        <v>0</v>
      </c>
    </row>
    <row r="1673" spans="1:19" ht="18">
      <c r="A1673" s="49">
        <v>8420</v>
      </c>
      <c r="B1673" s="49" t="s">
        <v>2002</v>
      </c>
      <c r="C1673" s="49">
        <v>0</v>
      </c>
      <c r="D1673" s="49">
        <v>0</v>
      </c>
      <c r="E1673" s="49">
        <v>0</v>
      </c>
      <c r="F1673" s="49">
        <v>0</v>
      </c>
      <c r="G1673" s="49">
        <v>0</v>
      </c>
      <c r="H1673" s="49">
        <v>0</v>
      </c>
      <c r="I1673" s="49">
        <v>0</v>
      </c>
      <c r="J1673" s="49">
        <v>37.67</v>
      </c>
      <c r="K1673" s="49">
        <v>9.7899999999999991</v>
      </c>
      <c r="L1673" s="49">
        <v>9.91</v>
      </c>
      <c r="M1673" s="49">
        <v>36.799999999999997</v>
      </c>
      <c r="N1673" s="49">
        <v>19.28</v>
      </c>
      <c r="O1673" s="49">
        <v>9.31</v>
      </c>
      <c r="P1673" s="49">
        <v>22.98</v>
      </c>
      <c r="Q1673" s="49">
        <v>10.220000000000001</v>
      </c>
      <c r="R1673" s="49">
        <v>8.09</v>
      </c>
      <c r="S1673" s="49">
        <v>0</v>
      </c>
    </row>
    <row r="1674" spans="1:19" ht="18">
      <c r="A1674" s="49">
        <v>8421</v>
      </c>
      <c r="B1674" s="49" t="s">
        <v>2003</v>
      </c>
      <c r="C1674" s="49">
        <v>0</v>
      </c>
      <c r="D1674" s="49">
        <v>0</v>
      </c>
      <c r="E1674" s="49">
        <v>0</v>
      </c>
      <c r="F1674" s="49">
        <v>0</v>
      </c>
      <c r="G1674" s="49">
        <v>0</v>
      </c>
      <c r="H1674" s="49">
        <v>28.97</v>
      </c>
      <c r="I1674" s="49">
        <v>0</v>
      </c>
      <c r="J1674" s="49">
        <v>0</v>
      </c>
      <c r="K1674" s="49">
        <v>0</v>
      </c>
      <c r="L1674" s="49">
        <v>12.87</v>
      </c>
      <c r="M1674" s="49">
        <v>28.97</v>
      </c>
      <c r="N1674" s="49">
        <v>28.52</v>
      </c>
      <c r="O1674" s="49">
        <v>48.65</v>
      </c>
      <c r="P1674" s="49">
        <v>0</v>
      </c>
      <c r="Q1674" s="49">
        <v>0</v>
      </c>
      <c r="R1674" s="49">
        <v>1.82</v>
      </c>
      <c r="S1674" s="49">
        <v>0</v>
      </c>
    </row>
    <row r="1675" spans="1:19" ht="18">
      <c r="A1675" s="49">
        <v>8422</v>
      </c>
      <c r="B1675" s="49" t="s">
        <v>1179</v>
      </c>
      <c r="C1675" s="49">
        <v>0</v>
      </c>
      <c r="D1675" s="49">
        <v>0</v>
      </c>
      <c r="E1675" s="49">
        <v>0</v>
      </c>
      <c r="F1675" s="49">
        <v>0</v>
      </c>
      <c r="G1675" s="49">
        <v>19.739999999999998</v>
      </c>
      <c r="H1675" s="49">
        <v>14.33</v>
      </c>
      <c r="I1675" s="49">
        <v>17.29</v>
      </c>
      <c r="J1675" s="49">
        <v>14.81</v>
      </c>
      <c r="K1675" s="49">
        <v>16.010000000000002</v>
      </c>
      <c r="L1675" s="49">
        <v>12.28</v>
      </c>
      <c r="M1675" s="49">
        <v>14.45</v>
      </c>
      <c r="N1675" s="49">
        <v>13.04</v>
      </c>
      <c r="O1675" s="49">
        <v>15.03</v>
      </c>
      <c r="P1675" s="49">
        <v>15.03</v>
      </c>
      <c r="Q1675" s="49">
        <v>20.48</v>
      </c>
      <c r="R1675" s="49">
        <v>16.440000000000001</v>
      </c>
      <c r="S1675" s="49">
        <v>17</v>
      </c>
    </row>
    <row r="1676" spans="1:19" ht="18">
      <c r="A1676" s="49">
        <v>8423</v>
      </c>
      <c r="B1676" s="49" t="s">
        <v>2004</v>
      </c>
      <c r="C1676" s="49">
        <v>0</v>
      </c>
      <c r="D1676" s="49">
        <v>0</v>
      </c>
      <c r="E1676" s="49">
        <v>0</v>
      </c>
      <c r="F1676" s="49">
        <v>0</v>
      </c>
      <c r="G1676" s="49">
        <v>0</v>
      </c>
      <c r="H1676" s="49">
        <v>21.7</v>
      </c>
      <c r="I1676" s="49">
        <v>15.36</v>
      </c>
      <c r="J1676" s="49">
        <v>17.5</v>
      </c>
      <c r="K1676" s="49">
        <v>17.5</v>
      </c>
      <c r="L1676" s="49">
        <v>0</v>
      </c>
      <c r="M1676" s="49">
        <v>13.21</v>
      </c>
      <c r="N1676" s="49">
        <v>14.56</v>
      </c>
      <c r="O1676" s="49">
        <v>10.98</v>
      </c>
      <c r="P1676" s="49">
        <v>21.92</v>
      </c>
      <c r="Q1676" s="49">
        <v>23.59</v>
      </c>
      <c r="R1676" s="49">
        <v>16.010000000000002</v>
      </c>
      <c r="S1676" s="49">
        <v>21.05</v>
      </c>
    </row>
    <row r="1677" spans="1:19" ht="18">
      <c r="A1677" s="49">
        <v>8424</v>
      </c>
      <c r="B1677" s="49" t="s">
        <v>2005</v>
      </c>
      <c r="C1677" s="49">
        <v>0</v>
      </c>
      <c r="D1677" s="49">
        <v>0</v>
      </c>
      <c r="E1677" s="49">
        <v>0</v>
      </c>
      <c r="F1677" s="49">
        <v>0</v>
      </c>
      <c r="G1677" s="49">
        <v>0</v>
      </c>
      <c r="H1677" s="49">
        <v>8.1300000000000008</v>
      </c>
      <c r="I1677" s="49">
        <v>12.1</v>
      </c>
      <c r="J1677" s="49">
        <v>10.25</v>
      </c>
      <c r="K1677" s="49">
        <v>10.050000000000001</v>
      </c>
      <c r="L1677" s="49">
        <v>9.6</v>
      </c>
      <c r="M1677" s="49">
        <v>10.34</v>
      </c>
      <c r="N1677" s="49">
        <v>10.97</v>
      </c>
      <c r="O1677" s="49">
        <v>10.35</v>
      </c>
      <c r="P1677" s="49">
        <v>13.44</v>
      </c>
      <c r="Q1677" s="49">
        <v>12.82</v>
      </c>
      <c r="R1677" s="49">
        <v>12.96</v>
      </c>
      <c r="S1677" s="49">
        <v>15.23</v>
      </c>
    </row>
    <row r="1678" spans="1:19" ht="18">
      <c r="A1678" s="49">
        <v>8426</v>
      </c>
      <c r="B1678" s="49" t="s">
        <v>2006</v>
      </c>
      <c r="C1678" s="49">
        <v>0</v>
      </c>
      <c r="D1678" s="49">
        <v>0</v>
      </c>
      <c r="E1678" s="49">
        <v>0</v>
      </c>
      <c r="F1678" s="49">
        <v>0</v>
      </c>
      <c r="G1678" s="49">
        <v>12.27</v>
      </c>
      <c r="H1678" s="49">
        <v>10.58</v>
      </c>
      <c r="I1678" s="49">
        <v>14.7</v>
      </c>
      <c r="J1678" s="49">
        <v>11.05</v>
      </c>
      <c r="K1678" s="49">
        <v>10.51</v>
      </c>
      <c r="L1678" s="49">
        <v>9.08</v>
      </c>
      <c r="M1678" s="49">
        <v>11.98</v>
      </c>
      <c r="N1678" s="49">
        <v>0</v>
      </c>
      <c r="O1678" s="49">
        <v>26.4</v>
      </c>
      <c r="P1678" s="49">
        <v>0</v>
      </c>
      <c r="Q1678" s="49">
        <v>0</v>
      </c>
      <c r="R1678" s="49">
        <v>97.07</v>
      </c>
      <c r="S1678" s="49">
        <v>15.64</v>
      </c>
    </row>
    <row r="1679" spans="1:19" ht="18">
      <c r="A1679" s="49">
        <v>8429</v>
      </c>
      <c r="B1679" s="49" t="s">
        <v>1180</v>
      </c>
      <c r="C1679" s="49">
        <v>0</v>
      </c>
      <c r="D1679" s="49">
        <v>0</v>
      </c>
      <c r="E1679" s="49">
        <v>0</v>
      </c>
      <c r="F1679" s="49">
        <v>0</v>
      </c>
      <c r="G1679" s="49">
        <v>0</v>
      </c>
      <c r="H1679" s="49">
        <v>10.95</v>
      </c>
      <c r="I1679" s="49">
        <v>13.35</v>
      </c>
      <c r="J1679" s="49">
        <v>8.8000000000000007</v>
      </c>
      <c r="K1679" s="49">
        <v>7.44</v>
      </c>
      <c r="L1679" s="49">
        <v>6.37</v>
      </c>
      <c r="M1679" s="49">
        <v>6.61</v>
      </c>
      <c r="N1679" s="49">
        <v>9.59</v>
      </c>
      <c r="O1679" s="49">
        <v>10.77</v>
      </c>
      <c r="P1679" s="49">
        <v>0</v>
      </c>
      <c r="Q1679" s="49">
        <v>0</v>
      </c>
      <c r="R1679" s="49">
        <v>0</v>
      </c>
      <c r="S1679" s="49">
        <v>0</v>
      </c>
    </row>
    <row r="1680" spans="1:19" ht="18">
      <c r="A1680" s="49">
        <v>8431</v>
      </c>
      <c r="B1680" s="49" t="s">
        <v>2007</v>
      </c>
      <c r="C1680" s="49">
        <v>0</v>
      </c>
      <c r="D1680" s="49">
        <v>0</v>
      </c>
      <c r="E1680" s="49">
        <v>0</v>
      </c>
      <c r="F1680" s="49">
        <v>0</v>
      </c>
      <c r="G1680" s="49">
        <v>0</v>
      </c>
      <c r="H1680" s="49">
        <v>0</v>
      </c>
      <c r="I1680" s="49">
        <v>0</v>
      </c>
      <c r="J1680" s="49">
        <v>0</v>
      </c>
      <c r="K1680" s="49">
        <v>0</v>
      </c>
      <c r="L1680" s="49">
        <v>0</v>
      </c>
      <c r="M1680" s="49">
        <v>0</v>
      </c>
      <c r="N1680" s="49">
        <v>0</v>
      </c>
      <c r="O1680" s="49">
        <v>0</v>
      </c>
      <c r="P1680" s="49">
        <v>77.56</v>
      </c>
      <c r="Q1680" s="49">
        <v>19.850000000000001</v>
      </c>
      <c r="R1680" s="49">
        <v>21.85</v>
      </c>
      <c r="S1680" s="49">
        <v>264.76</v>
      </c>
    </row>
    <row r="1681" spans="1:19" ht="18">
      <c r="A1681" s="49">
        <v>8432</v>
      </c>
      <c r="B1681" s="49" t="s">
        <v>2008</v>
      </c>
      <c r="C1681" s="49">
        <v>0</v>
      </c>
      <c r="D1681" s="49">
        <v>0</v>
      </c>
      <c r="E1681" s="49">
        <v>0</v>
      </c>
      <c r="F1681" s="49">
        <v>0</v>
      </c>
      <c r="G1681" s="49">
        <v>0</v>
      </c>
      <c r="H1681" s="49">
        <v>24.69</v>
      </c>
      <c r="I1681" s="49">
        <v>24.33</v>
      </c>
      <c r="J1681" s="49">
        <v>28.33</v>
      </c>
      <c r="K1681" s="49">
        <v>48.76</v>
      </c>
      <c r="L1681" s="49">
        <v>16.73</v>
      </c>
      <c r="M1681" s="49">
        <v>39.07</v>
      </c>
      <c r="N1681" s="49">
        <v>44.06</v>
      </c>
      <c r="O1681" s="49">
        <v>33.840000000000003</v>
      </c>
      <c r="P1681" s="49">
        <v>42.99</v>
      </c>
      <c r="Q1681" s="49">
        <v>36.479999999999997</v>
      </c>
      <c r="R1681" s="49">
        <v>26.71</v>
      </c>
      <c r="S1681" s="49">
        <v>35.93</v>
      </c>
    </row>
    <row r="1682" spans="1:19" ht="18">
      <c r="A1682" s="49">
        <v>8433</v>
      </c>
      <c r="B1682" s="49" t="s">
        <v>2009</v>
      </c>
      <c r="C1682" s="49">
        <v>0</v>
      </c>
      <c r="D1682" s="49">
        <v>0</v>
      </c>
      <c r="E1682" s="49">
        <v>0</v>
      </c>
      <c r="F1682" s="49">
        <v>0</v>
      </c>
      <c r="G1682" s="49">
        <v>0</v>
      </c>
      <c r="H1682" s="49">
        <v>14.28</v>
      </c>
      <c r="I1682" s="49">
        <v>13.16</v>
      </c>
      <c r="J1682" s="49">
        <v>13.11</v>
      </c>
      <c r="K1682" s="49">
        <v>21.62</v>
      </c>
      <c r="L1682" s="49">
        <v>21.98</v>
      </c>
      <c r="M1682" s="49">
        <v>10.41</v>
      </c>
      <c r="N1682" s="49">
        <v>9.75</v>
      </c>
      <c r="O1682" s="49">
        <v>11.57</v>
      </c>
      <c r="P1682" s="49">
        <v>14.38</v>
      </c>
      <c r="Q1682" s="49">
        <v>12.68</v>
      </c>
      <c r="R1682" s="49">
        <v>6.01</v>
      </c>
      <c r="S1682" s="49">
        <v>10.72</v>
      </c>
    </row>
    <row r="1683" spans="1:19" ht="18">
      <c r="A1683" s="49">
        <v>8435</v>
      </c>
      <c r="B1683" s="49" t="s">
        <v>2010</v>
      </c>
      <c r="C1683" s="49">
        <v>0</v>
      </c>
      <c r="D1683" s="49">
        <v>0</v>
      </c>
      <c r="E1683" s="49">
        <v>0</v>
      </c>
      <c r="F1683" s="49">
        <v>0</v>
      </c>
      <c r="G1683" s="49">
        <v>0</v>
      </c>
      <c r="H1683" s="49">
        <v>14.41</v>
      </c>
      <c r="I1683" s="49">
        <v>15.66</v>
      </c>
      <c r="J1683" s="49">
        <v>14.97</v>
      </c>
      <c r="K1683" s="49">
        <v>14.58</v>
      </c>
      <c r="L1683" s="49">
        <v>14.33</v>
      </c>
      <c r="M1683" s="49">
        <v>14.14</v>
      </c>
      <c r="N1683" s="49">
        <v>14.44</v>
      </c>
      <c r="O1683" s="49">
        <v>13.86</v>
      </c>
      <c r="P1683" s="49">
        <v>15.19</v>
      </c>
      <c r="Q1683" s="49">
        <v>15.03</v>
      </c>
      <c r="R1683" s="49">
        <v>14.57</v>
      </c>
      <c r="S1683" s="49">
        <v>14.26</v>
      </c>
    </row>
    <row r="1684" spans="1:19" ht="18">
      <c r="A1684" s="49">
        <v>8436</v>
      </c>
      <c r="B1684" s="49" t="s">
        <v>2011</v>
      </c>
      <c r="C1684" s="49">
        <v>0</v>
      </c>
      <c r="D1684" s="49">
        <v>0</v>
      </c>
      <c r="E1684" s="49">
        <v>0</v>
      </c>
      <c r="F1684" s="49">
        <v>0</v>
      </c>
      <c r="G1684" s="49">
        <v>0</v>
      </c>
      <c r="H1684" s="49">
        <v>0</v>
      </c>
      <c r="I1684" s="49">
        <v>30.12</v>
      </c>
      <c r="J1684" s="49">
        <v>31.74</v>
      </c>
      <c r="K1684" s="49">
        <v>31.71</v>
      </c>
      <c r="L1684" s="49">
        <v>27</v>
      </c>
      <c r="M1684" s="49">
        <v>39.1</v>
      </c>
      <c r="N1684" s="49">
        <v>38.67</v>
      </c>
      <c r="O1684" s="49">
        <v>14.84</v>
      </c>
      <c r="P1684" s="49">
        <v>13.07</v>
      </c>
      <c r="Q1684" s="49">
        <v>13.75</v>
      </c>
      <c r="R1684" s="49">
        <v>32.82</v>
      </c>
      <c r="S1684" s="49">
        <v>20.41</v>
      </c>
    </row>
    <row r="1685" spans="1:19" ht="18">
      <c r="A1685" s="49">
        <v>8437</v>
      </c>
      <c r="B1685" s="49" t="s">
        <v>2012</v>
      </c>
      <c r="C1685" s="49">
        <v>0</v>
      </c>
      <c r="D1685" s="49">
        <v>0</v>
      </c>
      <c r="E1685" s="49">
        <v>0</v>
      </c>
      <c r="F1685" s="49">
        <v>0</v>
      </c>
      <c r="G1685" s="49">
        <v>0</v>
      </c>
      <c r="H1685" s="49">
        <v>0</v>
      </c>
      <c r="I1685" s="49">
        <v>0</v>
      </c>
      <c r="J1685" s="49">
        <v>0</v>
      </c>
      <c r="K1685" s="49">
        <v>19.89</v>
      </c>
      <c r="L1685" s="49">
        <v>19.52</v>
      </c>
      <c r="M1685" s="49">
        <v>20.57</v>
      </c>
      <c r="N1685" s="49">
        <v>15.05</v>
      </c>
      <c r="O1685" s="49">
        <v>18.53</v>
      </c>
      <c r="P1685" s="49">
        <v>25.63</v>
      </c>
      <c r="Q1685" s="49">
        <v>31.47</v>
      </c>
      <c r="R1685" s="49">
        <v>23.71</v>
      </c>
      <c r="S1685" s="49">
        <v>30.85</v>
      </c>
    </row>
    <row r="1686" spans="1:19" ht="18">
      <c r="A1686" s="49">
        <v>8438</v>
      </c>
      <c r="B1686" s="49" t="s">
        <v>1181</v>
      </c>
      <c r="C1686" s="49">
        <v>0</v>
      </c>
      <c r="D1686" s="49">
        <v>0</v>
      </c>
      <c r="E1686" s="49">
        <v>0</v>
      </c>
      <c r="F1686" s="49">
        <v>0</v>
      </c>
      <c r="G1686" s="49">
        <v>0</v>
      </c>
      <c r="H1686" s="49">
        <v>0</v>
      </c>
      <c r="I1686" s="49">
        <v>0</v>
      </c>
      <c r="J1686" s="49">
        <v>0</v>
      </c>
      <c r="K1686" s="49">
        <v>0</v>
      </c>
      <c r="L1686" s="49">
        <v>0</v>
      </c>
      <c r="M1686" s="49">
        <v>0</v>
      </c>
      <c r="N1686" s="49">
        <v>0</v>
      </c>
      <c r="O1686" s="49">
        <v>0</v>
      </c>
      <c r="P1686" s="49">
        <v>0</v>
      </c>
      <c r="Q1686" s="49">
        <v>0</v>
      </c>
      <c r="R1686" s="49">
        <v>11.63</v>
      </c>
      <c r="S1686" s="49">
        <v>28.48</v>
      </c>
    </row>
    <row r="1687" spans="1:19" ht="18">
      <c r="A1687" s="49">
        <v>8440</v>
      </c>
      <c r="B1687" s="49" t="s">
        <v>2013</v>
      </c>
      <c r="C1687" s="49">
        <v>0</v>
      </c>
      <c r="D1687" s="49">
        <v>0</v>
      </c>
      <c r="E1687" s="49">
        <v>0</v>
      </c>
      <c r="F1687" s="49">
        <v>0</v>
      </c>
      <c r="G1687" s="49">
        <v>0</v>
      </c>
      <c r="H1687" s="49">
        <v>0</v>
      </c>
      <c r="I1687" s="49">
        <v>0</v>
      </c>
      <c r="J1687" s="49">
        <v>0</v>
      </c>
      <c r="K1687" s="49">
        <v>0</v>
      </c>
      <c r="L1687" s="49">
        <v>0</v>
      </c>
      <c r="M1687" s="49">
        <v>0</v>
      </c>
      <c r="N1687" s="49">
        <v>22.73</v>
      </c>
      <c r="O1687" s="49">
        <v>41.14</v>
      </c>
      <c r="P1687" s="49">
        <v>35.299999999999997</v>
      </c>
      <c r="Q1687" s="49">
        <v>21.6</v>
      </c>
      <c r="R1687" s="49">
        <v>57.43</v>
      </c>
      <c r="S1687" s="49">
        <v>21.66</v>
      </c>
    </row>
    <row r="1688" spans="1:19" ht="18">
      <c r="A1688" s="49">
        <v>8442</v>
      </c>
      <c r="B1688" s="49" t="s">
        <v>1182</v>
      </c>
      <c r="C1688" s="49">
        <v>0</v>
      </c>
      <c r="D1688" s="49">
        <v>0</v>
      </c>
      <c r="E1688" s="49">
        <v>0</v>
      </c>
      <c r="F1688" s="49">
        <v>0</v>
      </c>
      <c r="G1688" s="49">
        <v>0</v>
      </c>
      <c r="H1688" s="49">
        <v>0</v>
      </c>
      <c r="I1688" s="49">
        <v>0</v>
      </c>
      <c r="J1688" s="49">
        <v>0</v>
      </c>
      <c r="K1688" s="49">
        <v>0</v>
      </c>
      <c r="L1688" s="49">
        <v>8.7899999999999991</v>
      </c>
      <c r="M1688" s="49">
        <v>0</v>
      </c>
      <c r="N1688" s="49">
        <v>0</v>
      </c>
      <c r="O1688" s="49">
        <v>11.93</v>
      </c>
      <c r="P1688" s="49">
        <v>204.35</v>
      </c>
      <c r="Q1688" s="49">
        <v>0</v>
      </c>
      <c r="R1688" s="49">
        <v>8.82</v>
      </c>
      <c r="S1688" s="49">
        <v>10.01</v>
      </c>
    </row>
    <row r="1689" spans="1:19" ht="18">
      <c r="A1689" s="49">
        <v>8443</v>
      </c>
      <c r="B1689" s="49" t="s">
        <v>1183</v>
      </c>
      <c r="C1689" s="49">
        <v>0</v>
      </c>
      <c r="D1689" s="49">
        <v>0</v>
      </c>
      <c r="E1689" s="49">
        <v>0</v>
      </c>
      <c r="F1689" s="49">
        <v>0</v>
      </c>
      <c r="G1689" s="49">
        <v>0</v>
      </c>
      <c r="H1689" s="49">
        <v>0</v>
      </c>
      <c r="I1689" s="49">
        <v>0</v>
      </c>
      <c r="J1689" s="49">
        <v>23.53</v>
      </c>
      <c r="K1689" s="49">
        <v>16.98</v>
      </c>
      <c r="L1689" s="49">
        <v>25.58</v>
      </c>
      <c r="M1689" s="49">
        <v>0</v>
      </c>
      <c r="N1689" s="49">
        <v>24.39</v>
      </c>
      <c r="O1689" s="49">
        <v>0</v>
      </c>
      <c r="P1689" s="49">
        <v>0</v>
      </c>
      <c r="Q1689" s="49">
        <v>0</v>
      </c>
      <c r="R1689" s="49">
        <v>0</v>
      </c>
      <c r="S1689" s="49">
        <v>0</v>
      </c>
    </row>
    <row r="1690" spans="1:19" ht="18">
      <c r="A1690" s="49">
        <v>8444</v>
      </c>
      <c r="B1690" s="49" t="s">
        <v>2014</v>
      </c>
      <c r="C1690" s="49">
        <v>0</v>
      </c>
      <c r="D1690" s="49">
        <v>0</v>
      </c>
      <c r="E1690" s="49">
        <v>0</v>
      </c>
      <c r="F1690" s="49">
        <v>0</v>
      </c>
      <c r="G1690" s="49">
        <v>0</v>
      </c>
      <c r="H1690" s="49">
        <v>0</v>
      </c>
      <c r="I1690" s="49">
        <v>0</v>
      </c>
      <c r="J1690" s="49">
        <v>0</v>
      </c>
      <c r="K1690" s="49">
        <v>17.59</v>
      </c>
      <c r="L1690" s="49">
        <v>33.81</v>
      </c>
      <c r="M1690" s="49">
        <v>14.74</v>
      </c>
      <c r="N1690" s="49">
        <v>283.77999999999997</v>
      </c>
      <c r="O1690" s="49">
        <v>0</v>
      </c>
      <c r="P1690" s="49">
        <v>0</v>
      </c>
      <c r="Q1690" s="49">
        <v>56.3</v>
      </c>
      <c r="R1690" s="49">
        <v>0</v>
      </c>
      <c r="S1690" s="49">
        <v>0</v>
      </c>
    </row>
    <row r="1691" spans="1:19" ht="18">
      <c r="A1691" s="49">
        <v>8446</v>
      </c>
      <c r="B1691" s="49" t="s">
        <v>2015</v>
      </c>
      <c r="C1691" s="49">
        <v>0</v>
      </c>
      <c r="D1691" s="49">
        <v>0</v>
      </c>
      <c r="E1691" s="49">
        <v>0</v>
      </c>
      <c r="F1691" s="49">
        <v>0</v>
      </c>
      <c r="G1691" s="49">
        <v>0</v>
      </c>
      <c r="H1691" s="49">
        <v>0</v>
      </c>
      <c r="I1691" s="49">
        <v>40.729999999999997</v>
      </c>
      <c r="J1691" s="49">
        <v>23.91</v>
      </c>
      <c r="K1691" s="49">
        <v>20.54</v>
      </c>
      <c r="L1691" s="49">
        <v>19.18</v>
      </c>
      <c r="M1691" s="49">
        <v>16.11</v>
      </c>
      <c r="N1691" s="49">
        <v>9.81</v>
      </c>
      <c r="O1691" s="49">
        <v>12.23</v>
      </c>
      <c r="P1691" s="49">
        <v>10.85</v>
      </c>
      <c r="Q1691" s="49">
        <v>12.28</v>
      </c>
      <c r="R1691" s="49">
        <v>13.91</v>
      </c>
      <c r="S1691" s="49">
        <v>12.56</v>
      </c>
    </row>
    <row r="1692" spans="1:19" ht="18">
      <c r="A1692" s="49">
        <v>8450</v>
      </c>
      <c r="B1692" s="49" t="s">
        <v>2016</v>
      </c>
      <c r="C1692" s="49">
        <v>0</v>
      </c>
      <c r="D1692" s="49">
        <v>0</v>
      </c>
      <c r="E1692" s="49">
        <v>0</v>
      </c>
      <c r="F1692" s="49">
        <v>0</v>
      </c>
      <c r="G1692" s="49">
        <v>0</v>
      </c>
      <c r="H1692" s="49">
        <v>0</v>
      </c>
      <c r="I1692" s="49">
        <v>0</v>
      </c>
      <c r="J1692" s="49">
        <v>34.15</v>
      </c>
      <c r="K1692" s="49">
        <v>247.81</v>
      </c>
      <c r="L1692" s="49">
        <v>26.59</v>
      </c>
      <c r="M1692" s="49">
        <v>32</v>
      </c>
      <c r="N1692" s="49">
        <v>33.43</v>
      </c>
      <c r="O1692" s="49">
        <v>0</v>
      </c>
      <c r="P1692" s="49">
        <v>0</v>
      </c>
      <c r="Q1692" s="49">
        <v>0</v>
      </c>
      <c r="R1692" s="49">
        <v>0</v>
      </c>
      <c r="S1692" s="49">
        <v>0</v>
      </c>
    </row>
    <row r="1693" spans="1:19" ht="18">
      <c r="A1693" s="49">
        <v>8454</v>
      </c>
      <c r="B1693" s="49" t="s">
        <v>1184</v>
      </c>
      <c r="C1693" s="49">
        <v>0</v>
      </c>
      <c r="D1693" s="49">
        <v>0</v>
      </c>
      <c r="E1693" s="49">
        <v>0</v>
      </c>
      <c r="F1693" s="49">
        <v>0</v>
      </c>
      <c r="G1693" s="49">
        <v>0</v>
      </c>
      <c r="H1693" s="49">
        <v>0</v>
      </c>
      <c r="I1693" s="49">
        <v>0</v>
      </c>
      <c r="J1693" s="49">
        <v>76.42</v>
      </c>
      <c r="K1693" s="49">
        <v>26.89</v>
      </c>
      <c r="L1693" s="49">
        <v>23.6</v>
      </c>
      <c r="M1693" s="49">
        <v>25.47</v>
      </c>
      <c r="N1693" s="49">
        <v>18.739999999999998</v>
      </c>
      <c r="O1693" s="49">
        <v>29.35</v>
      </c>
      <c r="P1693" s="49">
        <v>50.96</v>
      </c>
      <c r="Q1693" s="49">
        <v>99.45</v>
      </c>
      <c r="R1693" s="49">
        <v>42.13</v>
      </c>
      <c r="S1693" s="49">
        <v>34.93</v>
      </c>
    </row>
    <row r="1694" spans="1:19" ht="18">
      <c r="A1694" s="49">
        <v>8455</v>
      </c>
      <c r="B1694" s="49" t="s">
        <v>2017</v>
      </c>
      <c r="C1694" s="49">
        <v>0</v>
      </c>
      <c r="D1694" s="49">
        <v>0</v>
      </c>
      <c r="E1694" s="49">
        <v>0</v>
      </c>
      <c r="F1694" s="49">
        <v>0</v>
      </c>
      <c r="G1694" s="49">
        <v>0</v>
      </c>
      <c r="H1694" s="49">
        <v>0</v>
      </c>
      <c r="I1694" s="49">
        <v>0</v>
      </c>
      <c r="J1694" s="49">
        <v>0</v>
      </c>
      <c r="K1694" s="49">
        <v>0</v>
      </c>
      <c r="L1694" s="49">
        <v>20.47</v>
      </c>
      <c r="M1694" s="49">
        <v>12.11</v>
      </c>
      <c r="N1694" s="49">
        <v>8.17</v>
      </c>
      <c r="O1694" s="49">
        <v>10.17</v>
      </c>
      <c r="P1694" s="49">
        <v>0</v>
      </c>
      <c r="Q1694" s="49">
        <v>50.73</v>
      </c>
      <c r="R1694" s="49">
        <v>22.53</v>
      </c>
      <c r="S1694" s="49">
        <v>0</v>
      </c>
    </row>
    <row r="1695" spans="1:19" ht="18">
      <c r="A1695" s="49">
        <v>8462</v>
      </c>
      <c r="B1695" s="49" t="s">
        <v>1185</v>
      </c>
      <c r="C1695" s="49">
        <v>0</v>
      </c>
      <c r="D1695" s="49">
        <v>0</v>
      </c>
      <c r="E1695" s="49">
        <v>0</v>
      </c>
      <c r="F1695" s="49">
        <v>0</v>
      </c>
      <c r="G1695" s="49">
        <v>0</v>
      </c>
      <c r="H1695" s="49">
        <v>0</v>
      </c>
      <c r="I1695" s="49">
        <v>0</v>
      </c>
      <c r="J1695" s="49">
        <v>0</v>
      </c>
      <c r="K1695" s="49">
        <v>0</v>
      </c>
      <c r="L1695" s="49">
        <v>22.56</v>
      </c>
      <c r="M1695" s="49">
        <v>31.24</v>
      </c>
      <c r="N1695" s="49">
        <v>26.33</v>
      </c>
      <c r="O1695" s="49">
        <v>26.8</v>
      </c>
      <c r="P1695" s="49">
        <v>28.78</v>
      </c>
      <c r="Q1695" s="49">
        <v>0</v>
      </c>
      <c r="R1695" s="49">
        <v>50.42</v>
      </c>
      <c r="S1695" s="49">
        <v>164</v>
      </c>
    </row>
    <row r="1696" spans="1:19" ht="18">
      <c r="A1696" s="49">
        <v>8463</v>
      </c>
      <c r="B1696" s="49" t="s">
        <v>1186</v>
      </c>
      <c r="C1696" s="49">
        <v>0</v>
      </c>
      <c r="D1696" s="49">
        <v>0</v>
      </c>
      <c r="E1696" s="49">
        <v>0</v>
      </c>
      <c r="F1696" s="49">
        <v>0</v>
      </c>
      <c r="G1696" s="49">
        <v>0</v>
      </c>
      <c r="H1696" s="49">
        <v>0</v>
      </c>
      <c r="I1696" s="49">
        <v>0</v>
      </c>
      <c r="J1696" s="49">
        <v>0</v>
      </c>
      <c r="K1696" s="49">
        <v>9.8800000000000008</v>
      </c>
      <c r="L1696" s="49">
        <v>20.12</v>
      </c>
      <c r="M1696" s="49">
        <v>19.02</v>
      </c>
      <c r="N1696" s="49">
        <v>30.94</v>
      </c>
      <c r="O1696" s="49">
        <v>63.14</v>
      </c>
      <c r="P1696" s="49">
        <v>55.82</v>
      </c>
      <c r="Q1696" s="49">
        <v>0</v>
      </c>
      <c r="R1696" s="49">
        <v>0</v>
      </c>
      <c r="S1696" s="49">
        <v>31.58</v>
      </c>
    </row>
    <row r="1697" spans="1:19" ht="18">
      <c r="A1697" s="49">
        <v>8464</v>
      </c>
      <c r="B1697" s="49" t="s">
        <v>1187</v>
      </c>
      <c r="C1697" s="49">
        <v>0</v>
      </c>
      <c r="D1697" s="49">
        <v>0</v>
      </c>
      <c r="E1697" s="49">
        <v>0</v>
      </c>
      <c r="F1697" s="49">
        <v>0</v>
      </c>
      <c r="G1697" s="49">
        <v>0</v>
      </c>
      <c r="H1697" s="49">
        <v>0</v>
      </c>
      <c r="I1697" s="49">
        <v>0</v>
      </c>
      <c r="J1697" s="49">
        <v>0</v>
      </c>
      <c r="K1697" s="49">
        <v>27.1</v>
      </c>
      <c r="L1697" s="49">
        <v>28.25</v>
      </c>
      <c r="M1697" s="49">
        <v>25.08</v>
      </c>
      <c r="N1697" s="49">
        <v>19.52</v>
      </c>
      <c r="O1697" s="49">
        <v>18.809999999999999</v>
      </c>
      <c r="P1697" s="49">
        <v>20.46</v>
      </c>
      <c r="Q1697" s="49">
        <v>23.34</v>
      </c>
      <c r="R1697" s="49">
        <v>14.06</v>
      </c>
      <c r="S1697" s="49">
        <v>18.670000000000002</v>
      </c>
    </row>
    <row r="1698" spans="1:19" ht="18">
      <c r="A1698" s="49">
        <v>8466</v>
      </c>
      <c r="B1698" s="49" t="s">
        <v>1188</v>
      </c>
      <c r="C1698" s="49">
        <v>0</v>
      </c>
      <c r="D1698" s="49">
        <v>0</v>
      </c>
      <c r="E1698" s="49">
        <v>0</v>
      </c>
      <c r="F1698" s="49">
        <v>0</v>
      </c>
      <c r="G1698" s="49">
        <v>0</v>
      </c>
      <c r="H1698" s="49">
        <v>0</v>
      </c>
      <c r="I1698" s="49">
        <v>0</v>
      </c>
      <c r="J1698" s="49">
        <v>0</v>
      </c>
      <c r="K1698" s="49">
        <v>0</v>
      </c>
      <c r="L1698" s="49">
        <v>16.260000000000002</v>
      </c>
      <c r="M1698" s="49">
        <v>12.31</v>
      </c>
      <c r="N1698" s="49">
        <v>11.82</v>
      </c>
      <c r="O1698" s="49">
        <v>10.1</v>
      </c>
      <c r="P1698" s="49">
        <v>12.33</v>
      </c>
      <c r="Q1698" s="49">
        <v>38.26</v>
      </c>
      <c r="R1698" s="49">
        <v>14.31</v>
      </c>
      <c r="S1698" s="49">
        <v>0</v>
      </c>
    </row>
    <row r="1699" spans="1:19" ht="18">
      <c r="A1699" s="49">
        <v>8467</v>
      </c>
      <c r="B1699" s="49" t="s">
        <v>1189</v>
      </c>
      <c r="C1699" s="49">
        <v>0</v>
      </c>
      <c r="D1699" s="49">
        <v>0</v>
      </c>
      <c r="E1699" s="49">
        <v>0</v>
      </c>
      <c r="F1699" s="49">
        <v>0</v>
      </c>
      <c r="G1699" s="49">
        <v>0</v>
      </c>
      <c r="H1699" s="49">
        <v>0</v>
      </c>
      <c r="I1699" s="49">
        <v>0</v>
      </c>
      <c r="J1699" s="49">
        <v>0</v>
      </c>
      <c r="K1699" s="49">
        <v>10.86</v>
      </c>
      <c r="L1699" s="49">
        <v>13.27</v>
      </c>
      <c r="M1699" s="49">
        <v>20.45</v>
      </c>
      <c r="N1699" s="49">
        <v>17.97</v>
      </c>
      <c r="O1699" s="49">
        <v>22.62</v>
      </c>
      <c r="P1699" s="49">
        <v>34.15</v>
      </c>
      <c r="Q1699" s="49">
        <v>28.13</v>
      </c>
      <c r="R1699" s="49">
        <v>7.03</v>
      </c>
      <c r="S1699" s="49">
        <v>22.02</v>
      </c>
    </row>
    <row r="1700" spans="1:19" ht="18">
      <c r="A1700" s="49">
        <v>8472</v>
      </c>
      <c r="B1700" s="49" t="s">
        <v>2018</v>
      </c>
      <c r="C1700" s="49">
        <v>0</v>
      </c>
      <c r="D1700" s="49">
        <v>0</v>
      </c>
      <c r="E1700" s="49">
        <v>0</v>
      </c>
      <c r="F1700" s="49">
        <v>0</v>
      </c>
      <c r="G1700" s="49">
        <v>0</v>
      </c>
      <c r="H1700" s="49">
        <v>0</v>
      </c>
      <c r="I1700" s="49">
        <v>0</v>
      </c>
      <c r="J1700" s="49">
        <v>0</v>
      </c>
      <c r="K1700" s="49">
        <v>0</v>
      </c>
      <c r="L1700" s="49">
        <v>14.95</v>
      </c>
      <c r="M1700" s="49">
        <v>13.74</v>
      </c>
      <c r="N1700" s="49">
        <v>81.2</v>
      </c>
      <c r="O1700" s="49">
        <v>15.56</v>
      </c>
      <c r="P1700" s="49">
        <v>29.34</v>
      </c>
      <c r="Q1700" s="49">
        <v>40.4</v>
      </c>
      <c r="R1700" s="49">
        <v>0</v>
      </c>
      <c r="S1700" s="49">
        <v>0</v>
      </c>
    </row>
    <row r="1701" spans="1:19" ht="18">
      <c r="A1701" s="49">
        <v>8473</v>
      </c>
      <c r="B1701" s="49" t="s">
        <v>1190</v>
      </c>
      <c r="C1701" s="49">
        <v>0</v>
      </c>
      <c r="D1701" s="49">
        <v>0</v>
      </c>
      <c r="E1701" s="49">
        <v>0</v>
      </c>
      <c r="F1701" s="49">
        <v>0</v>
      </c>
      <c r="G1701" s="49">
        <v>0</v>
      </c>
      <c r="H1701" s="49">
        <v>0</v>
      </c>
      <c r="I1701" s="49">
        <v>0</v>
      </c>
      <c r="J1701" s="49">
        <v>0</v>
      </c>
      <c r="K1701" s="49">
        <v>0</v>
      </c>
      <c r="L1701" s="49">
        <v>17.47</v>
      </c>
      <c r="M1701" s="49">
        <v>18.45</v>
      </c>
      <c r="N1701" s="49">
        <v>19.05</v>
      </c>
      <c r="O1701" s="49">
        <v>22.15</v>
      </c>
      <c r="P1701" s="49">
        <v>17.75</v>
      </c>
      <c r="Q1701" s="49">
        <v>43.18</v>
      </c>
      <c r="R1701" s="49">
        <v>0</v>
      </c>
      <c r="S1701" s="49">
        <v>0</v>
      </c>
    </row>
    <row r="1702" spans="1:19" ht="18">
      <c r="A1702" s="49">
        <v>8476</v>
      </c>
      <c r="B1702" s="49" t="s">
        <v>2019</v>
      </c>
      <c r="C1702" s="49">
        <v>0</v>
      </c>
      <c r="D1702" s="49">
        <v>0</v>
      </c>
      <c r="E1702" s="49">
        <v>0</v>
      </c>
      <c r="F1702" s="49">
        <v>0</v>
      </c>
      <c r="G1702" s="49">
        <v>0</v>
      </c>
      <c r="H1702" s="49">
        <v>0</v>
      </c>
      <c r="I1702" s="49">
        <v>0</v>
      </c>
      <c r="J1702" s="49">
        <v>0</v>
      </c>
      <c r="K1702" s="49">
        <v>0</v>
      </c>
      <c r="L1702" s="49">
        <v>0</v>
      </c>
      <c r="M1702" s="49">
        <v>38.54</v>
      </c>
      <c r="N1702" s="49">
        <v>0</v>
      </c>
      <c r="O1702" s="49">
        <v>0</v>
      </c>
      <c r="P1702" s="49">
        <v>0</v>
      </c>
      <c r="Q1702" s="49">
        <v>0</v>
      </c>
      <c r="R1702" s="49">
        <v>33.11</v>
      </c>
      <c r="S1702" s="49">
        <v>6.15</v>
      </c>
    </row>
    <row r="1703" spans="1:19" ht="18">
      <c r="A1703" s="49">
        <v>8477</v>
      </c>
      <c r="B1703" s="49" t="s">
        <v>2020</v>
      </c>
      <c r="C1703" s="49">
        <v>0</v>
      </c>
      <c r="D1703" s="49">
        <v>0</v>
      </c>
      <c r="E1703" s="49">
        <v>0</v>
      </c>
      <c r="F1703" s="49">
        <v>0</v>
      </c>
      <c r="G1703" s="49">
        <v>0</v>
      </c>
      <c r="H1703" s="49">
        <v>0</v>
      </c>
      <c r="I1703" s="49">
        <v>0</v>
      </c>
      <c r="J1703" s="49">
        <v>0</v>
      </c>
      <c r="K1703" s="49">
        <v>0</v>
      </c>
      <c r="L1703" s="49">
        <v>22.14</v>
      </c>
      <c r="M1703" s="49">
        <v>25.37</v>
      </c>
      <c r="N1703" s="49">
        <v>22.92</v>
      </c>
      <c r="O1703" s="49">
        <v>26.07</v>
      </c>
      <c r="P1703" s="49">
        <v>30.4</v>
      </c>
      <c r="Q1703" s="49">
        <v>0</v>
      </c>
      <c r="R1703" s="49">
        <v>0</v>
      </c>
      <c r="S1703" s="49">
        <v>0</v>
      </c>
    </row>
    <row r="1704" spans="1:19" ht="18">
      <c r="A1704" s="49">
        <v>8478</v>
      </c>
      <c r="B1704" s="49" t="s">
        <v>1191</v>
      </c>
      <c r="C1704" s="49">
        <v>0</v>
      </c>
      <c r="D1704" s="49">
        <v>0</v>
      </c>
      <c r="E1704" s="49">
        <v>0</v>
      </c>
      <c r="F1704" s="49">
        <v>0</v>
      </c>
      <c r="G1704" s="49">
        <v>0</v>
      </c>
      <c r="H1704" s="49">
        <v>0</v>
      </c>
      <c r="I1704" s="49">
        <v>0</v>
      </c>
      <c r="J1704" s="49">
        <v>0</v>
      </c>
      <c r="K1704" s="49">
        <v>0</v>
      </c>
      <c r="L1704" s="49">
        <v>0</v>
      </c>
      <c r="M1704" s="49">
        <v>22.09</v>
      </c>
      <c r="N1704" s="49">
        <v>50.35</v>
      </c>
      <c r="O1704" s="49">
        <v>15.62</v>
      </c>
      <c r="P1704" s="49">
        <v>49.66</v>
      </c>
      <c r="Q1704" s="49">
        <v>17.579999999999998</v>
      </c>
      <c r="R1704" s="49">
        <v>15.96</v>
      </c>
      <c r="S1704" s="49">
        <v>17.18</v>
      </c>
    </row>
    <row r="1705" spans="1:19" ht="18">
      <c r="A1705" s="49">
        <v>8481</v>
      </c>
      <c r="B1705" s="49" t="s">
        <v>1192</v>
      </c>
      <c r="C1705" s="49">
        <v>0</v>
      </c>
      <c r="D1705" s="49">
        <v>0</v>
      </c>
      <c r="E1705" s="49">
        <v>0</v>
      </c>
      <c r="F1705" s="49">
        <v>0</v>
      </c>
      <c r="G1705" s="49">
        <v>0</v>
      </c>
      <c r="H1705" s="49">
        <v>0</v>
      </c>
      <c r="I1705" s="49">
        <v>0</v>
      </c>
      <c r="J1705" s="49">
        <v>0</v>
      </c>
      <c r="K1705" s="49">
        <v>0</v>
      </c>
      <c r="L1705" s="49">
        <v>0</v>
      </c>
      <c r="M1705" s="49">
        <v>13.4</v>
      </c>
      <c r="N1705" s="49">
        <v>14.91</v>
      </c>
      <c r="O1705" s="49">
        <v>16.86</v>
      </c>
      <c r="P1705" s="49">
        <v>6.17</v>
      </c>
      <c r="Q1705" s="49">
        <v>10.75</v>
      </c>
      <c r="R1705" s="49">
        <v>10.75</v>
      </c>
      <c r="S1705" s="49">
        <v>24.69</v>
      </c>
    </row>
    <row r="1706" spans="1:19" ht="18">
      <c r="A1706" s="49">
        <v>8482</v>
      </c>
      <c r="B1706" s="49" t="s">
        <v>1193</v>
      </c>
      <c r="C1706" s="49">
        <v>0</v>
      </c>
      <c r="D1706" s="49">
        <v>0</v>
      </c>
      <c r="E1706" s="49">
        <v>0</v>
      </c>
      <c r="F1706" s="49">
        <v>0</v>
      </c>
      <c r="G1706" s="49">
        <v>0</v>
      </c>
      <c r="H1706" s="49">
        <v>0</v>
      </c>
      <c r="I1706" s="49">
        <v>0</v>
      </c>
      <c r="J1706" s="49">
        <v>0</v>
      </c>
      <c r="K1706" s="49">
        <v>0</v>
      </c>
      <c r="L1706" s="49">
        <v>0</v>
      </c>
      <c r="M1706" s="49">
        <v>0</v>
      </c>
      <c r="N1706" s="49">
        <v>12.7</v>
      </c>
      <c r="O1706" s="49">
        <v>15.81</v>
      </c>
      <c r="P1706" s="49">
        <v>16.989999999999998</v>
      </c>
      <c r="Q1706" s="49">
        <v>10.15</v>
      </c>
      <c r="R1706" s="49">
        <v>7.81</v>
      </c>
      <c r="S1706" s="49">
        <v>16.55</v>
      </c>
    </row>
    <row r="1707" spans="1:19" ht="18">
      <c r="A1707" s="49">
        <v>8488</v>
      </c>
      <c r="B1707" s="49" t="s">
        <v>1194</v>
      </c>
      <c r="C1707" s="49">
        <v>0</v>
      </c>
      <c r="D1707" s="49">
        <v>0</v>
      </c>
      <c r="E1707" s="49">
        <v>0</v>
      </c>
      <c r="F1707" s="49">
        <v>0</v>
      </c>
      <c r="G1707" s="49">
        <v>0</v>
      </c>
      <c r="H1707" s="49">
        <v>0</v>
      </c>
      <c r="I1707" s="49">
        <v>0</v>
      </c>
      <c r="J1707" s="49">
        <v>0</v>
      </c>
      <c r="K1707" s="49">
        <v>0</v>
      </c>
      <c r="L1707" s="49">
        <v>12.19</v>
      </c>
      <c r="M1707" s="49">
        <v>13.03</v>
      </c>
      <c r="N1707" s="49">
        <v>0</v>
      </c>
      <c r="O1707" s="49">
        <v>25.45</v>
      </c>
      <c r="P1707" s="49">
        <v>54.67</v>
      </c>
      <c r="Q1707" s="49">
        <v>13.35</v>
      </c>
      <c r="R1707" s="49">
        <v>0</v>
      </c>
      <c r="S1707" s="49">
        <v>0</v>
      </c>
    </row>
    <row r="1708" spans="1:19" ht="18">
      <c r="A1708" s="49">
        <v>8489</v>
      </c>
      <c r="B1708" s="49" t="s">
        <v>2021</v>
      </c>
      <c r="C1708" s="49">
        <v>0</v>
      </c>
      <c r="D1708" s="49">
        <v>0</v>
      </c>
      <c r="E1708" s="49">
        <v>0</v>
      </c>
      <c r="F1708" s="49">
        <v>0</v>
      </c>
      <c r="G1708" s="49">
        <v>0</v>
      </c>
      <c r="H1708" s="49">
        <v>0</v>
      </c>
      <c r="I1708" s="49">
        <v>0</v>
      </c>
      <c r="J1708" s="49">
        <v>0</v>
      </c>
      <c r="K1708" s="49">
        <v>0</v>
      </c>
      <c r="L1708" s="49">
        <v>0</v>
      </c>
      <c r="M1708" s="49">
        <v>53.69</v>
      </c>
      <c r="N1708" s="49">
        <v>13.09</v>
      </c>
      <c r="O1708" s="49">
        <v>26.54</v>
      </c>
      <c r="P1708" s="49">
        <v>41.78</v>
      </c>
      <c r="Q1708" s="49">
        <v>82.34</v>
      </c>
      <c r="R1708" s="49">
        <v>0</v>
      </c>
      <c r="S1708" s="49">
        <v>0</v>
      </c>
    </row>
    <row r="1709" spans="1:19" ht="18">
      <c r="A1709" s="49">
        <v>8499</v>
      </c>
      <c r="B1709" s="49" t="s">
        <v>1195</v>
      </c>
      <c r="C1709" s="49">
        <v>0</v>
      </c>
      <c r="D1709" s="49">
        <v>0</v>
      </c>
      <c r="E1709" s="49">
        <v>0</v>
      </c>
      <c r="F1709" s="49">
        <v>0</v>
      </c>
      <c r="G1709" s="49">
        <v>0</v>
      </c>
      <c r="H1709" s="49">
        <v>0</v>
      </c>
      <c r="I1709" s="49">
        <v>0</v>
      </c>
      <c r="J1709" s="49">
        <v>0</v>
      </c>
      <c r="K1709" s="49">
        <v>0</v>
      </c>
      <c r="L1709" s="49">
        <v>0</v>
      </c>
      <c r="M1709" s="49">
        <v>15.66</v>
      </c>
      <c r="N1709" s="49">
        <v>13.51</v>
      </c>
      <c r="O1709" s="49">
        <v>11.39</v>
      </c>
      <c r="P1709" s="49">
        <v>11.34</v>
      </c>
      <c r="Q1709" s="49">
        <v>10.48</v>
      </c>
      <c r="R1709" s="49">
        <v>6.6</v>
      </c>
      <c r="S1709" s="49">
        <v>9.49</v>
      </c>
    </row>
    <row r="1710" spans="1:19" ht="18">
      <c r="A1710" s="49">
        <v>8905</v>
      </c>
      <c r="B1710" s="49" t="s">
        <v>2022</v>
      </c>
      <c r="C1710" s="49">
        <v>13.01</v>
      </c>
      <c r="D1710" s="49">
        <v>35.479999999999997</v>
      </c>
      <c r="E1710" s="49">
        <v>104.62</v>
      </c>
      <c r="F1710" s="49">
        <v>11.62</v>
      </c>
      <c r="G1710" s="49">
        <v>20</v>
      </c>
      <c r="H1710" s="49">
        <v>9.6199999999999992</v>
      </c>
      <c r="I1710" s="49">
        <v>7</v>
      </c>
      <c r="J1710" s="49">
        <v>12.25</v>
      </c>
      <c r="K1710" s="49">
        <v>5.09</v>
      </c>
      <c r="L1710" s="49">
        <v>8.6999999999999993</v>
      </c>
      <c r="M1710" s="49">
        <v>5.23</v>
      </c>
      <c r="N1710" s="49">
        <v>7.87</v>
      </c>
      <c r="O1710" s="49">
        <v>13.99</v>
      </c>
      <c r="P1710" s="49">
        <v>60</v>
      </c>
      <c r="Q1710" s="49">
        <v>32.61</v>
      </c>
      <c r="R1710" s="49">
        <v>16.420000000000002</v>
      </c>
      <c r="S1710" s="49">
        <v>12.77</v>
      </c>
    </row>
    <row r="1711" spans="1:19" ht="18">
      <c r="A1711" s="49">
        <v>8906</v>
      </c>
      <c r="B1711" s="49" t="s">
        <v>2023</v>
      </c>
      <c r="C1711" s="49">
        <v>0</v>
      </c>
      <c r="D1711" s="49">
        <v>0</v>
      </c>
      <c r="E1711" s="49">
        <v>0</v>
      </c>
      <c r="F1711" s="49">
        <v>0</v>
      </c>
      <c r="G1711" s="49">
        <v>0</v>
      </c>
      <c r="H1711" s="49">
        <v>225</v>
      </c>
      <c r="I1711" s="49">
        <v>0</v>
      </c>
      <c r="J1711" s="49">
        <v>0</v>
      </c>
      <c r="K1711" s="49">
        <v>0</v>
      </c>
      <c r="L1711" s="49">
        <v>0</v>
      </c>
      <c r="M1711" s="49">
        <v>0</v>
      </c>
      <c r="N1711" s="49">
        <v>0</v>
      </c>
      <c r="O1711" s="49">
        <v>61.11</v>
      </c>
      <c r="P1711" s="49">
        <v>445</v>
      </c>
      <c r="Q1711" s="49">
        <v>915</v>
      </c>
      <c r="R1711" s="49">
        <v>73.08</v>
      </c>
      <c r="S1711" s="49">
        <v>0</v>
      </c>
    </row>
    <row r="1712" spans="1:19" ht="18">
      <c r="A1712" s="49">
        <v>8908</v>
      </c>
      <c r="B1712" s="49" t="s">
        <v>2024</v>
      </c>
      <c r="C1712" s="49">
        <v>20.74</v>
      </c>
      <c r="D1712" s="49">
        <v>21.23</v>
      </c>
      <c r="E1712" s="49">
        <v>54.48</v>
      </c>
      <c r="F1712" s="49">
        <v>17.43</v>
      </c>
      <c r="G1712" s="49">
        <v>16.5</v>
      </c>
      <c r="H1712" s="49">
        <v>18.18</v>
      </c>
      <c r="I1712" s="49">
        <v>18.989999999999998</v>
      </c>
      <c r="J1712" s="49">
        <v>19.850000000000001</v>
      </c>
      <c r="K1712" s="49">
        <v>21.9</v>
      </c>
      <c r="L1712" s="49">
        <v>20.239999999999998</v>
      </c>
      <c r="M1712" s="49">
        <v>19.62</v>
      </c>
      <c r="N1712" s="49">
        <v>18.739999999999998</v>
      </c>
      <c r="O1712" s="49">
        <v>22.55</v>
      </c>
      <c r="P1712" s="49">
        <v>24.81</v>
      </c>
      <c r="Q1712" s="49">
        <v>27.63</v>
      </c>
      <c r="R1712" s="49">
        <v>34.18</v>
      </c>
      <c r="S1712" s="49">
        <v>32.75</v>
      </c>
    </row>
    <row r="1713" spans="1:19" ht="18">
      <c r="A1713" s="49">
        <v>8916</v>
      </c>
      <c r="B1713" s="49" t="s">
        <v>2025</v>
      </c>
      <c r="C1713" s="49">
        <v>9.61</v>
      </c>
      <c r="D1713" s="49">
        <v>5.36</v>
      </c>
      <c r="E1713" s="49">
        <v>16.809999999999999</v>
      </c>
      <c r="F1713" s="49">
        <v>11.49</v>
      </c>
      <c r="G1713" s="49">
        <v>12.38</v>
      </c>
      <c r="H1713" s="49">
        <v>10.78</v>
      </c>
      <c r="I1713" s="49">
        <v>11.56</v>
      </c>
      <c r="J1713" s="49">
        <v>10.69</v>
      </c>
      <c r="K1713" s="49">
        <v>16.760000000000002</v>
      </c>
      <c r="L1713" s="49">
        <v>11.62</v>
      </c>
      <c r="M1713" s="49">
        <v>0</v>
      </c>
      <c r="N1713" s="49">
        <v>7.65</v>
      </c>
      <c r="O1713" s="49">
        <v>9.24</v>
      </c>
      <c r="P1713" s="49">
        <v>15.08</v>
      </c>
      <c r="Q1713" s="49">
        <v>18.77</v>
      </c>
      <c r="R1713" s="49">
        <v>6.91</v>
      </c>
      <c r="S1713" s="49">
        <v>12.67</v>
      </c>
    </row>
    <row r="1714" spans="1:19" ht="18">
      <c r="A1714" s="49">
        <v>8917</v>
      </c>
      <c r="B1714" s="49" t="s">
        <v>2026</v>
      </c>
      <c r="C1714" s="49">
        <v>14.69</v>
      </c>
      <c r="D1714" s="49">
        <v>16.09</v>
      </c>
      <c r="E1714" s="49">
        <v>18.8</v>
      </c>
      <c r="F1714" s="49">
        <v>19.510000000000002</v>
      </c>
      <c r="G1714" s="49">
        <v>20.329999999999998</v>
      </c>
      <c r="H1714" s="49">
        <v>25.76</v>
      </c>
      <c r="I1714" s="49">
        <v>34.78</v>
      </c>
      <c r="J1714" s="49">
        <v>41.67</v>
      </c>
      <c r="K1714" s="49">
        <v>39.840000000000003</v>
      </c>
      <c r="L1714" s="49">
        <v>34.82</v>
      </c>
      <c r="M1714" s="49">
        <v>28.43</v>
      </c>
      <c r="N1714" s="49">
        <v>24.62</v>
      </c>
      <c r="O1714" s="49">
        <v>24.34</v>
      </c>
      <c r="P1714" s="49">
        <v>22.2</v>
      </c>
      <c r="Q1714" s="49">
        <v>40.909999999999997</v>
      </c>
      <c r="R1714" s="49">
        <v>41.28</v>
      </c>
      <c r="S1714" s="49">
        <v>27.59</v>
      </c>
    </row>
    <row r="1715" spans="1:19" ht="18">
      <c r="A1715" s="49">
        <v>8921</v>
      </c>
      <c r="B1715" s="49" t="s">
        <v>2027</v>
      </c>
      <c r="C1715" s="49">
        <v>20</v>
      </c>
      <c r="D1715" s="49">
        <v>25.27</v>
      </c>
      <c r="E1715" s="49">
        <v>24.48</v>
      </c>
      <c r="F1715" s="49">
        <v>14.48</v>
      </c>
      <c r="G1715" s="49">
        <v>14.58</v>
      </c>
      <c r="H1715" s="49">
        <v>14.53</v>
      </c>
      <c r="I1715" s="49">
        <v>12.52</v>
      </c>
      <c r="J1715" s="49">
        <v>14.71</v>
      </c>
      <c r="K1715" s="49">
        <v>16.18</v>
      </c>
      <c r="L1715" s="49">
        <v>16.91</v>
      </c>
      <c r="M1715" s="49">
        <v>35.83</v>
      </c>
      <c r="N1715" s="49">
        <v>44.14</v>
      </c>
      <c r="O1715" s="49">
        <v>28.23</v>
      </c>
      <c r="P1715" s="49">
        <v>28.51</v>
      </c>
      <c r="Q1715" s="49">
        <v>42.65</v>
      </c>
      <c r="R1715" s="49">
        <v>23.13</v>
      </c>
      <c r="S1715" s="49">
        <v>0</v>
      </c>
    </row>
    <row r="1716" spans="1:19" ht="18">
      <c r="A1716" s="49">
        <v>8923</v>
      </c>
      <c r="B1716" s="49" t="s">
        <v>2028</v>
      </c>
      <c r="C1716" s="49">
        <v>17.11</v>
      </c>
      <c r="D1716" s="49">
        <v>10.48</v>
      </c>
      <c r="E1716" s="49">
        <v>12.97</v>
      </c>
      <c r="F1716" s="49">
        <v>12.81</v>
      </c>
      <c r="G1716" s="49">
        <v>14.68</v>
      </c>
      <c r="H1716" s="49">
        <v>17.670000000000002</v>
      </c>
      <c r="I1716" s="49">
        <v>46.15</v>
      </c>
      <c r="J1716" s="49">
        <v>19.21</v>
      </c>
      <c r="K1716" s="49">
        <v>14.87</v>
      </c>
      <c r="L1716" s="49">
        <v>16.350000000000001</v>
      </c>
      <c r="M1716" s="49">
        <v>20</v>
      </c>
      <c r="N1716" s="49">
        <v>12.68</v>
      </c>
      <c r="O1716" s="49">
        <v>12.98</v>
      </c>
      <c r="P1716" s="49">
        <v>19.3</v>
      </c>
      <c r="Q1716" s="49">
        <v>15.59</v>
      </c>
      <c r="R1716" s="49">
        <v>16.28</v>
      </c>
      <c r="S1716" s="49">
        <v>26.69</v>
      </c>
    </row>
    <row r="1717" spans="1:19" ht="18">
      <c r="A1717" s="49">
        <v>8924</v>
      </c>
      <c r="B1717" s="49" t="s">
        <v>2029</v>
      </c>
      <c r="C1717" s="49">
        <v>10.33</v>
      </c>
      <c r="D1717" s="49">
        <v>6.3</v>
      </c>
      <c r="E1717" s="49">
        <v>14.67</v>
      </c>
      <c r="F1717" s="49">
        <v>18.559999999999999</v>
      </c>
      <c r="G1717" s="49">
        <v>0</v>
      </c>
      <c r="H1717" s="49">
        <v>29.83</v>
      </c>
      <c r="I1717" s="49">
        <v>0</v>
      </c>
      <c r="J1717" s="49">
        <v>0</v>
      </c>
      <c r="K1717" s="49">
        <v>120.33</v>
      </c>
      <c r="L1717" s="49">
        <v>0</v>
      </c>
      <c r="M1717" s="49">
        <v>4.42</v>
      </c>
      <c r="N1717" s="49">
        <v>17.04</v>
      </c>
      <c r="O1717" s="49">
        <v>8.77</v>
      </c>
      <c r="P1717" s="49">
        <v>10.79</v>
      </c>
      <c r="Q1717" s="49">
        <v>8.4600000000000009</v>
      </c>
      <c r="R1717" s="49">
        <v>6</v>
      </c>
      <c r="S1717" s="49">
        <v>8.98</v>
      </c>
    </row>
    <row r="1718" spans="1:19" ht="18">
      <c r="A1718" s="49">
        <v>8926</v>
      </c>
      <c r="B1718" s="49" t="s">
        <v>1196</v>
      </c>
      <c r="C1718" s="49">
        <v>18.100000000000001</v>
      </c>
      <c r="D1718" s="49">
        <v>7.64</v>
      </c>
      <c r="E1718" s="49">
        <v>9.7799999999999994</v>
      </c>
      <c r="F1718" s="49">
        <v>10.52</v>
      </c>
      <c r="G1718" s="49">
        <v>11.66</v>
      </c>
      <c r="H1718" s="49">
        <v>12.6</v>
      </c>
      <c r="I1718" s="49">
        <v>30.53</v>
      </c>
      <c r="J1718" s="49">
        <v>8.33</v>
      </c>
      <c r="K1718" s="49">
        <v>11.52</v>
      </c>
      <c r="L1718" s="49">
        <v>15.59</v>
      </c>
      <c r="M1718" s="49">
        <v>13.65</v>
      </c>
      <c r="N1718" s="49">
        <v>15.96</v>
      </c>
      <c r="O1718" s="49">
        <v>23.18</v>
      </c>
      <c r="P1718" s="49">
        <v>20.92</v>
      </c>
      <c r="Q1718" s="49">
        <v>26.32</v>
      </c>
      <c r="R1718" s="49">
        <v>37.299999999999997</v>
      </c>
      <c r="S1718" s="49">
        <v>17.649999999999999</v>
      </c>
    </row>
    <row r="1719" spans="1:19" ht="18">
      <c r="A1719" s="49">
        <v>8927</v>
      </c>
      <c r="B1719" s="49" t="s">
        <v>2030</v>
      </c>
      <c r="C1719" s="49">
        <v>26.44</v>
      </c>
      <c r="D1719" s="49">
        <v>37.42</v>
      </c>
      <c r="E1719" s="49">
        <v>49.69</v>
      </c>
      <c r="F1719" s="49">
        <v>42.5</v>
      </c>
      <c r="G1719" s="49">
        <v>0</v>
      </c>
      <c r="H1719" s="49">
        <v>16.79</v>
      </c>
      <c r="I1719" s="49">
        <v>0</v>
      </c>
      <c r="J1719" s="49">
        <v>0</v>
      </c>
      <c r="K1719" s="49">
        <v>0</v>
      </c>
      <c r="L1719" s="49">
        <v>44.18</v>
      </c>
      <c r="M1719" s="49">
        <v>26.9</v>
      </c>
      <c r="N1719" s="49">
        <v>33.08</v>
      </c>
      <c r="O1719" s="49">
        <v>59.29</v>
      </c>
      <c r="P1719" s="49">
        <v>51.81</v>
      </c>
      <c r="Q1719" s="49">
        <v>35.96</v>
      </c>
      <c r="R1719" s="49">
        <v>63.33</v>
      </c>
      <c r="S1719" s="49">
        <v>180.34</v>
      </c>
    </row>
    <row r="1720" spans="1:19" ht="18">
      <c r="A1720" s="49">
        <v>8928</v>
      </c>
      <c r="B1720" s="49" t="s">
        <v>2031</v>
      </c>
      <c r="C1720" s="49">
        <v>24.26</v>
      </c>
      <c r="D1720" s="49">
        <v>8.27</v>
      </c>
      <c r="E1720" s="49">
        <v>92.5</v>
      </c>
      <c r="F1720" s="49">
        <v>0</v>
      </c>
      <c r="G1720" s="49">
        <v>0</v>
      </c>
      <c r="H1720" s="49">
        <v>0</v>
      </c>
      <c r="I1720" s="49">
        <v>0</v>
      </c>
      <c r="J1720" s="49">
        <v>10.36</v>
      </c>
      <c r="K1720" s="49">
        <v>8.6</v>
      </c>
      <c r="L1720" s="49">
        <v>9.58</v>
      </c>
      <c r="M1720" s="49">
        <v>13.6</v>
      </c>
      <c r="N1720" s="49">
        <v>12.54</v>
      </c>
      <c r="O1720" s="49">
        <v>13.42</v>
      </c>
      <c r="P1720" s="49">
        <v>12.29</v>
      </c>
      <c r="Q1720" s="49">
        <v>8.77</v>
      </c>
      <c r="R1720" s="49">
        <v>6.18</v>
      </c>
      <c r="S1720" s="49">
        <v>26.02</v>
      </c>
    </row>
    <row r="1721" spans="1:19" ht="18">
      <c r="A1721" s="49">
        <v>8929</v>
      </c>
      <c r="B1721" s="49" t="s">
        <v>2032</v>
      </c>
      <c r="C1721" s="49">
        <v>0</v>
      </c>
      <c r="D1721" s="49">
        <v>5.46</v>
      </c>
      <c r="E1721" s="49">
        <v>9.61</v>
      </c>
      <c r="F1721" s="49">
        <v>12.69</v>
      </c>
      <c r="G1721" s="49">
        <v>8.65</v>
      </c>
      <c r="H1721" s="49">
        <v>9.61</v>
      </c>
      <c r="I1721" s="49">
        <v>16.260000000000002</v>
      </c>
      <c r="J1721" s="49">
        <v>18.940000000000001</v>
      </c>
      <c r="K1721" s="49">
        <v>24.51</v>
      </c>
      <c r="L1721" s="49">
        <v>7.43</v>
      </c>
      <c r="M1721" s="49">
        <v>16.100000000000001</v>
      </c>
      <c r="N1721" s="49">
        <v>29.41</v>
      </c>
      <c r="O1721" s="49">
        <v>45.09</v>
      </c>
      <c r="P1721" s="49">
        <v>0</v>
      </c>
      <c r="Q1721" s="49">
        <v>0</v>
      </c>
      <c r="R1721" s="49">
        <v>0</v>
      </c>
      <c r="S1721" s="49">
        <v>0</v>
      </c>
    </row>
    <row r="1722" spans="1:19" ht="18">
      <c r="A1722" s="49">
        <v>8930</v>
      </c>
      <c r="B1722" s="49" t="s">
        <v>2033</v>
      </c>
      <c r="C1722" s="49">
        <v>11.46</v>
      </c>
      <c r="D1722" s="49">
        <v>5</v>
      </c>
      <c r="E1722" s="49">
        <v>0</v>
      </c>
      <c r="F1722" s="49">
        <v>9.69</v>
      </c>
      <c r="G1722" s="49">
        <v>19.79</v>
      </c>
      <c r="H1722" s="49">
        <v>48.46</v>
      </c>
      <c r="I1722" s="49">
        <v>4.71</v>
      </c>
      <c r="J1722" s="49">
        <v>30</v>
      </c>
      <c r="K1722" s="49">
        <v>0</v>
      </c>
      <c r="L1722" s="49">
        <v>55.22</v>
      </c>
      <c r="M1722" s="49">
        <v>4.71</v>
      </c>
      <c r="N1722" s="49">
        <v>19.920000000000002</v>
      </c>
      <c r="O1722" s="49">
        <v>13.79</v>
      </c>
      <c r="P1722" s="49">
        <v>47.33</v>
      </c>
      <c r="Q1722" s="49">
        <v>16.170000000000002</v>
      </c>
      <c r="R1722" s="49">
        <v>8.5500000000000007</v>
      </c>
      <c r="S1722" s="49">
        <v>12.97</v>
      </c>
    </row>
    <row r="1723" spans="1:19" ht="18">
      <c r="A1723" s="49">
        <v>8931</v>
      </c>
      <c r="B1723" s="49" t="s">
        <v>2034</v>
      </c>
      <c r="C1723" s="49">
        <v>12.42</v>
      </c>
      <c r="D1723" s="49">
        <v>15.83</v>
      </c>
      <c r="E1723" s="49">
        <v>22.22</v>
      </c>
      <c r="F1723" s="49">
        <v>12.74</v>
      </c>
      <c r="G1723" s="49">
        <v>20.420000000000002</v>
      </c>
      <c r="H1723" s="49">
        <v>18.059999999999999</v>
      </c>
      <c r="I1723" s="49">
        <v>13.76</v>
      </c>
      <c r="J1723" s="49">
        <v>18.329999999999998</v>
      </c>
      <c r="K1723" s="49">
        <v>22.58</v>
      </c>
      <c r="L1723" s="49">
        <v>25.83</v>
      </c>
      <c r="M1723" s="49">
        <v>20.59</v>
      </c>
      <c r="N1723" s="49">
        <v>23.77</v>
      </c>
      <c r="O1723" s="49">
        <v>22.22</v>
      </c>
      <c r="P1723" s="49">
        <v>21.22</v>
      </c>
      <c r="Q1723" s="49">
        <v>18.170000000000002</v>
      </c>
      <c r="R1723" s="49">
        <v>22.13</v>
      </c>
      <c r="S1723" s="49">
        <v>15.59</v>
      </c>
    </row>
    <row r="1724" spans="1:19" ht="18">
      <c r="A1724" s="49">
        <v>8932</v>
      </c>
      <c r="B1724" s="49" t="s">
        <v>2035</v>
      </c>
      <c r="C1724" s="49">
        <v>0</v>
      </c>
      <c r="D1724" s="49">
        <v>0</v>
      </c>
      <c r="E1724" s="49">
        <v>25.12</v>
      </c>
      <c r="F1724" s="49">
        <v>18.16</v>
      </c>
      <c r="G1724" s="49">
        <v>0</v>
      </c>
      <c r="H1724" s="49">
        <v>0</v>
      </c>
      <c r="I1724" s="49">
        <v>12.79</v>
      </c>
      <c r="J1724" s="49">
        <v>20.09</v>
      </c>
      <c r="K1724" s="49">
        <v>11.45</v>
      </c>
      <c r="L1724" s="49">
        <v>28.62</v>
      </c>
      <c r="M1724" s="49">
        <v>0</v>
      </c>
      <c r="N1724" s="49">
        <v>0</v>
      </c>
      <c r="O1724" s="49">
        <v>2.35</v>
      </c>
      <c r="P1724" s="49">
        <v>0</v>
      </c>
      <c r="Q1724" s="49">
        <v>0</v>
      </c>
      <c r="R1724" s="49">
        <v>0</v>
      </c>
      <c r="S1724" s="49">
        <v>294.87</v>
      </c>
    </row>
    <row r="1725" spans="1:19" ht="18">
      <c r="A1725" s="49">
        <v>8933</v>
      </c>
      <c r="B1725" s="49" t="s">
        <v>2036</v>
      </c>
      <c r="C1725" s="49">
        <v>25.17</v>
      </c>
      <c r="D1725" s="49">
        <v>0</v>
      </c>
      <c r="E1725" s="49">
        <v>11.04</v>
      </c>
      <c r="F1725" s="49">
        <v>22.27</v>
      </c>
      <c r="G1725" s="49">
        <v>16.72</v>
      </c>
      <c r="H1725" s="49">
        <v>10.57</v>
      </c>
      <c r="I1725" s="49">
        <v>16.7</v>
      </c>
      <c r="J1725" s="49">
        <v>29.31</v>
      </c>
      <c r="K1725" s="49">
        <v>8.0299999999999994</v>
      </c>
      <c r="L1725" s="49">
        <v>21.86</v>
      </c>
      <c r="M1725" s="49">
        <v>63.04</v>
      </c>
      <c r="N1725" s="49">
        <v>0</v>
      </c>
      <c r="O1725" s="49">
        <v>0</v>
      </c>
      <c r="P1725" s="49">
        <v>35.76</v>
      </c>
      <c r="Q1725" s="49">
        <v>443.33</v>
      </c>
      <c r="R1725" s="49">
        <v>13.64</v>
      </c>
      <c r="S1725" s="49">
        <v>0</v>
      </c>
    </row>
    <row r="1726" spans="1:19" ht="18">
      <c r="A1726" s="49">
        <v>8935</v>
      </c>
      <c r="B1726" s="49" t="s">
        <v>2037</v>
      </c>
      <c r="C1726" s="49">
        <v>0</v>
      </c>
      <c r="D1726" s="49">
        <v>0</v>
      </c>
      <c r="E1726" s="49">
        <v>0</v>
      </c>
      <c r="F1726" s="49">
        <v>0</v>
      </c>
      <c r="G1726" s="49">
        <v>0</v>
      </c>
      <c r="H1726" s="49">
        <v>0</v>
      </c>
      <c r="I1726" s="49">
        <v>0</v>
      </c>
      <c r="J1726" s="49">
        <v>0</v>
      </c>
      <c r="K1726" s="49">
        <v>0</v>
      </c>
      <c r="L1726" s="49">
        <v>0</v>
      </c>
      <c r="M1726" s="49">
        <v>0</v>
      </c>
      <c r="N1726" s="49">
        <v>3.9</v>
      </c>
      <c r="O1726" s="49">
        <v>0</v>
      </c>
      <c r="P1726" s="49">
        <v>0</v>
      </c>
      <c r="Q1726" s="49">
        <v>31.16</v>
      </c>
      <c r="R1726" s="49">
        <v>53.8</v>
      </c>
      <c r="S1726" s="49">
        <v>0</v>
      </c>
    </row>
    <row r="1727" spans="1:19" ht="18">
      <c r="A1727" s="49">
        <v>8936</v>
      </c>
      <c r="B1727" s="49" t="s">
        <v>2038</v>
      </c>
      <c r="C1727" s="49">
        <v>15.55</v>
      </c>
      <c r="D1727" s="49">
        <v>0</v>
      </c>
      <c r="E1727" s="49">
        <v>64.83</v>
      </c>
      <c r="F1727" s="49">
        <v>18.329999999999998</v>
      </c>
      <c r="G1727" s="49">
        <v>2.52</v>
      </c>
      <c r="H1727" s="49">
        <v>41.11</v>
      </c>
      <c r="I1727" s="49">
        <v>24.56</v>
      </c>
      <c r="J1727" s="49">
        <v>15.51</v>
      </c>
      <c r="K1727" s="49">
        <v>13.39</v>
      </c>
      <c r="L1727" s="49">
        <v>0</v>
      </c>
      <c r="M1727" s="49">
        <v>0</v>
      </c>
      <c r="N1727" s="49">
        <v>75.77</v>
      </c>
      <c r="O1727" s="49">
        <v>21.8</v>
      </c>
      <c r="P1727" s="49">
        <v>291.88</v>
      </c>
      <c r="Q1727" s="49">
        <v>13.58</v>
      </c>
      <c r="R1727" s="49">
        <v>9.18</v>
      </c>
      <c r="S1727" s="49">
        <v>16.440000000000001</v>
      </c>
    </row>
    <row r="1728" spans="1:19" ht="18">
      <c r="A1728" s="49">
        <v>8937</v>
      </c>
      <c r="B1728" s="49" t="s">
        <v>2039</v>
      </c>
      <c r="C1728" s="49">
        <v>88.75</v>
      </c>
      <c r="D1728" s="49">
        <v>69.17</v>
      </c>
      <c r="E1728" s="49">
        <v>0</v>
      </c>
      <c r="F1728" s="49">
        <v>0</v>
      </c>
      <c r="G1728" s="49">
        <v>0</v>
      </c>
      <c r="H1728" s="49">
        <v>0</v>
      </c>
      <c r="I1728" s="49">
        <v>50.31</v>
      </c>
      <c r="J1728" s="49">
        <v>90</v>
      </c>
      <c r="K1728" s="49">
        <v>45.56</v>
      </c>
      <c r="L1728" s="49">
        <v>0</v>
      </c>
      <c r="M1728" s="49">
        <v>0</v>
      </c>
      <c r="N1728" s="49">
        <v>727.5</v>
      </c>
      <c r="O1728" s="49">
        <v>0</v>
      </c>
      <c r="P1728" s="49">
        <v>0</v>
      </c>
      <c r="Q1728" s="49">
        <v>0</v>
      </c>
      <c r="R1728" s="49">
        <v>164.44</v>
      </c>
      <c r="S1728" s="49">
        <v>35.17</v>
      </c>
    </row>
    <row r="1729" spans="1:19" ht="18">
      <c r="A1729" s="49">
        <v>8938</v>
      </c>
      <c r="B1729" s="49" t="s">
        <v>2040</v>
      </c>
      <c r="C1729" s="49">
        <v>11.49</v>
      </c>
      <c r="D1729" s="49">
        <v>6.5</v>
      </c>
      <c r="E1729" s="49">
        <v>14.3</v>
      </c>
      <c r="F1729" s="49">
        <v>11.45</v>
      </c>
      <c r="G1729" s="49">
        <v>76.319999999999993</v>
      </c>
      <c r="H1729" s="49">
        <v>14.91</v>
      </c>
      <c r="I1729" s="49">
        <v>0</v>
      </c>
      <c r="J1729" s="49">
        <v>0</v>
      </c>
      <c r="K1729" s="49">
        <v>0</v>
      </c>
      <c r="L1729" s="49">
        <v>12.91</v>
      </c>
      <c r="M1729" s="49">
        <v>9.4700000000000006</v>
      </c>
      <c r="N1729" s="49">
        <v>9.5</v>
      </c>
      <c r="O1729" s="49">
        <v>8.34</v>
      </c>
      <c r="P1729" s="49">
        <v>9.49</v>
      </c>
      <c r="Q1729" s="49">
        <v>8.34</v>
      </c>
      <c r="R1729" s="49">
        <v>6.02</v>
      </c>
      <c r="S1729" s="49">
        <v>18.57</v>
      </c>
    </row>
    <row r="1730" spans="1:19" ht="18">
      <c r="A1730" s="49">
        <v>8940</v>
      </c>
      <c r="B1730" s="49" t="s">
        <v>1197</v>
      </c>
      <c r="C1730" s="49">
        <v>13.22</v>
      </c>
      <c r="D1730" s="49">
        <v>29.85</v>
      </c>
      <c r="E1730" s="49">
        <v>31.62</v>
      </c>
      <c r="F1730" s="49">
        <v>29.36</v>
      </c>
      <c r="G1730" s="49">
        <v>22.13</v>
      </c>
      <c r="H1730" s="49">
        <v>14.37</v>
      </c>
      <c r="I1730" s="49">
        <v>124.21</v>
      </c>
      <c r="J1730" s="49">
        <v>0</v>
      </c>
      <c r="K1730" s="49">
        <v>0</v>
      </c>
      <c r="L1730" s="49">
        <v>47.83</v>
      </c>
      <c r="M1730" s="49">
        <v>0</v>
      </c>
      <c r="N1730" s="49">
        <v>0</v>
      </c>
      <c r="O1730" s="49">
        <v>0</v>
      </c>
      <c r="P1730" s="49">
        <v>0</v>
      </c>
      <c r="Q1730" s="49">
        <v>0</v>
      </c>
      <c r="R1730" s="49">
        <v>0</v>
      </c>
      <c r="S1730" s="49">
        <v>20.79</v>
      </c>
    </row>
    <row r="1731" spans="1:19" ht="18">
      <c r="A1731" s="49">
        <v>8941</v>
      </c>
      <c r="B1731" s="49" t="s">
        <v>2041</v>
      </c>
      <c r="C1731" s="49">
        <v>15</v>
      </c>
      <c r="D1731" s="49">
        <v>0</v>
      </c>
      <c r="E1731" s="49">
        <v>0</v>
      </c>
      <c r="F1731" s="49">
        <v>0</v>
      </c>
      <c r="G1731" s="49">
        <v>0</v>
      </c>
      <c r="H1731" s="49">
        <v>0</v>
      </c>
      <c r="I1731" s="49">
        <v>0</v>
      </c>
      <c r="J1731" s="49">
        <v>4.0599999999999996</v>
      </c>
      <c r="K1731" s="49">
        <v>86.24</v>
      </c>
      <c r="L1731" s="49">
        <v>1667.5</v>
      </c>
      <c r="M1731" s="49">
        <v>5.97</v>
      </c>
      <c r="N1731" s="49">
        <v>20.18</v>
      </c>
      <c r="O1731" s="49">
        <v>14.22</v>
      </c>
      <c r="P1731" s="49">
        <v>18.809999999999999</v>
      </c>
      <c r="Q1731" s="49">
        <v>12.99</v>
      </c>
      <c r="R1731" s="49">
        <v>6.16</v>
      </c>
      <c r="S1731" s="49">
        <v>13.66</v>
      </c>
    </row>
    <row r="1732" spans="1:19" ht="18">
      <c r="A1732" s="49">
        <v>8942</v>
      </c>
      <c r="B1732" s="49" t="s">
        <v>2042</v>
      </c>
      <c r="C1732" s="49">
        <v>11.4</v>
      </c>
      <c r="D1732" s="49">
        <v>6.67</v>
      </c>
      <c r="E1732" s="49">
        <v>22.9</v>
      </c>
      <c r="F1732" s="49">
        <v>29.01</v>
      </c>
      <c r="G1732" s="49">
        <v>13.13</v>
      </c>
      <c r="H1732" s="49">
        <v>12.01</v>
      </c>
      <c r="I1732" s="49">
        <v>17.510000000000002</v>
      </c>
      <c r="J1732" s="49">
        <v>23.04</v>
      </c>
      <c r="K1732" s="49">
        <v>10.94</v>
      </c>
      <c r="L1732" s="49">
        <v>12.01</v>
      </c>
      <c r="M1732" s="49">
        <v>180.56</v>
      </c>
      <c r="N1732" s="49">
        <v>9.4499999999999993</v>
      </c>
      <c r="O1732" s="49">
        <v>9.27</v>
      </c>
      <c r="P1732" s="49">
        <v>11.59</v>
      </c>
      <c r="Q1732" s="49">
        <v>9.6300000000000008</v>
      </c>
      <c r="R1732" s="49">
        <v>6.11</v>
      </c>
      <c r="S1732" s="49">
        <v>8.8000000000000007</v>
      </c>
    </row>
    <row r="1733" spans="1:19" ht="18">
      <c r="A1733" s="49">
        <v>8996</v>
      </c>
      <c r="B1733" s="49" t="s">
        <v>1198</v>
      </c>
      <c r="C1733" s="49">
        <v>12.33</v>
      </c>
      <c r="D1733" s="49">
        <v>8</v>
      </c>
      <c r="E1733" s="49">
        <v>0</v>
      </c>
      <c r="F1733" s="49">
        <v>50</v>
      </c>
      <c r="G1733" s="49">
        <v>25.2</v>
      </c>
      <c r="H1733" s="49">
        <v>19.059999999999999</v>
      </c>
      <c r="I1733" s="49">
        <v>29.71</v>
      </c>
      <c r="J1733" s="49">
        <v>22.91</v>
      </c>
      <c r="K1733" s="49">
        <v>34.79</v>
      </c>
      <c r="L1733" s="49">
        <v>14.46</v>
      </c>
      <c r="M1733" s="49">
        <v>30.88</v>
      </c>
      <c r="N1733" s="49">
        <v>14.62</v>
      </c>
      <c r="O1733" s="49">
        <v>26.28</v>
      </c>
      <c r="P1733" s="49">
        <v>49.55</v>
      </c>
      <c r="Q1733" s="49">
        <v>43.22</v>
      </c>
      <c r="R1733" s="49">
        <v>72.87</v>
      </c>
      <c r="S1733" s="49">
        <v>31.1</v>
      </c>
    </row>
    <row r="1734" spans="1:19" ht="18">
      <c r="A1734" s="49">
        <v>9802</v>
      </c>
      <c r="B1734" s="49" t="s">
        <v>1199</v>
      </c>
      <c r="C1734" s="49">
        <v>0</v>
      </c>
      <c r="D1734" s="49">
        <v>0</v>
      </c>
      <c r="E1734" s="49">
        <v>0</v>
      </c>
      <c r="F1734" s="49">
        <v>0</v>
      </c>
      <c r="G1734" s="49">
        <v>0</v>
      </c>
      <c r="H1734" s="49">
        <v>6.84</v>
      </c>
      <c r="I1734" s="49">
        <v>11.92</v>
      </c>
      <c r="J1734" s="49">
        <v>18.18</v>
      </c>
      <c r="K1734" s="49">
        <v>37.54</v>
      </c>
      <c r="L1734" s="49">
        <v>17.48</v>
      </c>
      <c r="M1734" s="49">
        <v>12.2</v>
      </c>
      <c r="N1734" s="49">
        <v>9.5299999999999994</v>
      </c>
      <c r="O1734" s="49">
        <v>20.84</v>
      </c>
      <c r="P1734" s="49">
        <v>19.11</v>
      </c>
      <c r="Q1734" s="49">
        <v>18.28</v>
      </c>
      <c r="R1734" s="49">
        <v>9.0500000000000007</v>
      </c>
      <c r="S1734" s="49">
        <v>12.48</v>
      </c>
    </row>
    <row r="1735" spans="1:19" ht="18">
      <c r="A1735" s="49">
        <v>9902</v>
      </c>
      <c r="B1735" s="49" t="s">
        <v>1200</v>
      </c>
      <c r="C1735" s="49">
        <v>0</v>
      </c>
      <c r="D1735" s="49">
        <v>3.79</v>
      </c>
      <c r="E1735" s="49">
        <v>0</v>
      </c>
      <c r="F1735" s="49">
        <v>13.96</v>
      </c>
      <c r="G1735" s="49">
        <v>0</v>
      </c>
      <c r="H1735" s="49">
        <v>0</v>
      </c>
      <c r="I1735" s="49">
        <v>10.24</v>
      </c>
      <c r="J1735" s="49">
        <v>0</v>
      </c>
      <c r="K1735" s="49">
        <v>33.67</v>
      </c>
      <c r="L1735" s="49">
        <v>240</v>
      </c>
      <c r="M1735" s="49">
        <v>0</v>
      </c>
      <c r="N1735" s="49">
        <v>468.5</v>
      </c>
      <c r="O1735" s="49">
        <v>25</v>
      </c>
      <c r="P1735" s="49">
        <v>42.31</v>
      </c>
      <c r="Q1735" s="49">
        <v>11.51</v>
      </c>
      <c r="R1735" s="49">
        <v>0</v>
      </c>
      <c r="S1735" s="49">
        <v>61.43</v>
      </c>
    </row>
    <row r="1736" spans="1:19" ht="18">
      <c r="A1736" s="49">
        <v>9904</v>
      </c>
      <c r="B1736" s="49" t="s">
        <v>1201</v>
      </c>
      <c r="C1736" s="49">
        <v>17.57</v>
      </c>
      <c r="D1736" s="49">
        <v>6.54</v>
      </c>
      <c r="E1736" s="49">
        <v>13.88</v>
      </c>
      <c r="F1736" s="49">
        <v>9.26</v>
      </c>
      <c r="G1736" s="49">
        <v>12.43</v>
      </c>
      <c r="H1736" s="49">
        <v>9.3800000000000008</v>
      </c>
      <c r="I1736" s="49">
        <v>13.54</v>
      </c>
      <c r="J1736" s="49">
        <v>12.77</v>
      </c>
      <c r="K1736" s="49">
        <v>11.74</v>
      </c>
      <c r="L1736" s="49">
        <v>11.75</v>
      </c>
      <c r="M1736" s="49">
        <v>8.59</v>
      </c>
      <c r="N1736" s="49">
        <v>7.8</v>
      </c>
      <c r="O1736" s="49">
        <v>8.5</v>
      </c>
      <c r="P1736" s="49">
        <v>20.66</v>
      </c>
      <c r="Q1736" s="49">
        <v>7.3</v>
      </c>
      <c r="R1736" s="49">
        <v>5.82</v>
      </c>
      <c r="S1736" s="49">
        <v>11.66</v>
      </c>
    </row>
    <row r="1737" spans="1:19" ht="18">
      <c r="A1737" s="49">
        <v>9905</v>
      </c>
      <c r="B1737" s="49" t="s">
        <v>1202</v>
      </c>
      <c r="C1737" s="49">
        <v>15.37</v>
      </c>
      <c r="D1737" s="49">
        <v>8.1300000000000008</v>
      </c>
      <c r="E1737" s="49">
        <v>19.3</v>
      </c>
      <c r="F1737" s="49">
        <v>12.97</v>
      </c>
      <c r="G1737" s="49">
        <v>12.91</v>
      </c>
      <c r="H1737" s="49">
        <v>12.66</v>
      </c>
      <c r="I1737" s="49">
        <v>12.8</v>
      </c>
      <c r="J1737" s="49">
        <v>11.72</v>
      </c>
      <c r="K1737" s="49">
        <v>11.14</v>
      </c>
      <c r="L1737" s="49">
        <v>14.31</v>
      </c>
      <c r="M1737" s="49">
        <v>12.39</v>
      </c>
      <c r="N1737" s="49">
        <v>15.16</v>
      </c>
      <c r="O1737" s="49">
        <v>16.12</v>
      </c>
      <c r="P1737" s="49">
        <v>12.2</v>
      </c>
      <c r="Q1737" s="49">
        <v>13.61</v>
      </c>
      <c r="R1737" s="49">
        <v>15.61</v>
      </c>
      <c r="S1737" s="49">
        <v>16.239999999999998</v>
      </c>
    </row>
    <row r="1738" spans="1:19" ht="18">
      <c r="A1738" s="49">
        <v>9906</v>
      </c>
      <c r="B1738" s="49" t="s">
        <v>1203</v>
      </c>
      <c r="C1738" s="49">
        <v>0.71</v>
      </c>
      <c r="D1738" s="49">
        <v>15.22</v>
      </c>
      <c r="E1738" s="49">
        <v>0</v>
      </c>
      <c r="F1738" s="49">
        <v>0</v>
      </c>
      <c r="G1738" s="49">
        <v>1.79</v>
      </c>
      <c r="H1738" s="49">
        <v>2.0699999999999998</v>
      </c>
      <c r="I1738" s="49">
        <v>0</v>
      </c>
      <c r="J1738" s="49">
        <v>0</v>
      </c>
      <c r="K1738" s="49">
        <v>49.29</v>
      </c>
      <c r="L1738" s="49">
        <v>25.62</v>
      </c>
      <c r="M1738" s="49">
        <v>25.81</v>
      </c>
      <c r="N1738" s="49">
        <v>23.2</v>
      </c>
      <c r="O1738" s="49">
        <v>0</v>
      </c>
      <c r="P1738" s="49">
        <v>0</v>
      </c>
      <c r="Q1738" s="49">
        <v>31.13</v>
      </c>
      <c r="R1738" s="49">
        <v>8.27</v>
      </c>
      <c r="S1738" s="49">
        <v>8.48</v>
      </c>
    </row>
    <row r="1739" spans="1:19" ht="18">
      <c r="A1739" s="49">
        <v>9907</v>
      </c>
      <c r="B1739" s="49" t="s">
        <v>1204</v>
      </c>
      <c r="C1739" s="49">
        <v>15.28</v>
      </c>
      <c r="D1739" s="49">
        <v>7.02</v>
      </c>
      <c r="E1739" s="49">
        <v>122.5</v>
      </c>
      <c r="F1739" s="49">
        <v>10.39</v>
      </c>
      <c r="G1739" s="49">
        <v>21.88</v>
      </c>
      <c r="H1739" s="49">
        <v>188.33</v>
      </c>
      <c r="I1739" s="49">
        <v>38.729999999999997</v>
      </c>
      <c r="J1739" s="49">
        <v>33.33</v>
      </c>
      <c r="K1739" s="49">
        <v>25.48</v>
      </c>
      <c r="L1739" s="49">
        <v>39.57</v>
      </c>
      <c r="M1739" s="49">
        <v>27.9</v>
      </c>
      <c r="N1739" s="49">
        <v>15.19</v>
      </c>
      <c r="O1739" s="49">
        <v>24.27</v>
      </c>
      <c r="P1739" s="49">
        <v>21.55</v>
      </c>
      <c r="Q1739" s="49">
        <v>16.170000000000002</v>
      </c>
      <c r="R1739" s="49">
        <v>9.74</v>
      </c>
      <c r="S1739" s="49">
        <v>34.36</v>
      </c>
    </row>
    <row r="1740" spans="1:19" ht="18">
      <c r="A1740" s="49">
        <v>9908</v>
      </c>
      <c r="B1740" s="49" t="s">
        <v>1205</v>
      </c>
      <c r="C1740" s="49">
        <v>16.14</v>
      </c>
      <c r="D1740" s="49">
        <v>14.12</v>
      </c>
      <c r="E1740" s="49">
        <v>19.32</v>
      </c>
      <c r="F1740" s="49">
        <v>14.31</v>
      </c>
      <c r="G1740" s="49">
        <v>14.67</v>
      </c>
      <c r="H1740" s="49">
        <v>16.63</v>
      </c>
      <c r="I1740" s="49">
        <v>18.75</v>
      </c>
      <c r="J1740" s="49">
        <v>17</v>
      </c>
      <c r="K1740" s="49">
        <v>19.579999999999998</v>
      </c>
      <c r="L1740" s="49">
        <v>17.36</v>
      </c>
      <c r="M1740" s="49">
        <v>17.23</v>
      </c>
      <c r="N1740" s="49">
        <v>21.09</v>
      </c>
      <c r="O1740" s="49">
        <v>19.940000000000001</v>
      </c>
      <c r="P1740" s="49">
        <v>21.3</v>
      </c>
      <c r="Q1740" s="49">
        <v>20.75</v>
      </c>
      <c r="R1740" s="49">
        <v>18.649999999999999</v>
      </c>
      <c r="S1740" s="49">
        <v>14.8</v>
      </c>
    </row>
    <row r="1741" spans="1:19" ht="18">
      <c r="A1741" s="49">
        <v>9910</v>
      </c>
      <c r="B1741" s="49" t="s">
        <v>1206</v>
      </c>
      <c r="C1741" s="49">
        <v>12.01</v>
      </c>
      <c r="D1741" s="49">
        <v>8.02</v>
      </c>
      <c r="E1741" s="49">
        <v>9.5299999999999994</v>
      </c>
      <c r="F1741" s="49">
        <v>10.74</v>
      </c>
      <c r="G1741" s="49">
        <v>10.56</v>
      </c>
      <c r="H1741" s="49">
        <v>11.71</v>
      </c>
      <c r="I1741" s="49">
        <v>17.829999999999998</v>
      </c>
      <c r="J1741" s="49">
        <v>20.3</v>
      </c>
      <c r="K1741" s="49">
        <v>25</v>
      </c>
      <c r="L1741" s="49">
        <v>17.309999999999999</v>
      </c>
      <c r="M1741" s="49">
        <v>21.71</v>
      </c>
      <c r="N1741" s="49">
        <v>23.65</v>
      </c>
      <c r="O1741" s="49">
        <v>22.23</v>
      </c>
      <c r="P1741" s="49">
        <v>35.44</v>
      </c>
      <c r="Q1741" s="49">
        <v>49.36</v>
      </c>
      <c r="R1741" s="49">
        <v>20.25</v>
      </c>
      <c r="S1741" s="49">
        <v>32.35</v>
      </c>
    </row>
    <row r="1742" spans="1:19" ht="18">
      <c r="A1742" s="49">
        <v>9911</v>
      </c>
      <c r="B1742" s="49" t="s">
        <v>1207</v>
      </c>
      <c r="C1742" s="49">
        <v>14.93</v>
      </c>
      <c r="D1742" s="49">
        <v>9.92</v>
      </c>
      <c r="E1742" s="49">
        <v>23.01</v>
      </c>
      <c r="F1742" s="49">
        <v>17.66</v>
      </c>
      <c r="G1742" s="49">
        <v>11.4</v>
      </c>
      <c r="H1742" s="49">
        <v>20.43</v>
      </c>
      <c r="I1742" s="49">
        <v>15.52</v>
      </c>
      <c r="J1742" s="49">
        <v>10.65</v>
      </c>
      <c r="K1742" s="49">
        <v>9.84</v>
      </c>
      <c r="L1742" s="49">
        <v>10.39</v>
      </c>
      <c r="M1742" s="49">
        <v>12.72</v>
      </c>
      <c r="N1742" s="49">
        <v>10.01</v>
      </c>
      <c r="O1742" s="49">
        <v>12.71</v>
      </c>
      <c r="P1742" s="49">
        <v>12.54</v>
      </c>
      <c r="Q1742" s="49">
        <v>14.14</v>
      </c>
      <c r="R1742" s="49">
        <v>12.99</v>
      </c>
      <c r="S1742" s="49">
        <v>15.34</v>
      </c>
    </row>
    <row r="1743" spans="1:19" ht="18">
      <c r="A1743" s="49">
        <v>9912</v>
      </c>
      <c r="B1743" s="49" t="s">
        <v>1208</v>
      </c>
      <c r="C1743" s="49">
        <v>11.29</v>
      </c>
      <c r="D1743" s="49">
        <v>0</v>
      </c>
      <c r="E1743" s="49">
        <v>0</v>
      </c>
      <c r="F1743" s="49">
        <v>0</v>
      </c>
      <c r="G1743" s="49">
        <v>19.72</v>
      </c>
      <c r="H1743" s="49">
        <v>0</v>
      </c>
      <c r="I1743" s="49">
        <v>1.33</v>
      </c>
      <c r="J1743" s="49">
        <v>0</v>
      </c>
      <c r="K1743" s="49">
        <v>0</v>
      </c>
      <c r="L1743" s="49">
        <v>0</v>
      </c>
      <c r="M1743" s="49">
        <v>200.5</v>
      </c>
      <c r="N1743" s="49">
        <v>30.03</v>
      </c>
      <c r="O1743" s="49">
        <v>0</v>
      </c>
      <c r="P1743" s="49">
        <v>0</v>
      </c>
      <c r="Q1743" s="49">
        <v>0</v>
      </c>
      <c r="R1743" s="49">
        <v>65.36</v>
      </c>
      <c r="S1743" s="49">
        <v>0</v>
      </c>
    </row>
    <row r="1744" spans="1:19" ht="18">
      <c r="A1744" s="49">
        <v>9914</v>
      </c>
      <c r="B1744" s="49" t="s">
        <v>1209</v>
      </c>
      <c r="C1744" s="49">
        <v>10.79</v>
      </c>
      <c r="D1744" s="49">
        <v>7.25</v>
      </c>
      <c r="E1744" s="49">
        <v>9.77</v>
      </c>
      <c r="F1744" s="49">
        <v>11.36</v>
      </c>
      <c r="G1744" s="49">
        <v>10.36</v>
      </c>
      <c r="H1744" s="49">
        <v>17.59</v>
      </c>
      <c r="I1744" s="49">
        <v>20.350000000000001</v>
      </c>
      <c r="J1744" s="49">
        <v>20.87</v>
      </c>
      <c r="K1744" s="49">
        <v>15.89</v>
      </c>
      <c r="L1744" s="49">
        <v>21.24</v>
      </c>
      <c r="M1744" s="49">
        <v>27.06</v>
      </c>
      <c r="N1744" s="49">
        <v>35.57</v>
      </c>
      <c r="O1744" s="49">
        <v>21.98</v>
      </c>
      <c r="P1744" s="49">
        <v>20.12</v>
      </c>
      <c r="Q1744" s="49">
        <v>22.57</v>
      </c>
      <c r="R1744" s="49">
        <v>11.16</v>
      </c>
      <c r="S1744" s="49">
        <v>23.73</v>
      </c>
    </row>
    <row r="1745" spans="1:19" ht="18">
      <c r="A1745" s="49">
        <v>9917</v>
      </c>
      <c r="B1745" s="49" t="s">
        <v>1210</v>
      </c>
      <c r="C1745" s="49">
        <v>13.16</v>
      </c>
      <c r="D1745" s="49">
        <v>13.73</v>
      </c>
      <c r="E1745" s="49">
        <v>17.64</v>
      </c>
      <c r="F1745" s="49">
        <v>15.45</v>
      </c>
      <c r="G1745" s="49">
        <v>13.4</v>
      </c>
      <c r="H1745" s="49">
        <v>15.88</v>
      </c>
      <c r="I1745" s="49">
        <v>17.27</v>
      </c>
      <c r="J1745" s="49">
        <v>17.66</v>
      </c>
      <c r="K1745" s="49">
        <v>21.1</v>
      </c>
      <c r="L1745" s="49">
        <v>20.75</v>
      </c>
      <c r="M1745" s="49">
        <v>39.65</v>
      </c>
      <c r="N1745" s="49">
        <v>20.28</v>
      </c>
      <c r="O1745" s="49">
        <v>18.309999999999999</v>
      </c>
      <c r="P1745" s="49">
        <v>17.809999999999999</v>
      </c>
      <c r="Q1745" s="49">
        <v>18.02</v>
      </c>
      <c r="R1745" s="49">
        <v>16.95</v>
      </c>
      <c r="S1745" s="49">
        <v>20.03</v>
      </c>
    </row>
    <row r="1746" spans="1:19" ht="18">
      <c r="A1746" s="49">
        <v>9918</v>
      </c>
      <c r="B1746" s="49" t="s">
        <v>1211</v>
      </c>
      <c r="C1746" s="49">
        <v>12.1</v>
      </c>
      <c r="D1746" s="49">
        <v>19.350000000000001</v>
      </c>
      <c r="E1746" s="49">
        <v>20.56</v>
      </c>
      <c r="F1746" s="49">
        <v>19.489999999999998</v>
      </c>
      <c r="G1746" s="49">
        <v>19.48</v>
      </c>
      <c r="H1746" s="49">
        <v>20.100000000000001</v>
      </c>
      <c r="I1746" s="49">
        <v>21.8</v>
      </c>
      <c r="J1746" s="49">
        <v>29.46</v>
      </c>
      <c r="K1746" s="49">
        <v>26.53</v>
      </c>
      <c r="L1746" s="49">
        <v>26.99</v>
      </c>
      <c r="M1746" s="49">
        <v>22.05</v>
      </c>
      <c r="N1746" s="49">
        <v>26.59</v>
      </c>
      <c r="O1746" s="49">
        <v>23.91</v>
      </c>
      <c r="P1746" s="49">
        <v>24.68</v>
      </c>
      <c r="Q1746" s="49">
        <v>22.77</v>
      </c>
      <c r="R1746" s="49">
        <v>34.630000000000003</v>
      </c>
      <c r="S1746" s="49">
        <v>23.01</v>
      </c>
    </row>
    <row r="1747" spans="1:19" ht="18">
      <c r="A1747" s="49">
        <v>9919</v>
      </c>
      <c r="B1747" s="49" t="s">
        <v>1212</v>
      </c>
      <c r="C1747" s="49">
        <v>23.42</v>
      </c>
      <c r="D1747" s="49">
        <v>14.83</v>
      </c>
      <c r="E1747" s="49">
        <v>14.07</v>
      </c>
      <c r="F1747" s="49">
        <v>15.63</v>
      </c>
      <c r="G1747" s="49">
        <v>19.53</v>
      </c>
      <c r="H1747" s="49">
        <v>30.58</v>
      </c>
      <c r="I1747" s="49">
        <v>0</v>
      </c>
      <c r="J1747" s="49">
        <v>50.37</v>
      </c>
      <c r="K1747" s="49">
        <v>45.77</v>
      </c>
      <c r="L1747" s="49">
        <v>51.19</v>
      </c>
      <c r="M1747" s="49">
        <v>0</v>
      </c>
      <c r="N1747" s="49">
        <v>0</v>
      </c>
      <c r="O1747" s="49">
        <v>0</v>
      </c>
      <c r="P1747" s="49">
        <v>9.16</v>
      </c>
      <c r="Q1747" s="49">
        <v>17.32</v>
      </c>
      <c r="R1747" s="49">
        <v>0</v>
      </c>
      <c r="S1747" s="49">
        <v>7.84</v>
      </c>
    </row>
    <row r="1748" spans="1:19" ht="18">
      <c r="A1748" s="49">
        <v>9921</v>
      </c>
      <c r="B1748" s="49" t="s">
        <v>1213</v>
      </c>
      <c r="C1748" s="49">
        <v>13.13</v>
      </c>
      <c r="D1748" s="49">
        <v>9.18</v>
      </c>
      <c r="E1748" s="49">
        <v>13.41</v>
      </c>
      <c r="F1748" s="49">
        <v>15.3</v>
      </c>
      <c r="G1748" s="49">
        <v>17.18</v>
      </c>
      <c r="H1748" s="49">
        <v>20.73</v>
      </c>
      <c r="I1748" s="49">
        <v>23.03</v>
      </c>
      <c r="J1748" s="49">
        <v>26.81</v>
      </c>
      <c r="K1748" s="49">
        <v>20.329999999999998</v>
      </c>
      <c r="L1748" s="49">
        <v>21.13</v>
      </c>
      <c r="M1748" s="49">
        <v>23.8</v>
      </c>
      <c r="N1748" s="49">
        <v>24.66</v>
      </c>
      <c r="O1748" s="49">
        <v>22.49</v>
      </c>
      <c r="P1748" s="49">
        <v>24.19</v>
      </c>
      <c r="Q1748" s="49">
        <v>21.05</v>
      </c>
      <c r="R1748" s="49">
        <v>11.18</v>
      </c>
      <c r="S1748" s="49">
        <v>21.65</v>
      </c>
    </row>
    <row r="1749" spans="1:19" ht="18">
      <c r="A1749" s="49">
        <v>9924</v>
      </c>
      <c r="B1749" s="49" t="s">
        <v>1214</v>
      </c>
      <c r="C1749" s="49">
        <v>9.31</v>
      </c>
      <c r="D1749" s="49">
        <v>141.25</v>
      </c>
      <c r="E1749" s="49">
        <v>12.95</v>
      </c>
      <c r="F1749" s="49">
        <v>11.76</v>
      </c>
      <c r="G1749" s="49">
        <v>13.02</v>
      </c>
      <c r="H1749" s="49">
        <v>12.14</v>
      </c>
      <c r="I1749" s="49">
        <v>10.37</v>
      </c>
      <c r="J1749" s="49">
        <v>12.27</v>
      </c>
      <c r="K1749" s="49">
        <v>11.07</v>
      </c>
      <c r="L1749" s="49">
        <v>9.68</v>
      </c>
      <c r="M1749" s="49">
        <v>11.57</v>
      </c>
      <c r="N1749" s="49">
        <v>10.24</v>
      </c>
      <c r="O1749" s="49">
        <v>9.4600000000000009</v>
      </c>
      <c r="P1749" s="49">
        <v>10.38</v>
      </c>
      <c r="Q1749" s="49">
        <v>11.56</v>
      </c>
      <c r="R1749" s="49">
        <v>8.35</v>
      </c>
      <c r="S1749" s="49">
        <v>10.54</v>
      </c>
    </row>
    <row r="1750" spans="1:19" ht="18">
      <c r="A1750" s="49">
        <v>9925</v>
      </c>
      <c r="B1750" s="49" t="s">
        <v>1215</v>
      </c>
      <c r="C1750" s="49">
        <v>12.13</v>
      </c>
      <c r="D1750" s="49">
        <v>11.25</v>
      </c>
      <c r="E1750" s="49">
        <v>8.86</v>
      </c>
      <c r="F1750" s="49">
        <v>13.09</v>
      </c>
      <c r="G1750" s="49">
        <v>11.3</v>
      </c>
      <c r="H1750" s="49">
        <v>13.36</v>
      </c>
      <c r="I1750" s="49">
        <v>14.36</v>
      </c>
      <c r="J1750" s="49">
        <v>13.96</v>
      </c>
      <c r="K1750" s="49">
        <v>14.56</v>
      </c>
      <c r="L1750" s="49">
        <v>15.29</v>
      </c>
      <c r="M1750" s="49">
        <v>15.91</v>
      </c>
      <c r="N1750" s="49">
        <v>16.84</v>
      </c>
      <c r="O1750" s="49">
        <v>18.559999999999999</v>
      </c>
      <c r="P1750" s="49">
        <v>15.46</v>
      </c>
      <c r="Q1750" s="49">
        <v>16</v>
      </c>
      <c r="R1750" s="49">
        <v>15.27</v>
      </c>
      <c r="S1750" s="49">
        <v>16.739999999999998</v>
      </c>
    </row>
    <row r="1751" spans="1:19" ht="18">
      <c r="A1751" s="49">
        <v>9926</v>
      </c>
      <c r="B1751" s="49" t="s">
        <v>1216</v>
      </c>
      <c r="C1751" s="49">
        <v>11.5</v>
      </c>
      <c r="D1751" s="49">
        <v>11.11</v>
      </c>
      <c r="E1751" s="49">
        <v>12.26</v>
      </c>
      <c r="F1751" s="49">
        <v>14.22</v>
      </c>
      <c r="G1751" s="49">
        <v>18.100000000000001</v>
      </c>
      <c r="H1751" s="49">
        <v>24.64</v>
      </c>
      <c r="I1751" s="49">
        <v>28.3</v>
      </c>
      <c r="J1751" s="49">
        <v>24.68</v>
      </c>
      <c r="K1751" s="49">
        <v>24.22</v>
      </c>
      <c r="L1751" s="49">
        <v>23.85</v>
      </c>
      <c r="M1751" s="49">
        <v>21.39</v>
      </c>
      <c r="N1751" s="49">
        <v>21.08</v>
      </c>
      <c r="O1751" s="49">
        <v>19.829999999999998</v>
      </c>
      <c r="P1751" s="49">
        <v>20.93</v>
      </c>
      <c r="Q1751" s="49">
        <v>20.54</v>
      </c>
      <c r="R1751" s="49">
        <v>20.309999999999999</v>
      </c>
      <c r="S1751" s="49">
        <v>21.71</v>
      </c>
    </row>
    <row r="1752" spans="1:19" ht="18">
      <c r="A1752" s="49">
        <v>9927</v>
      </c>
      <c r="B1752" s="49" t="s">
        <v>1217</v>
      </c>
      <c r="C1752" s="49">
        <v>8.65</v>
      </c>
      <c r="D1752" s="49">
        <v>6.51</v>
      </c>
      <c r="E1752" s="49">
        <v>19.04</v>
      </c>
      <c r="F1752" s="49">
        <v>12.74</v>
      </c>
      <c r="G1752" s="49">
        <v>7.53</v>
      </c>
      <c r="H1752" s="49">
        <v>26.71</v>
      </c>
      <c r="I1752" s="49">
        <v>9.01</v>
      </c>
      <c r="J1752" s="49">
        <v>10.17</v>
      </c>
      <c r="K1752" s="49">
        <v>11.36</v>
      </c>
      <c r="L1752" s="49">
        <v>10.51</v>
      </c>
      <c r="M1752" s="49">
        <v>8.41</v>
      </c>
      <c r="N1752" s="49">
        <v>10.27</v>
      </c>
      <c r="O1752" s="49">
        <v>14.36</v>
      </c>
      <c r="P1752" s="49">
        <v>21.76</v>
      </c>
      <c r="Q1752" s="49">
        <v>8.6199999999999992</v>
      </c>
      <c r="R1752" s="49">
        <v>8.51</v>
      </c>
      <c r="S1752" s="49">
        <v>12.11</v>
      </c>
    </row>
    <row r="1753" spans="1:19" ht="18">
      <c r="A1753" s="49">
        <v>9928</v>
      </c>
      <c r="B1753" s="49" t="s">
        <v>1218</v>
      </c>
      <c r="C1753" s="49">
        <v>0</v>
      </c>
      <c r="D1753" s="49">
        <v>0</v>
      </c>
      <c r="E1753" s="49">
        <v>0</v>
      </c>
      <c r="F1753" s="49">
        <v>22.77</v>
      </c>
      <c r="G1753" s="49">
        <v>0</v>
      </c>
      <c r="H1753" s="49">
        <v>0</v>
      </c>
      <c r="I1753" s="49">
        <v>0</v>
      </c>
      <c r="J1753" s="49">
        <v>0</v>
      </c>
      <c r="K1753" s="49">
        <v>0</v>
      </c>
      <c r="L1753" s="49">
        <v>0</v>
      </c>
      <c r="M1753" s="49">
        <v>0</v>
      </c>
      <c r="N1753" s="49">
        <v>0</v>
      </c>
      <c r="O1753" s="49">
        <v>0</v>
      </c>
      <c r="P1753" s="49">
        <v>0</v>
      </c>
      <c r="Q1753" s="49">
        <v>0</v>
      </c>
      <c r="R1753" s="49">
        <v>347</v>
      </c>
      <c r="S1753" s="49">
        <v>0</v>
      </c>
    </row>
    <row r="1754" spans="1:19" ht="18">
      <c r="A1754" s="49">
        <v>9929</v>
      </c>
      <c r="B1754" s="49" t="s">
        <v>1219</v>
      </c>
      <c r="C1754" s="49">
        <v>0</v>
      </c>
      <c r="D1754" s="49">
        <v>0</v>
      </c>
      <c r="E1754" s="49">
        <v>0</v>
      </c>
      <c r="F1754" s="49">
        <v>0</v>
      </c>
      <c r="G1754" s="49">
        <v>0</v>
      </c>
      <c r="H1754" s="49">
        <v>0</v>
      </c>
      <c r="I1754" s="49">
        <v>0</v>
      </c>
      <c r="J1754" s="49">
        <v>0</v>
      </c>
      <c r="K1754" s="49">
        <v>0</v>
      </c>
      <c r="L1754" s="49">
        <v>0</v>
      </c>
      <c r="M1754" s="49">
        <v>580</v>
      </c>
      <c r="N1754" s="49">
        <v>141</v>
      </c>
      <c r="O1754" s="49">
        <v>0</v>
      </c>
      <c r="P1754" s="49">
        <v>2.89</v>
      </c>
      <c r="Q1754" s="49">
        <v>0</v>
      </c>
      <c r="R1754" s="49">
        <v>0</v>
      </c>
      <c r="S1754" s="49">
        <v>55.16</v>
      </c>
    </row>
    <row r="1755" spans="1:19" ht="18">
      <c r="A1755" s="49">
        <v>9930</v>
      </c>
      <c r="B1755" s="49" t="s">
        <v>1220</v>
      </c>
      <c r="C1755" s="49">
        <v>12.03</v>
      </c>
      <c r="D1755" s="49">
        <v>6.41</v>
      </c>
      <c r="E1755" s="49">
        <v>13.07</v>
      </c>
      <c r="F1755" s="49">
        <v>13.96</v>
      </c>
      <c r="G1755" s="49">
        <v>12.51</v>
      </c>
      <c r="H1755" s="49">
        <v>15.48</v>
      </c>
      <c r="I1755" s="49">
        <v>17.989999999999998</v>
      </c>
      <c r="J1755" s="49">
        <v>15.95</v>
      </c>
      <c r="K1755" s="49">
        <v>14.1</v>
      </c>
      <c r="L1755" s="49">
        <v>17.23</v>
      </c>
      <c r="M1755" s="49">
        <v>18.97</v>
      </c>
      <c r="N1755" s="49">
        <v>15.51</v>
      </c>
      <c r="O1755" s="49">
        <v>14.05</v>
      </c>
      <c r="P1755" s="49">
        <v>15.87</v>
      </c>
      <c r="Q1755" s="49">
        <v>15.53</v>
      </c>
      <c r="R1755" s="49">
        <v>14.38</v>
      </c>
      <c r="S1755" s="49">
        <v>18.7</v>
      </c>
    </row>
    <row r="1756" spans="1:19" ht="18">
      <c r="A1756" s="49">
        <v>9931</v>
      </c>
      <c r="B1756" s="49" t="s">
        <v>1221</v>
      </c>
      <c r="C1756" s="49">
        <v>29.46</v>
      </c>
      <c r="D1756" s="49">
        <v>12.2</v>
      </c>
      <c r="E1756" s="49">
        <v>17.96</v>
      </c>
      <c r="F1756" s="49">
        <v>14.04</v>
      </c>
      <c r="G1756" s="49">
        <v>15.73</v>
      </c>
      <c r="H1756" s="49">
        <v>16.37</v>
      </c>
      <c r="I1756" s="49">
        <v>13.17</v>
      </c>
      <c r="J1756" s="49">
        <v>29</v>
      </c>
      <c r="K1756" s="49">
        <v>18.920000000000002</v>
      </c>
      <c r="L1756" s="49">
        <v>17.12</v>
      </c>
      <c r="M1756" s="49">
        <v>18.52</v>
      </c>
      <c r="N1756" s="49">
        <v>14.95</v>
      </c>
      <c r="O1756" s="49">
        <v>18.98</v>
      </c>
      <c r="P1756" s="49">
        <v>26.35</v>
      </c>
      <c r="Q1756" s="49">
        <v>21.89</v>
      </c>
      <c r="R1756" s="49">
        <v>19.559999999999999</v>
      </c>
      <c r="S1756" s="49">
        <v>30.66</v>
      </c>
    </row>
    <row r="1757" spans="1:19" ht="18">
      <c r="A1757" s="49">
        <v>9933</v>
      </c>
      <c r="B1757" s="49" t="s">
        <v>1222</v>
      </c>
      <c r="C1757" s="49">
        <v>12.87</v>
      </c>
      <c r="D1757" s="49">
        <v>8.94</v>
      </c>
      <c r="E1757" s="49">
        <v>11.51</v>
      </c>
      <c r="F1757" s="49">
        <v>14.05</v>
      </c>
      <c r="G1757" s="49">
        <v>11.83</v>
      </c>
      <c r="H1757" s="49">
        <v>18.52</v>
      </c>
      <c r="I1757" s="49">
        <v>18.510000000000002</v>
      </c>
      <c r="J1757" s="49">
        <v>24</v>
      </c>
      <c r="K1757" s="49">
        <v>12.99</v>
      </c>
      <c r="L1757" s="49">
        <v>15.92</v>
      </c>
      <c r="M1757" s="49">
        <v>12.94</v>
      </c>
      <c r="N1757" s="49">
        <v>17.41</v>
      </c>
      <c r="O1757" s="49">
        <v>27.61</v>
      </c>
      <c r="P1757" s="49">
        <v>24.81</v>
      </c>
      <c r="Q1757" s="49">
        <v>22.01</v>
      </c>
      <c r="R1757" s="49">
        <v>13.04</v>
      </c>
      <c r="S1757" s="49">
        <v>19.329999999999998</v>
      </c>
    </row>
    <row r="1758" spans="1:19" ht="18">
      <c r="A1758" s="49">
        <v>9934</v>
      </c>
      <c r="B1758" s="49" t="s">
        <v>1223</v>
      </c>
      <c r="C1758" s="49">
        <v>14.24</v>
      </c>
      <c r="D1758" s="49">
        <v>10.5</v>
      </c>
      <c r="E1758" s="49">
        <v>28.66</v>
      </c>
      <c r="F1758" s="49">
        <v>10.94</v>
      </c>
      <c r="G1758" s="49">
        <v>19.14</v>
      </c>
      <c r="H1758" s="49">
        <v>0</v>
      </c>
      <c r="I1758" s="49">
        <v>0</v>
      </c>
      <c r="J1758" s="49">
        <v>2.86</v>
      </c>
      <c r="K1758" s="49">
        <v>12.11</v>
      </c>
      <c r="L1758" s="49">
        <v>0</v>
      </c>
      <c r="M1758" s="49">
        <v>11.33</v>
      </c>
      <c r="N1758" s="49">
        <v>11.8</v>
      </c>
      <c r="O1758" s="49">
        <v>9.23</v>
      </c>
      <c r="P1758" s="49">
        <v>0</v>
      </c>
      <c r="Q1758" s="49">
        <v>17.98</v>
      </c>
      <c r="R1758" s="49">
        <v>0</v>
      </c>
      <c r="S1758" s="49">
        <v>12.66</v>
      </c>
    </row>
    <row r="1759" spans="1:19" ht="18">
      <c r="A1759" s="49">
        <v>9935</v>
      </c>
      <c r="B1759" s="49" t="s">
        <v>1224</v>
      </c>
      <c r="C1759" s="49">
        <v>19.73</v>
      </c>
      <c r="D1759" s="49">
        <v>27</v>
      </c>
      <c r="E1759" s="49">
        <v>0</v>
      </c>
      <c r="F1759" s="49">
        <v>0</v>
      </c>
      <c r="G1759" s="49">
        <v>0</v>
      </c>
      <c r="H1759" s="49">
        <v>7.07</v>
      </c>
      <c r="I1759" s="49">
        <v>0</v>
      </c>
      <c r="J1759" s="49">
        <v>0</v>
      </c>
      <c r="K1759" s="49">
        <v>0</v>
      </c>
      <c r="L1759" s="49">
        <v>23.05</v>
      </c>
      <c r="M1759" s="49">
        <v>24.42</v>
      </c>
      <c r="N1759" s="49">
        <v>12.88</v>
      </c>
      <c r="O1759" s="49">
        <v>24.69</v>
      </c>
      <c r="P1759" s="49">
        <v>16.739999999999998</v>
      </c>
      <c r="Q1759" s="49">
        <v>20.05</v>
      </c>
      <c r="R1759" s="49">
        <v>14.71</v>
      </c>
      <c r="S1759" s="49">
        <v>35.89</v>
      </c>
    </row>
    <row r="1760" spans="1:19" ht="18">
      <c r="A1760" s="49">
        <v>9937</v>
      </c>
      <c r="B1760" s="49" t="s">
        <v>1225</v>
      </c>
      <c r="C1760" s="49">
        <v>11.23</v>
      </c>
      <c r="D1760" s="49">
        <v>15.15</v>
      </c>
      <c r="E1760" s="49">
        <v>26.83</v>
      </c>
      <c r="F1760" s="49">
        <v>25.27</v>
      </c>
      <c r="G1760" s="49">
        <v>4.57</v>
      </c>
      <c r="H1760" s="49">
        <v>21.25</v>
      </c>
      <c r="I1760" s="49">
        <v>24.13</v>
      </c>
      <c r="J1760" s="49">
        <v>34.9</v>
      </c>
      <c r="K1760" s="49">
        <v>24.09</v>
      </c>
      <c r="L1760" s="49">
        <v>19.7</v>
      </c>
      <c r="M1760" s="49">
        <v>17.91</v>
      </c>
      <c r="N1760" s="49">
        <v>16.14</v>
      </c>
      <c r="O1760" s="49">
        <v>18.91</v>
      </c>
      <c r="P1760" s="49">
        <v>21</v>
      </c>
      <c r="Q1760" s="49">
        <v>18.559999999999999</v>
      </c>
      <c r="R1760" s="49">
        <v>21.46</v>
      </c>
      <c r="S1760" s="49">
        <v>28.46</v>
      </c>
    </row>
    <row r="1761" spans="1:19" ht="18">
      <c r="A1761" s="49">
        <v>9938</v>
      </c>
      <c r="B1761" s="49" t="s">
        <v>1226</v>
      </c>
      <c r="C1761" s="49">
        <v>12.81</v>
      </c>
      <c r="D1761" s="49">
        <v>10.6</v>
      </c>
      <c r="E1761" s="49">
        <v>50</v>
      </c>
      <c r="F1761" s="49">
        <v>9.08</v>
      </c>
      <c r="G1761" s="49">
        <v>9.51</v>
      </c>
      <c r="H1761" s="49">
        <v>13.3</v>
      </c>
      <c r="I1761" s="49">
        <v>16.29</v>
      </c>
      <c r="J1761" s="49">
        <v>14.41</v>
      </c>
      <c r="K1761" s="49">
        <v>19.36</v>
      </c>
      <c r="L1761" s="49">
        <v>20.13</v>
      </c>
      <c r="M1761" s="49">
        <v>21.88</v>
      </c>
      <c r="N1761" s="49">
        <v>11.05</v>
      </c>
      <c r="O1761" s="49">
        <v>16.309999999999999</v>
      </c>
      <c r="P1761" s="49">
        <v>14.54</v>
      </c>
      <c r="Q1761" s="49">
        <v>12.01</v>
      </c>
      <c r="R1761" s="49">
        <v>9.07</v>
      </c>
      <c r="S1761" s="49">
        <v>30.64</v>
      </c>
    </row>
    <row r="1762" spans="1:19" ht="18">
      <c r="A1762" s="49">
        <v>9939</v>
      </c>
      <c r="B1762" s="49" t="s">
        <v>1227</v>
      </c>
      <c r="C1762" s="49">
        <v>15.46</v>
      </c>
      <c r="D1762" s="49">
        <v>8.5299999999999994</v>
      </c>
      <c r="E1762" s="49">
        <v>13.42</v>
      </c>
      <c r="F1762" s="49">
        <v>12.45</v>
      </c>
      <c r="G1762" s="49">
        <v>11.95</v>
      </c>
      <c r="H1762" s="49">
        <v>13.39</v>
      </c>
      <c r="I1762" s="49">
        <v>13.92</v>
      </c>
      <c r="J1762" s="49">
        <v>14.92</v>
      </c>
      <c r="K1762" s="49">
        <v>15.84</v>
      </c>
      <c r="L1762" s="49">
        <v>13.55</v>
      </c>
      <c r="M1762" s="49">
        <v>13.22</v>
      </c>
      <c r="N1762" s="49">
        <v>12.15</v>
      </c>
      <c r="O1762" s="49">
        <v>14.94</v>
      </c>
      <c r="P1762" s="49">
        <v>10.65</v>
      </c>
      <c r="Q1762" s="49">
        <v>10.8</v>
      </c>
      <c r="R1762" s="49">
        <v>11.21</v>
      </c>
      <c r="S1762" s="49">
        <v>15.53</v>
      </c>
    </row>
    <row r="1763" spans="1:19" ht="18">
      <c r="A1763" s="49">
        <v>9940</v>
      </c>
      <c r="B1763" s="49" t="s">
        <v>1228</v>
      </c>
      <c r="C1763" s="49">
        <v>13.26</v>
      </c>
      <c r="D1763" s="49">
        <v>6.78</v>
      </c>
      <c r="E1763" s="49">
        <v>18.239999999999998</v>
      </c>
      <c r="F1763" s="49">
        <v>13.9</v>
      </c>
      <c r="G1763" s="49">
        <v>9.5399999999999991</v>
      </c>
      <c r="H1763" s="49">
        <v>15.02</v>
      </c>
      <c r="I1763" s="49">
        <v>11.58</v>
      </c>
      <c r="J1763" s="49">
        <v>18.21</v>
      </c>
      <c r="K1763" s="49">
        <v>20.76</v>
      </c>
      <c r="L1763" s="49">
        <v>42.3</v>
      </c>
      <c r="M1763" s="49">
        <v>8.92</v>
      </c>
      <c r="N1763" s="49">
        <v>17.93</v>
      </c>
      <c r="O1763" s="49">
        <v>12.57</v>
      </c>
      <c r="P1763" s="49">
        <v>17.96</v>
      </c>
      <c r="Q1763" s="49">
        <v>11.27</v>
      </c>
      <c r="R1763" s="49">
        <v>11.9</v>
      </c>
      <c r="S1763" s="49">
        <v>13.93</v>
      </c>
    </row>
    <row r="1764" spans="1:19" ht="18">
      <c r="A1764" s="49">
        <v>9941</v>
      </c>
      <c r="B1764" s="49" t="s">
        <v>1229</v>
      </c>
      <c r="C1764" s="49">
        <v>9.0399999999999991</v>
      </c>
      <c r="D1764" s="49">
        <v>7.89</v>
      </c>
      <c r="E1764" s="49">
        <v>13.09</v>
      </c>
      <c r="F1764" s="49">
        <v>14.09</v>
      </c>
      <c r="G1764" s="49">
        <v>12.55</v>
      </c>
      <c r="H1764" s="49">
        <v>12.98</v>
      </c>
      <c r="I1764" s="49">
        <v>14.39</v>
      </c>
      <c r="J1764" s="49">
        <v>13.41</v>
      </c>
      <c r="K1764" s="49">
        <v>13.24</v>
      </c>
      <c r="L1764" s="49">
        <v>13.76</v>
      </c>
      <c r="M1764" s="49">
        <v>14.18</v>
      </c>
      <c r="N1764" s="49">
        <v>10.08</v>
      </c>
      <c r="O1764" s="49">
        <v>15.41</v>
      </c>
      <c r="P1764" s="49">
        <v>14.21</v>
      </c>
      <c r="Q1764" s="49">
        <v>18.54</v>
      </c>
      <c r="R1764" s="49">
        <v>15.8</v>
      </c>
      <c r="S1764" s="49">
        <v>18.329999999999998</v>
      </c>
    </row>
    <row r="1765" spans="1:19" ht="18">
      <c r="A1765" s="49">
        <v>9942</v>
      </c>
      <c r="B1765" s="49" t="s">
        <v>1230</v>
      </c>
      <c r="C1765" s="49">
        <v>10.77</v>
      </c>
      <c r="D1765" s="49">
        <v>5.82</v>
      </c>
      <c r="E1765" s="49">
        <v>15.76</v>
      </c>
      <c r="F1765" s="49">
        <v>10.210000000000001</v>
      </c>
      <c r="G1765" s="49">
        <v>8.83</v>
      </c>
      <c r="H1765" s="49">
        <v>10.93</v>
      </c>
      <c r="I1765" s="49">
        <v>17.02</v>
      </c>
      <c r="J1765" s="49">
        <v>14.93</v>
      </c>
      <c r="K1765" s="49">
        <v>13.31</v>
      </c>
      <c r="L1765" s="49">
        <v>15.73</v>
      </c>
      <c r="M1765" s="49">
        <v>14.11</v>
      </c>
      <c r="N1765" s="49">
        <v>12.16</v>
      </c>
      <c r="O1765" s="49">
        <v>13.75</v>
      </c>
      <c r="P1765" s="49">
        <v>15.84</v>
      </c>
      <c r="Q1765" s="49">
        <v>15.02</v>
      </c>
      <c r="R1765" s="49">
        <v>15.11</v>
      </c>
      <c r="S1765" s="49">
        <v>11.63</v>
      </c>
    </row>
    <row r="1766" spans="1:19" ht="18">
      <c r="A1766" s="49">
        <v>9943</v>
      </c>
      <c r="B1766" s="49" t="s">
        <v>1231</v>
      </c>
      <c r="C1766" s="49">
        <v>69.14</v>
      </c>
      <c r="D1766" s="49">
        <v>20</v>
      </c>
      <c r="E1766" s="49">
        <v>13.17</v>
      </c>
      <c r="F1766" s="49">
        <v>14.53</v>
      </c>
      <c r="G1766" s="49">
        <v>8.4600000000000009</v>
      </c>
      <c r="H1766" s="49">
        <v>11.56</v>
      </c>
      <c r="I1766" s="49">
        <v>11.53</v>
      </c>
      <c r="J1766" s="49">
        <v>10.8</v>
      </c>
      <c r="K1766" s="49">
        <v>7.68</v>
      </c>
      <c r="L1766" s="49">
        <v>10.49</v>
      </c>
      <c r="M1766" s="49">
        <v>12.04</v>
      </c>
      <c r="N1766" s="49">
        <v>9.8800000000000008</v>
      </c>
      <c r="O1766" s="49">
        <v>12.17</v>
      </c>
      <c r="P1766" s="49">
        <v>15.01</v>
      </c>
      <c r="Q1766" s="49">
        <v>241.6</v>
      </c>
      <c r="R1766" s="49">
        <v>15.25</v>
      </c>
      <c r="S1766" s="49">
        <v>14.1</v>
      </c>
    </row>
    <row r="1767" spans="1:19" ht="18">
      <c r="A1767" s="49">
        <v>9944</v>
      </c>
      <c r="B1767" s="49" t="s">
        <v>1232</v>
      </c>
      <c r="C1767" s="49">
        <v>3.17</v>
      </c>
      <c r="D1767" s="49">
        <v>15.22</v>
      </c>
      <c r="E1767" s="49">
        <v>14.77</v>
      </c>
      <c r="F1767" s="49">
        <v>14.57</v>
      </c>
      <c r="G1767" s="49">
        <v>19.39</v>
      </c>
      <c r="H1767" s="49">
        <v>0</v>
      </c>
      <c r="I1767" s="49">
        <v>28.58</v>
      </c>
      <c r="J1767" s="49">
        <v>48.35</v>
      </c>
      <c r="K1767" s="49">
        <v>26.2</v>
      </c>
      <c r="L1767" s="49">
        <v>42.65</v>
      </c>
      <c r="M1767" s="49">
        <v>50.26</v>
      </c>
      <c r="N1767" s="49">
        <v>181.11</v>
      </c>
      <c r="O1767" s="49">
        <v>0</v>
      </c>
      <c r="P1767" s="49">
        <v>66.180000000000007</v>
      </c>
      <c r="Q1767" s="49">
        <v>72.88</v>
      </c>
      <c r="R1767" s="49">
        <v>4.2</v>
      </c>
      <c r="S1767" s="49">
        <v>6.05</v>
      </c>
    </row>
    <row r="1768" spans="1:19" ht="18">
      <c r="A1768" s="49">
        <v>9945</v>
      </c>
      <c r="B1768" s="49" t="s">
        <v>1233</v>
      </c>
      <c r="C1768" s="49">
        <v>13.2</v>
      </c>
      <c r="D1768" s="49">
        <v>22.6</v>
      </c>
      <c r="E1768" s="49">
        <v>112.11</v>
      </c>
      <c r="F1768" s="49">
        <v>55.76</v>
      </c>
      <c r="G1768" s="49">
        <v>21.6</v>
      </c>
      <c r="H1768" s="49">
        <v>16.29</v>
      </c>
      <c r="I1768" s="49">
        <v>2.19</v>
      </c>
      <c r="J1768" s="49">
        <v>1.94</v>
      </c>
      <c r="K1768" s="49">
        <v>6.47</v>
      </c>
      <c r="L1768" s="49">
        <v>7.93</v>
      </c>
      <c r="M1768" s="49">
        <v>7.21</v>
      </c>
      <c r="N1768" s="49">
        <v>2.79</v>
      </c>
      <c r="O1768" s="49">
        <v>4.17</v>
      </c>
      <c r="P1768" s="49">
        <v>8.85</v>
      </c>
      <c r="Q1768" s="49">
        <v>9</v>
      </c>
      <c r="R1768" s="49">
        <v>5.69</v>
      </c>
      <c r="S1768" s="49">
        <v>18.149999999999999</v>
      </c>
    </row>
    <row r="1769" spans="1:19" ht="18">
      <c r="A1769" s="49">
        <v>9946</v>
      </c>
      <c r="B1769" s="49" t="s">
        <v>1234</v>
      </c>
      <c r="C1769" s="49">
        <v>475</v>
      </c>
      <c r="D1769" s="49">
        <v>0</v>
      </c>
      <c r="E1769" s="49">
        <v>0</v>
      </c>
      <c r="F1769" s="49">
        <v>38.520000000000003</v>
      </c>
      <c r="G1769" s="49">
        <v>6.75</v>
      </c>
      <c r="H1769" s="49">
        <v>7.19</v>
      </c>
      <c r="I1769" s="49">
        <v>4.1900000000000004</v>
      </c>
      <c r="J1769" s="49">
        <v>45.31</v>
      </c>
      <c r="K1769" s="49">
        <v>6.47</v>
      </c>
      <c r="L1769" s="49">
        <v>4.7300000000000004</v>
      </c>
      <c r="M1769" s="49">
        <v>13.71</v>
      </c>
      <c r="N1769" s="49">
        <v>8.89</v>
      </c>
      <c r="O1769" s="49">
        <v>5.5</v>
      </c>
      <c r="P1769" s="49">
        <v>9.23</v>
      </c>
      <c r="Q1769" s="49">
        <v>35.950000000000003</v>
      </c>
      <c r="R1769" s="49">
        <v>23.46</v>
      </c>
      <c r="S1769" s="49">
        <v>120</v>
      </c>
    </row>
    <row r="1770" spans="1:19" ht="18">
      <c r="A1770" s="49">
        <v>9949</v>
      </c>
      <c r="B1770" s="49" t="s">
        <v>2043</v>
      </c>
      <c r="C1770" s="49">
        <v>28.26</v>
      </c>
      <c r="D1770" s="49">
        <v>20.11</v>
      </c>
      <c r="E1770" s="49">
        <v>52.06</v>
      </c>
      <c r="F1770" s="49">
        <v>22.8</v>
      </c>
      <c r="G1770" s="49">
        <v>45.98</v>
      </c>
      <c r="H1770" s="49">
        <v>25.96</v>
      </c>
      <c r="I1770" s="49">
        <v>103.7</v>
      </c>
      <c r="J1770" s="49">
        <v>151.54</v>
      </c>
      <c r="K1770" s="49">
        <v>0</v>
      </c>
      <c r="L1770" s="49">
        <v>0</v>
      </c>
      <c r="M1770" s="49">
        <v>0</v>
      </c>
      <c r="N1770" s="49">
        <v>0</v>
      </c>
      <c r="O1770" s="49">
        <v>0</v>
      </c>
      <c r="P1770" s="49">
        <v>0</v>
      </c>
      <c r="Q1770" s="49">
        <v>0</v>
      </c>
      <c r="R1770" s="49">
        <v>0</v>
      </c>
      <c r="S1770" s="49">
        <v>0</v>
      </c>
    </row>
    <row r="1771" spans="1:19" ht="18">
      <c r="A1771" s="49">
        <v>9950</v>
      </c>
      <c r="B1771" s="49" t="s">
        <v>2044</v>
      </c>
      <c r="C1771" s="49">
        <v>14.39</v>
      </c>
      <c r="D1771" s="49">
        <v>10.72</v>
      </c>
      <c r="E1771" s="49">
        <v>10.75</v>
      </c>
      <c r="F1771" s="49">
        <v>12.86</v>
      </c>
      <c r="G1771" s="49">
        <v>10.52</v>
      </c>
      <c r="H1771" s="49">
        <v>17.55</v>
      </c>
      <c r="I1771" s="49">
        <v>28.82</v>
      </c>
      <c r="J1771" s="49">
        <v>13.83</v>
      </c>
      <c r="K1771" s="49">
        <v>18.350000000000001</v>
      </c>
      <c r="L1771" s="49">
        <v>64.569999999999993</v>
      </c>
      <c r="M1771" s="49">
        <v>0</v>
      </c>
      <c r="N1771" s="49">
        <v>0</v>
      </c>
      <c r="O1771" s="49">
        <v>0</v>
      </c>
      <c r="P1771" s="49">
        <v>0</v>
      </c>
      <c r="Q1771" s="49">
        <v>0</v>
      </c>
      <c r="R1771" s="49">
        <v>0</v>
      </c>
      <c r="S1771" s="49">
        <v>3.79</v>
      </c>
    </row>
    <row r="1772" spans="1:19" ht="18">
      <c r="A1772" s="49">
        <v>9951</v>
      </c>
      <c r="B1772" s="49" t="s">
        <v>2045</v>
      </c>
      <c r="C1772" s="49">
        <v>10.02</v>
      </c>
      <c r="D1772" s="49">
        <v>3.39</v>
      </c>
      <c r="E1772" s="49">
        <v>0</v>
      </c>
      <c r="F1772" s="49">
        <v>11.55</v>
      </c>
      <c r="G1772" s="49">
        <v>7.21</v>
      </c>
      <c r="H1772" s="49">
        <v>9.16</v>
      </c>
      <c r="I1772" s="49">
        <v>20.54</v>
      </c>
      <c r="J1772" s="49">
        <v>15.19</v>
      </c>
      <c r="K1772" s="49">
        <v>19.09</v>
      </c>
      <c r="L1772" s="49">
        <v>20.399999999999999</v>
      </c>
      <c r="M1772" s="49">
        <v>18.649999999999999</v>
      </c>
      <c r="N1772" s="49">
        <v>10.39</v>
      </c>
      <c r="O1772" s="49">
        <v>11.59</v>
      </c>
      <c r="P1772" s="49">
        <v>15.09</v>
      </c>
      <c r="Q1772" s="49">
        <v>11.32</v>
      </c>
      <c r="R1772" s="49">
        <v>13.42</v>
      </c>
      <c r="S1772" s="49">
        <v>12.33</v>
      </c>
    </row>
    <row r="1773" spans="1:19" ht="18">
      <c r="A1773" s="49">
        <v>9955</v>
      </c>
      <c r="B1773" s="49" t="s">
        <v>1235</v>
      </c>
      <c r="C1773" s="49">
        <v>24.6</v>
      </c>
      <c r="D1773" s="49">
        <v>10.74</v>
      </c>
      <c r="E1773" s="49">
        <v>35.950000000000003</v>
      </c>
      <c r="F1773" s="49">
        <v>22.17</v>
      </c>
      <c r="G1773" s="49">
        <v>56</v>
      </c>
      <c r="H1773" s="49">
        <v>58.6</v>
      </c>
      <c r="I1773" s="49">
        <v>0</v>
      </c>
      <c r="J1773" s="49">
        <v>0</v>
      </c>
      <c r="K1773" s="49">
        <v>0</v>
      </c>
      <c r="L1773" s="49">
        <v>0</v>
      </c>
      <c r="M1773" s="49">
        <v>0</v>
      </c>
      <c r="N1773" s="49">
        <v>0</v>
      </c>
      <c r="O1773" s="49">
        <v>118.13</v>
      </c>
      <c r="P1773" s="49">
        <v>0</v>
      </c>
      <c r="Q1773" s="49">
        <v>0</v>
      </c>
      <c r="R1773" s="49">
        <v>0</v>
      </c>
      <c r="S1773" s="49">
        <v>0</v>
      </c>
    </row>
    <row r="1774" spans="1:19" ht="18">
      <c r="A1774" s="49">
        <v>9958</v>
      </c>
      <c r="B1774" s="49" t="s">
        <v>1236</v>
      </c>
      <c r="C1774" s="49">
        <v>0</v>
      </c>
      <c r="D1774" s="49">
        <v>6.54</v>
      </c>
      <c r="E1774" s="49">
        <v>47.12</v>
      </c>
      <c r="F1774" s="49">
        <v>67.33</v>
      </c>
      <c r="G1774" s="49">
        <v>86.67</v>
      </c>
      <c r="H1774" s="49">
        <v>32</v>
      </c>
      <c r="I1774" s="49">
        <v>8.6199999999999992</v>
      </c>
      <c r="J1774" s="49">
        <v>37.76</v>
      </c>
      <c r="K1774" s="49">
        <v>16.670000000000002</v>
      </c>
      <c r="L1774" s="49">
        <v>12.52</v>
      </c>
      <c r="M1774" s="49">
        <v>66.25</v>
      </c>
      <c r="N1774" s="49">
        <v>250</v>
      </c>
      <c r="O1774" s="49">
        <v>24.98</v>
      </c>
      <c r="P1774" s="49">
        <v>30.14</v>
      </c>
      <c r="Q1774" s="49">
        <v>18.329999999999998</v>
      </c>
      <c r="R1774" s="49">
        <v>29.63</v>
      </c>
      <c r="S1774" s="49">
        <v>91.36</v>
      </c>
    </row>
    <row r="1775" spans="1:19" ht="18">
      <c r="A1775" s="49">
        <v>9960</v>
      </c>
      <c r="B1775" s="49" t="s">
        <v>2046</v>
      </c>
      <c r="C1775" s="49">
        <v>8.6199999999999992</v>
      </c>
      <c r="D1775" s="49">
        <v>5.44</v>
      </c>
      <c r="E1775" s="49">
        <v>14.95</v>
      </c>
      <c r="F1775" s="49">
        <v>11.65</v>
      </c>
      <c r="G1775" s="49">
        <v>10.93</v>
      </c>
      <c r="H1775" s="49">
        <v>11.28</v>
      </c>
      <c r="I1775" s="49">
        <v>16.37</v>
      </c>
      <c r="J1775" s="49">
        <v>29.86</v>
      </c>
      <c r="K1775" s="49">
        <v>45.48</v>
      </c>
      <c r="L1775" s="49">
        <v>129.84</v>
      </c>
      <c r="M1775" s="49">
        <v>0</v>
      </c>
      <c r="N1775" s="49">
        <v>34.78</v>
      </c>
      <c r="O1775" s="49">
        <v>36.880000000000003</v>
      </c>
      <c r="P1775" s="49">
        <v>28.81</v>
      </c>
      <c r="Q1775" s="49">
        <v>12.47</v>
      </c>
      <c r="R1775" s="49">
        <v>7.84</v>
      </c>
      <c r="S1775" s="49">
        <v>9.8000000000000007</v>
      </c>
    </row>
    <row r="1776" spans="1:19" ht="18">
      <c r="A1776" s="49">
        <v>9962</v>
      </c>
      <c r="B1776" s="49" t="s">
        <v>2047</v>
      </c>
      <c r="C1776" s="49">
        <v>15.04</v>
      </c>
      <c r="D1776" s="49">
        <v>0</v>
      </c>
      <c r="E1776" s="49">
        <v>0</v>
      </c>
      <c r="F1776" s="49">
        <v>10.91</v>
      </c>
      <c r="G1776" s="49">
        <v>6.4</v>
      </c>
      <c r="H1776" s="49">
        <v>9.84</v>
      </c>
      <c r="I1776" s="49">
        <v>15.32</v>
      </c>
      <c r="J1776" s="49">
        <v>12.72</v>
      </c>
      <c r="K1776" s="49">
        <v>0</v>
      </c>
      <c r="L1776" s="49">
        <v>34.450000000000003</v>
      </c>
      <c r="M1776" s="49">
        <v>13.25</v>
      </c>
      <c r="N1776" s="49">
        <v>9.7899999999999991</v>
      </c>
      <c r="O1776" s="49">
        <v>100</v>
      </c>
      <c r="P1776" s="49">
        <v>998</v>
      </c>
      <c r="Q1776" s="49">
        <v>16.84</v>
      </c>
      <c r="R1776" s="49">
        <v>7.1</v>
      </c>
      <c r="S1776" s="49">
        <v>10.74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0F35D-4902-4878-8B90-EA1F5461C8E2}">
  <sheetPr codeName="工作表28"/>
  <dimension ref="A1:J1776"/>
  <sheetViews>
    <sheetView workbookViewId="0">
      <selection activeCell="B2" sqref="B2"/>
    </sheetView>
  </sheetViews>
  <sheetFormatPr baseColWidth="10" defaultColWidth="8.83203125" defaultRowHeight="15"/>
  <cols>
    <col min="1" max="1" width="15.6640625" bestFit="1" customWidth="1"/>
    <col min="2" max="2" width="16.83203125" bestFit="1" customWidth="1"/>
    <col min="3" max="3" width="8.1640625" bestFit="1" customWidth="1"/>
    <col min="4" max="5" width="17.6640625" bestFit="1" customWidth="1"/>
    <col min="6" max="6" width="12.83203125" bestFit="1" customWidth="1"/>
    <col min="9" max="9" width="10.5" bestFit="1" customWidth="1"/>
  </cols>
  <sheetData>
    <row r="1" spans="1:10" ht="18">
      <c r="A1" s="48" t="s">
        <v>2048</v>
      </c>
      <c r="B1" s="48" t="s">
        <v>2049</v>
      </c>
      <c r="C1" s="48" t="s">
        <v>2117</v>
      </c>
      <c r="D1" s="48" t="s">
        <v>2149</v>
      </c>
      <c r="E1" s="48" t="s">
        <v>2150</v>
      </c>
      <c r="F1" s="48" t="s">
        <v>2118</v>
      </c>
      <c r="G1" s="48" t="s">
        <v>6</v>
      </c>
      <c r="H1" s="48" t="s">
        <v>2120</v>
      </c>
      <c r="I1" s="48" t="s">
        <v>2121</v>
      </c>
      <c r="J1" s="48" t="s">
        <v>2119</v>
      </c>
    </row>
    <row r="2" spans="1:10" ht="18">
      <c r="A2" s="49">
        <v>1101</v>
      </c>
      <c r="B2" s="49" t="s">
        <v>268</v>
      </c>
      <c r="D2" s="49">
        <v>11.77</v>
      </c>
      <c r="E2" s="49">
        <v>23.345999999999997</v>
      </c>
      <c r="F2" s="49">
        <v>17.558</v>
      </c>
      <c r="G2" s="54">
        <v>1.06</v>
      </c>
      <c r="H2" s="56">
        <f>G2*D2</f>
        <v>12.4762</v>
      </c>
      <c r="I2" s="57">
        <f>G2*F2</f>
        <v>18.61148</v>
      </c>
      <c r="J2" s="56">
        <f>G2*E2</f>
        <v>24.746759999999998</v>
      </c>
    </row>
    <row r="3" spans="1:10" ht="18">
      <c r="A3" s="49">
        <v>1102</v>
      </c>
      <c r="B3" s="49" t="s">
        <v>269</v>
      </c>
      <c r="D3" s="49">
        <v>9.7519999999999989</v>
      </c>
      <c r="E3" s="49">
        <v>20.706</v>
      </c>
      <c r="F3" s="49">
        <v>15.228999999999999</v>
      </c>
      <c r="G3" s="54">
        <v>3.28</v>
      </c>
      <c r="H3" s="56">
        <f t="shared" ref="H3:H66" si="0">G3*D3</f>
        <v>31.986559999999994</v>
      </c>
      <c r="I3" s="57">
        <f t="shared" ref="I3:I66" si="1">G3*F3</f>
        <v>49.951119999999996</v>
      </c>
      <c r="J3" s="56">
        <f t="shared" ref="J3:J66" si="2">G3*E3</f>
        <v>67.915679999999995</v>
      </c>
    </row>
    <row r="4" spans="1:10" ht="18">
      <c r="A4" s="49">
        <v>1103</v>
      </c>
      <c r="B4" s="49" t="s">
        <v>270</v>
      </c>
      <c r="D4" s="49">
        <v>8.411999999999999</v>
      </c>
      <c r="E4" s="49">
        <v>21.701999999999998</v>
      </c>
      <c r="F4" s="49">
        <v>15.056999999999999</v>
      </c>
      <c r="G4" s="54">
        <v>0.12</v>
      </c>
      <c r="H4" s="56">
        <f t="shared" si="0"/>
        <v>1.0094399999999999</v>
      </c>
      <c r="I4" s="57">
        <f t="shared" si="1"/>
        <v>1.8068399999999998</v>
      </c>
      <c r="J4" s="56">
        <f t="shared" si="2"/>
        <v>2.6042399999999999</v>
      </c>
    </row>
    <row r="5" spans="1:10" ht="18">
      <c r="A5" s="49">
        <v>1104</v>
      </c>
      <c r="B5" s="49" t="s">
        <v>272</v>
      </c>
      <c r="D5" s="49">
        <v>8.7579999999999991</v>
      </c>
      <c r="E5" s="49">
        <v>17.869999999999997</v>
      </c>
      <c r="F5" s="49">
        <v>13.313999999999998</v>
      </c>
      <c r="G5" s="54">
        <v>3.12</v>
      </c>
      <c r="H5" s="56">
        <f t="shared" si="0"/>
        <v>27.324959999999997</v>
      </c>
      <c r="I5" s="57">
        <f t="shared" si="1"/>
        <v>41.539679999999997</v>
      </c>
      <c r="J5" s="56">
        <f t="shared" si="2"/>
        <v>55.754399999999997</v>
      </c>
    </row>
    <row r="6" spans="1:10" ht="18">
      <c r="A6" s="49">
        <v>1108</v>
      </c>
      <c r="B6" s="49" t="s">
        <v>273</v>
      </c>
      <c r="D6" s="49">
        <v>10.45</v>
      </c>
      <c r="E6" s="49">
        <v>16.975999999999999</v>
      </c>
      <c r="F6" s="49">
        <v>13.712999999999999</v>
      </c>
      <c r="G6" s="54">
        <v>1.3</v>
      </c>
      <c r="H6" s="56">
        <f t="shared" si="0"/>
        <v>13.584999999999999</v>
      </c>
      <c r="I6" s="57">
        <f t="shared" si="1"/>
        <v>17.826899999999998</v>
      </c>
      <c r="J6" s="56">
        <f t="shared" si="2"/>
        <v>22.0688</v>
      </c>
    </row>
    <row r="7" spans="1:10" ht="18">
      <c r="A7" s="49">
        <v>1109</v>
      </c>
      <c r="B7" s="49" t="s">
        <v>274</v>
      </c>
      <c r="D7" s="49">
        <v>7.4740000000000011</v>
      </c>
      <c r="E7" s="49">
        <v>24.975999999999999</v>
      </c>
      <c r="F7" s="49">
        <v>16.225000000000001</v>
      </c>
      <c r="G7" s="54">
        <v>2.0099999999999998</v>
      </c>
      <c r="H7" s="56">
        <f t="shared" si="0"/>
        <v>15.022740000000001</v>
      </c>
      <c r="I7" s="57">
        <f t="shared" si="1"/>
        <v>32.612249999999996</v>
      </c>
      <c r="J7" s="56">
        <f t="shared" si="2"/>
        <v>50.201759999999993</v>
      </c>
    </row>
    <row r="8" spans="1:10" ht="18">
      <c r="A8" s="49">
        <v>1110</v>
      </c>
      <c r="B8" s="49" t="s">
        <v>275</v>
      </c>
      <c r="D8" s="49">
        <v>0</v>
      </c>
      <c r="E8" s="49">
        <v>0</v>
      </c>
      <c r="F8" s="49">
        <v>0</v>
      </c>
      <c r="G8" s="54">
        <v>0.26</v>
      </c>
      <c r="H8" s="56">
        <f t="shared" si="0"/>
        <v>0</v>
      </c>
      <c r="I8" s="57">
        <f t="shared" si="1"/>
        <v>0</v>
      </c>
      <c r="J8" s="56">
        <f t="shared" si="2"/>
        <v>0</v>
      </c>
    </row>
    <row r="9" spans="1:10" ht="18">
      <c r="A9" s="49">
        <v>1201</v>
      </c>
      <c r="B9" s="49" t="s">
        <v>276</v>
      </c>
      <c r="D9" s="49">
        <v>13.339999999999998</v>
      </c>
      <c r="E9" s="49">
        <v>30.088000000000001</v>
      </c>
      <c r="F9" s="49">
        <v>21.713999999999999</v>
      </c>
      <c r="G9" s="54">
        <v>0.53</v>
      </c>
      <c r="H9" s="56">
        <f t="shared" si="0"/>
        <v>7.0701999999999989</v>
      </c>
      <c r="I9" s="57">
        <f t="shared" si="1"/>
        <v>11.508419999999999</v>
      </c>
      <c r="J9" s="56">
        <f t="shared" si="2"/>
        <v>15.946640000000002</v>
      </c>
    </row>
    <row r="10" spans="1:10" ht="18">
      <c r="A10" s="49">
        <v>1203</v>
      </c>
      <c r="B10" s="49" t="s">
        <v>277</v>
      </c>
      <c r="D10" s="49">
        <v>11.85</v>
      </c>
      <c r="E10" s="49">
        <v>27.05</v>
      </c>
      <c r="F10" s="49">
        <v>19.45</v>
      </c>
      <c r="G10" s="54">
        <v>1.8</v>
      </c>
      <c r="H10" s="56">
        <f t="shared" si="0"/>
        <v>21.33</v>
      </c>
      <c r="I10" s="57">
        <f t="shared" si="1"/>
        <v>35.01</v>
      </c>
      <c r="J10" s="56">
        <f t="shared" si="2"/>
        <v>48.690000000000005</v>
      </c>
    </row>
    <row r="11" spans="1:10" ht="18">
      <c r="A11" s="49">
        <v>1210</v>
      </c>
      <c r="B11" s="49" t="s">
        <v>278</v>
      </c>
      <c r="D11" s="49">
        <v>10.370000000000001</v>
      </c>
      <c r="E11" s="49">
        <v>20.55</v>
      </c>
      <c r="F11" s="49">
        <v>15.46</v>
      </c>
      <c r="G11" s="54">
        <v>4.8099999999999996</v>
      </c>
      <c r="H11" s="56">
        <f t="shared" si="0"/>
        <v>49.8797</v>
      </c>
      <c r="I11" s="57">
        <f t="shared" si="1"/>
        <v>74.3626</v>
      </c>
      <c r="J11" s="56">
        <f t="shared" si="2"/>
        <v>98.845500000000001</v>
      </c>
    </row>
    <row r="12" spans="1:10" ht="18">
      <c r="A12" s="49">
        <v>1213</v>
      </c>
      <c r="B12" s="49" t="s">
        <v>279</v>
      </c>
      <c r="D12" s="49">
        <v>0</v>
      </c>
      <c r="E12" s="49">
        <v>0</v>
      </c>
      <c r="F12" s="49">
        <v>0</v>
      </c>
      <c r="G12" s="54">
        <v>-2.4500000000000002</v>
      </c>
      <c r="H12" s="56">
        <f t="shared" si="0"/>
        <v>0</v>
      </c>
      <c r="I12" s="57">
        <f t="shared" si="1"/>
        <v>0</v>
      </c>
      <c r="J12" s="56">
        <f t="shared" si="2"/>
        <v>0</v>
      </c>
    </row>
    <row r="13" spans="1:10" ht="18">
      <c r="A13" s="49">
        <v>1215</v>
      </c>
      <c r="B13" s="49" t="s">
        <v>280</v>
      </c>
      <c r="D13" s="49">
        <v>9.41</v>
      </c>
      <c r="E13" s="49">
        <v>17.107999999999997</v>
      </c>
      <c r="F13" s="49">
        <v>13.258999999999999</v>
      </c>
      <c r="G13" s="54">
        <v>7.7</v>
      </c>
      <c r="H13" s="56">
        <f t="shared" si="0"/>
        <v>72.457000000000008</v>
      </c>
      <c r="I13" s="57">
        <f t="shared" si="1"/>
        <v>102.09429999999999</v>
      </c>
      <c r="J13" s="56">
        <f t="shared" si="2"/>
        <v>131.73159999999999</v>
      </c>
    </row>
    <row r="14" spans="1:10" ht="18">
      <c r="A14" s="49">
        <v>1216</v>
      </c>
      <c r="B14" s="49" t="s">
        <v>281</v>
      </c>
      <c r="D14" s="49">
        <v>15.556000000000001</v>
      </c>
      <c r="E14" s="49">
        <v>23.923999999999999</v>
      </c>
      <c r="F14" s="49">
        <v>19.740000000000002</v>
      </c>
      <c r="G14" s="54">
        <v>3.23</v>
      </c>
      <c r="H14" s="56">
        <f t="shared" si="0"/>
        <v>50.24588</v>
      </c>
      <c r="I14" s="57">
        <f t="shared" si="1"/>
        <v>63.760200000000005</v>
      </c>
      <c r="J14" s="56">
        <f t="shared" si="2"/>
        <v>77.274519999999995</v>
      </c>
    </row>
    <row r="15" spans="1:10" ht="18">
      <c r="A15" s="49">
        <v>1217</v>
      </c>
      <c r="B15" s="49" t="s">
        <v>282</v>
      </c>
      <c r="D15" s="49">
        <v>21.7</v>
      </c>
      <c r="E15" s="49">
        <v>27.738</v>
      </c>
      <c r="F15" s="49">
        <v>24.719000000000001</v>
      </c>
      <c r="G15" s="54">
        <v>0.41</v>
      </c>
      <c r="H15" s="56">
        <f t="shared" si="0"/>
        <v>8.8969999999999985</v>
      </c>
      <c r="I15" s="57">
        <f t="shared" si="1"/>
        <v>10.134790000000001</v>
      </c>
      <c r="J15" s="56">
        <f t="shared" si="2"/>
        <v>11.372579999999999</v>
      </c>
    </row>
    <row r="16" spans="1:10" ht="18">
      <c r="A16" s="49">
        <v>1218</v>
      </c>
      <c r="B16" s="49" t="s">
        <v>283</v>
      </c>
      <c r="D16" s="49">
        <v>14.375999999999999</v>
      </c>
      <c r="E16" s="49">
        <v>29.47</v>
      </c>
      <c r="F16" s="49">
        <v>21.922999999999998</v>
      </c>
      <c r="G16" s="54">
        <v>-0.17</v>
      </c>
      <c r="H16" s="56">
        <f t="shared" si="0"/>
        <v>-2.4439199999999999</v>
      </c>
      <c r="I16" s="57">
        <f t="shared" si="1"/>
        <v>-3.7269100000000002</v>
      </c>
      <c r="J16" s="56">
        <f t="shared" si="2"/>
        <v>-5.0099</v>
      </c>
    </row>
    <row r="17" spans="1:10" ht="18">
      <c r="A17" s="49">
        <v>1219</v>
      </c>
      <c r="B17" s="49" t="s">
        <v>284</v>
      </c>
      <c r="D17" s="49">
        <v>12.169999999999998</v>
      </c>
      <c r="E17" s="49">
        <v>28.18</v>
      </c>
      <c r="F17" s="49">
        <v>20.174999999999997</v>
      </c>
      <c r="G17" s="54">
        <v>0.94</v>
      </c>
      <c r="H17" s="56">
        <f t="shared" si="0"/>
        <v>11.439799999999998</v>
      </c>
      <c r="I17" s="57">
        <f t="shared" si="1"/>
        <v>18.964499999999997</v>
      </c>
      <c r="J17" s="56">
        <f t="shared" si="2"/>
        <v>26.489199999999997</v>
      </c>
    </row>
    <row r="18" spans="1:10" ht="18">
      <c r="A18" s="49">
        <v>1220</v>
      </c>
      <c r="B18" s="49" t="s">
        <v>285</v>
      </c>
      <c r="D18" s="49">
        <v>12.656000000000002</v>
      </c>
      <c r="E18" s="49">
        <v>28.99</v>
      </c>
      <c r="F18" s="49">
        <v>20.823</v>
      </c>
      <c r="G18" s="54">
        <v>0.76</v>
      </c>
      <c r="H18" s="56">
        <f t="shared" si="0"/>
        <v>9.6185600000000022</v>
      </c>
      <c r="I18" s="57">
        <f t="shared" si="1"/>
        <v>15.825480000000001</v>
      </c>
      <c r="J18" s="56">
        <f t="shared" si="2"/>
        <v>22.032399999999999</v>
      </c>
    </row>
    <row r="19" spans="1:10" ht="18">
      <c r="A19" s="49">
        <v>1225</v>
      </c>
      <c r="B19" s="49" t="s">
        <v>286</v>
      </c>
      <c r="D19" s="49">
        <v>14.864000000000001</v>
      </c>
      <c r="E19" s="49">
        <v>28.798000000000002</v>
      </c>
      <c r="F19" s="49">
        <v>21.831000000000003</v>
      </c>
      <c r="G19" s="54">
        <v>1.58</v>
      </c>
      <c r="H19" s="56">
        <f t="shared" si="0"/>
        <v>23.485120000000002</v>
      </c>
      <c r="I19" s="57">
        <f t="shared" si="1"/>
        <v>34.492980000000003</v>
      </c>
      <c r="J19" s="56">
        <f t="shared" si="2"/>
        <v>45.500840000000004</v>
      </c>
    </row>
    <row r="20" spans="1:10" ht="18">
      <c r="A20" s="49">
        <v>1227</v>
      </c>
      <c r="B20" s="49" t="s">
        <v>287</v>
      </c>
      <c r="D20" s="49">
        <v>14.731999999999999</v>
      </c>
      <c r="E20" s="49">
        <v>28.316000000000003</v>
      </c>
      <c r="F20" s="49">
        <v>21.524000000000001</v>
      </c>
      <c r="G20" s="54">
        <v>1.35</v>
      </c>
      <c r="H20" s="56">
        <f t="shared" si="0"/>
        <v>19.888200000000001</v>
      </c>
      <c r="I20" s="57">
        <f t="shared" si="1"/>
        <v>29.057400000000005</v>
      </c>
      <c r="J20" s="56">
        <f t="shared" si="2"/>
        <v>38.226600000000005</v>
      </c>
    </row>
    <row r="21" spans="1:10" ht="18">
      <c r="A21" s="49">
        <v>1229</v>
      </c>
      <c r="B21" s="49" t="s">
        <v>288</v>
      </c>
      <c r="D21" s="49">
        <v>8.798</v>
      </c>
      <c r="E21" s="49">
        <v>19.630000000000003</v>
      </c>
      <c r="F21" s="49">
        <v>14.214000000000002</v>
      </c>
      <c r="G21" s="54">
        <v>2.59</v>
      </c>
      <c r="H21" s="56">
        <f t="shared" si="0"/>
        <v>22.786819999999999</v>
      </c>
      <c r="I21" s="57">
        <f t="shared" si="1"/>
        <v>36.814260000000004</v>
      </c>
      <c r="J21" s="56">
        <f t="shared" si="2"/>
        <v>50.841700000000003</v>
      </c>
    </row>
    <row r="22" spans="1:10" ht="18">
      <c r="A22" s="49">
        <v>1231</v>
      </c>
      <c r="B22" s="49" t="s">
        <v>289</v>
      </c>
      <c r="D22" s="49">
        <v>11.544</v>
      </c>
      <c r="E22" s="49">
        <v>20.74</v>
      </c>
      <c r="F22" s="49">
        <v>16.141999999999999</v>
      </c>
      <c r="G22" s="54">
        <v>3.83</v>
      </c>
      <c r="H22" s="56">
        <f t="shared" si="0"/>
        <v>44.213520000000003</v>
      </c>
      <c r="I22" s="57">
        <f t="shared" si="1"/>
        <v>61.823859999999996</v>
      </c>
      <c r="J22" s="56">
        <f t="shared" si="2"/>
        <v>79.43419999999999</v>
      </c>
    </row>
    <row r="23" spans="1:10" ht="18">
      <c r="A23" s="49">
        <v>1232</v>
      </c>
      <c r="B23" s="49" t="s">
        <v>290</v>
      </c>
      <c r="D23" s="49">
        <v>10.443999999999999</v>
      </c>
      <c r="E23" s="49">
        <v>19.657999999999998</v>
      </c>
      <c r="F23" s="49">
        <v>15.050999999999998</v>
      </c>
      <c r="G23" s="54">
        <v>7.53</v>
      </c>
      <c r="H23" s="56">
        <f t="shared" si="0"/>
        <v>78.643319999999989</v>
      </c>
      <c r="I23" s="57">
        <f t="shared" si="1"/>
        <v>113.33403</v>
      </c>
      <c r="J23" s="56">
        <f t="shared" si="2"/>
        <v>148.02473999999998</v>
      </c>
    </row>
    <row r="24" spans="1:10" ht="18">
      <c r="A24" s="49">
        <v>1233</v>
      </c>
      <c r="B24" s="49" t="s">
        <v>291</v>
      </c>
      <c r="D24" s="49">
        <v>17.002000000000002</v>
      </c>
      <c r="E24" s="49">
        <v>22.779999999999998</v>
      </c>
      <c r="F24" s="49">
        <v>19.890999999999998</v>
      </c>
      <c r="G24" s="54">
        <v>1.06</v>
      </c>
      <c r="H24" s="56">
        <f t="shared" si="0"/>
        <v>18.022120000000005</v>
      </c>
      <c r="I24" s="57">
        <f t="shared" si="1"/>
        <v>21.08446</v>
      </c>
      <c r="J24" s="56">
        <f t="shared" si="2"/>
        <v>24.146799999999999</v>
      </c>
    </row>
    <row r="25" spans="1:10" ht="18">
      <c r="A25" s="49">
        <v>1234</v>
      </c>
      <c r="B25" s="49" t="s">
        <v>292</v>
      </c>
      <c r="D25" s="49">
        <v>11.837999999999999</v>
      </c>
      <c r="E25" s="49">
        <v>28.072000000000003</v>
      </c>
      <c r="F25" s="49">
        <v>19.955000000000002</v>
      </c>
      <c r="G25" s="54">
        <v>2.36</v>
      </c>
      <c r="H25" s="56">
        <f t="shared" si="0"/>
        <v>27.937679999999997</v>
      </c>
      <c r="I25" s="57">
        <f t="shared" si="1"/>
        <v>47.093800000000002</v>
      </c>
      <c r="J25" s="56">
        <f t="shared" si="2"/>
        <v>66.249920000000003</v>
      </c>
    </row>
    <row r="26" spans="1:10" ht="18">
      <c r="A26" s="49">
        <v>1235</v>
      </c>
      <c r="B26" s="49" t="s">
        <v>293</v>
      </c>
      <c r="D26" s="49">
        <v>10.431999999999999</v>
      </c>
      <c r="E26" s="49">
        <v>19.178000000000001</v>
      </c>
      <c r="F26" s="49">
        <v>14.805</v>
      </c>
      <c r="G26" s="54">
        <v>0.43</v>
      </c>
      <c r="H26" s="56">
        <f t="shared" si="0"/>
        <v>4.4857599999999991</v>
      </c>
      <c r="I26" s="57">
        <f t="shared" si="1"/>
        <v>6.3661500000000002</v>
      </c>
      <c r="J26" s="56">
        <f t="shared" si="2"/>
        <v>8.2465399999999995</v>
      </c>
    </row>
    <row r="27" spans="1:10" ht="18">
      <c r="A27" s="49">
        <v>1236</v>
      </c>
      <c r="B27" s="49" t="s">
        <v>294</v>
      </c>
      <c r="D27" s="49">
        <v>10.134</v>
      </c>
      <c r="E27" s="49">
        <v>23.308</v>
      </c>
      <c r="F27" s="49">
        <v>16.721</v>
      </c>
      <c r="G27" s="54">
        <v>0.16</v>
      </c>
      <c r="H27" s="56">
        <f t="shared" si="0"/>
        <v>1.62144</v>
      </c>
      <c r="I27" s="57">
        <f t="shared" si="1"/>
        <v>2.67536</v>
      </c>
      <c r="J27" s="56">
        <f t="shared" si="2"/>
        <v>3.7292800000000002</v>
      </c>
    </row>
    <row r="28" spans="1:10" ht="18">
      <c r="A28" s="49">
        <v>1240</v>
      </c>
      <c r="B28" s="49" t="s">
        <v>1240</v>
      </c>
      <c r="D28" s="49">
        <v>14.186000000000002</v>
      </c>
      <c r="E28" s="49">
        <v>14.186000000000002</v>
      </c>
      <c r="F28" s="49">
        <v>14.186000000000002</v>
      </c>
      <c r="G28" s="54">
        <v>0.98</v>
      </c>
      <c r="H28" s="56">
        <f t="shared" si="0"/>
        <v>13.902280000000001</v>
      </c>
      <c r="I28" s="57">
        <f t="shared" si="1"/>
        <v>13.902280000000001</v>
      </c>
      <c r="J28" s="56">
        <f t="shared" si="2"/>
        <v>13.902280000000001</v>
      </c>
    </row>
    <row r="29" spans="1:10" ht="18">
      <c r="A29" s="49">
        <v>1256</v>
      </c>
      <c r="B29" s="49" t="s">
        <v>295</v>
      </c>
      <c r="D29" s="49">
        <v>13.022</v>
      </c>
      <c r="E29" s="49">
        <v>19.612000000000002</v>
      </c>
      <c r="F29" s="49">
        <v>16.317</v>
      </c>
      <c r="G29" s="54">
        <v>12.41</v>
      </c>
      <c r="H29" s="56">
        <f t="shared" si="0"/>
        <v>161.60302000000001</v>
      </c>
      <c r="I29" s="57">
        <f t="shared" si="1"/>
        <v>202.49396999999999</v>
      </c>
      <c r="J29" s="56">
        <f t="shared" si="2"/>
        <v>243.38492000000002</v>
      </c>
    </row>
    <row r="30" spans="1:10" ht="18">
      <c r="A30" s="49">
        <v>1258</v>
      </c>
      <c r="B30" s="49" t="s">
        <v>1241</v>
      </c>
      <c r="D30" s="49">
        <v>8.8520000000000003</v>
      </c>
      <c r="E30" s="49">
        <v>11.7</v>
      </c>
      <c r="F30" s="49">
        <v>10.276</v>
      </c>
      <c r="G30" s="54">
        <v>1.46</v>
      </c>
      <c r="H30" s="56">
        <f t="shared" si="0"/>
        <v>12.923920000000001</v>
      </c>
      <c r="I30" s="57">
        <f t="shared" si="1"/>
        <v>15.00296</v>
      </c>
      <c r="J30" s="56">
        <f t="shared" si="2"/>
        <v>17.081999999999997</v>
      </c>
    </row>
    <row r="31" spans="1:10" ht="18">
      <c r="A31" s="49">
        <v>1259</v>
      </c>
      <c r="B31" s="49" t="s">
        <v>1242</v>
      </c>
      <c r="D31" s="49">
        <v>14.607999999999999</v>
      </c>
      <c r="E31" s="49">
        <v>25.675999999999998</v>
      </c>
      <c r="F31" s="49">
        <v>20.141999999999999</v>
      </c>
      <c r="G31" s="54">
        <v>5.17</v>
      </c>
      <c r="H31" s="56">
        <f t="shared" si="0"/>
        <v>75.523359999999997</v>
      </c>
      <c r="I31" s="57">
        <f t="shared" si="1"/>
        <v>104.13414</v>
      </c>
      <c r="J31" s="56">
        <f t="shared" si="2"/>
        <v>132.74491999999998</v>
      </c>
    </row>
    <row r="32" spans="1:10" ht="18">
      <c r="A32" s="49">
        <v>1264</v>
      </c>
      <c r="B32" s="49" t="s">
        <v>1243</v>
      </c>
      <c r="D32" s="49">
        <v>14.648</v>
      </c>
      <c r="E32" s="49">
        <v>16.913999999999998</v>
      </c>
      <c r="F32" s="49">
        <v>15.780999999999999</v>
      </c>
      <c r="G32" s="54">
        <v>18.239999999999998</v>
      </c>
      <c r="H32" s="56">
        <f t="shared" si="0"/>
        <v>267.17951999999997</v>
      </c>
      <c r="I32" s="57">
        <f t="shared" si="1"/>
        <v>287.84543999999994</v>
      </c>
      <c r="J32" s="56">
        <f t="shared" si="2"/>
        <v>308.51135999999991</v>
      </c>
    </row>
    <row r="33" spans="1:10" ht="18">
      <c r="A33" s="49">
        <v>1268</v>
      </c>
      <c r="B33" s="49" t="s">
        <v>1244</v>
      </c>
      <c r="D33" s="49">
        <v>19.396000000000001</v>
      </c>
      <c r="E33" s="49">
        <v>21.826000000000001</v>
      </c>
      <c r="F33" s="49">
        <v>20.611000000000001</v>
      </c>
      <c r="G33" s="54">
        <v>7.61</v>
      </c>
      <c r="H33" s="56">
        <f t="shared" si="0"/>
        <v>147.60356000000002</v>
      </c>
      <c r="I33" s="57">
        <f t="shared" si="1"/>
        <v>156.84971000000002</v>
      </c>
      <c r="J33" s="56">
        <f t="shared" si="2"/>
        <v>166.09586000000002</v>
      </c>
    </row>
    <row r="34" spans="1:10" ht="18">
      <c r="A34" s="49">
        <v>1301</v>
      </c>
      <c r="B34" s="49" t="s">
        <v>296</v>
      </c>
      <c r="D34" s="49">
        <v>9.1979999999999986</v>
      </c>
      <c r="E34" s="49">
        <v>24.641999999999999</v>
      </c>
      <c r="F34" s="49">
        <v>16.919999999999998</v>
      </c>
      <c r="G34" s="54">
        <v>1.1499999999999999</v>
      </c>
      <c r="H34" s="56">
        <f t="shared" si="0"/>
        <v>10.577699999999998</v>
      </c>
      <c r="I34" s="57">
        <f t="shared" si="1"/>
        <v>19.457999999999995</v>
      </c>
      <c r="J34" s="56">
        <f t="shared" si="2"/>
        <v>28.338299999999997</v>
      </c>
    </row>
    <row r="35" spans="1:10" ht="18">
      <c r="A35" s="49">
        <v>1303</v>
      </c>
      <c r="B35" s="49" t="s">
        <v>297</v>
      </c>
      <c r="D35" s="49">
        <v>9.1239999999999988</v>
      </c>
      <c r="E35" s="49">
        <v>23.93</v>
      </c>
      <c r="F35" s="49">
        <v>16.527000000000001</v>
      </c>
      <c r="G35" s="54">
        <v>0.8</v>
      </c>
      <c r="H35" s="56">
        <f t="shared" si="0"/>
        <v>7.299199999999999</v>
      </c>
      <c r="I35" s="57">
        <f t="shared" si="1"/>
        <v>13.221600000000002</v>
      </c>
      <c r="J35" s="56">
        <f t="shared" si="2"/>
        <v>19.144000000000002</v>
      </c>
    </row>
    <row r="36" spans="1:10" ht="18">
      <c r="A36" s="49">
        <v>1304</v>
      </c>
      <c r="B36" s="49" t="s">
        <v>298</v>
      </c>
      <c r="D36" s="49">
        <v>7.7480000000000002</v>
      </c>
      <c r="E36" s="49">
        <v>28.143999999999998</v>
      </c>
      <c r="F36" s="49">
        <v>17.945999999999998</v>
      </c>
      <c r="G36" s="54">
        <v>-0.19</v>
      </c>
      <c r="H36" s="56">
        <f t="shared" si="0"/>
        <v>-1.4721200000000001</v>
      </c>
      <c r="I36" s="57">
        <f t="shared" si="1"/>
        <v>-3.4097399999999998</v>
      </c>
      <c r="J36" s="56">
        <f t="shared" si="2"/>
        <v>-5.3473600000000001</v>
      </c>
    </row>
    <row r="37" spans="1:10" ht="18">
      <c r="A37" s="49">
        <v>1305</v>
      </c>
      <c r="B37" s="49" t="s">
        <v>299</v>
      </c>
      <c r="D37" s="49">
        <v>8.3680000000000003</v>
      </c>
      <c r="E37" s="49">
        <v>26.492000000000001</v>
      </c>
      <c r="F37" s="49">
        <v>17.43</v>
      </c>
      <c r="G37" s="54">
        <v>0.59</v>
      </c>
      <c r="H37" s="56">
        <f t="shared" si="0"/>
        <v>4.9371200000000002</v>
      </c>
      <c r="I37" s="57">
        <f t="shared" si="1"/>
        <v>10.2837</v>
      </c>
      <c r="J37" s="56">
        <f t="shared" si="2"/>
        <v>15.630279999999999</v>
      </c>
    </row>
    <row r="38" spans="1:10" ht="18">
      <c r="A38" s="49">
        <v>1307</v>
      </c>
      <c r="B38" s="49" t="s">
        <v>300</v>
      </c>
      <c r="D38" s="49">
        <v>10.414000000000001</v>
      </c>
      <c r="E38" s="49">
        <v>19.602</v>
      </c>
      <c r="F38" s="49">
        <v>15.008000000000001</v>
      </c>
      <c r="G38" s="54">
        <v>1.91</v>
      </c>
      <c r="H38" s="56">
        <f t="shared" si="0"/>
        <v>19.890740000000001</v>
      </c>
      <c r="I38" s="57">
        <f t="shared" si="1"/>
        <v>28.665279999999999</v>
      </c>
      <c r="J38" s="56">
        <f t="shared" si="2"/>
        <v>37.439819999999997</v>
      </c>
    </row>
    <row r="39" spans="1:10" ht="18">
      <c r="A39" s="49">
        <v>1308</v>
      </c>
      <c r="B39" s="49" t="s">
        <v>301</v>
      </c>
      <c r="D39" s="49">
        <v>7.492</v>
      </c>
      <c r="E39" s="49">
        <v>22.868000000000002</v>
      </c>
      <c r="F39" s="49">
        <v>15.180000000000001</v>
      </c>
      <c r="G39" s="54">
        <v>0.2</v>
      </c>
      <c r="H39" s="56">
        <f t="shared" si="0"/>
        <v>1.4984000000000002</v>
      </c>
      <c r="I39" s="57">
        <f t="shared" si="1"/>
        <v>3.0360000000000005</v>
      </c>
      <c r="J39" s="56">
        <f t="shared" si="2"/>
        <v>4.5736000000000008</v>
      </c>
    </row>
    <row r="40" spans="1:10" ht="18">
      <c r="A40" s="49">
        <v>1309</v>
      </c>
      <c r="B40" s="49" t="s">
        <v>302</v>
      </c>
      <c r="D40" s="49">
        <v>7.4139999999999997</v>
      </c>
      <c r="E40" s="49">
        <v>20.895999999999997</v>
      </c>
      <c r="F40" s="49">
        <v>14.154999999999998</v>
      </c>
      <c r="G40" s="54">
        <v>-0.69</v>
      </c>
      <c r="H40" s="56">
        <f t="shared" si="0"/>
        <v>-5.1156599999999992</v>
      </c>
      <c r="I40" s="57">
        <f t="shared" si="1"/>
        <v>-9.7669499999999978</v>
      </c>
      <c r="J40" s="56">
        <f t="shared" si="2"/>
        <v>-14.418239999999997</v>
      </c>
    </row>
    <row r="41" spans="1:10" ht="18">
      <c r="A41" s="49">
        <v>1310</v>
      </c>
      <c r="B41" s="49" t="s">
        <v>303</v>
      </c>
      <c r="D41" s="49">
        <v>10.352</v>
      </c>
      <c r="E41" s="49">
        <v>21.893999999999998</v>
      </c>
      <c r="F41" s="49">
        <v>16.122999999999998</v>
      </c>
      <c r="G41" s="54">
        <v>-0.88</v>
      </c>
      <c r="H41" s="56">
        <f t="shared" si="0"/>
        <v>-9.1097599999999996</v>
      </c>
      <c r="I41" s="57">
        <f t="shared" si="1"/>
        <v>-14.188239999999999</v>
      </c>
      <c r="J41" s="56">
        <f t="shared" si="2"/>
        <v>-19.266719999999999</v>
      </c>
    </row>
    <row r="42" spans="1:10" ht="18">
      <c r="A42" s="49">
        <v>1312</v>
      </c>
      <c r="B42" s="49" t="s">
        <v>304</v>
      </c>
      <c r="D42" s="49">
        <v>6.1959999999999997</v>
      </c>
      <c r="E42" s="49">
        <v>16.914000000000001</v>
      </c>
      <c r="F42" s="49">
        <v>11.555</v>
      </c>
      <c r="G42" s="54">
        <v>-1.59</v>
      </c>
      <c r="H42" s="56">
        <f t="shared" si="0"/>
        <v>-9.8516399999999997</v>
      </c>
      <c r="I42" s="57">
        <f t="shared" si="1"/>
        <v>-18.372450000000001</v>
      </c>
      <c r="J42" s="56">
        <f t="shared" si="2"/>
        <v>-26.893260000000005</v>
      </c>
    </row>
    <row r="43" spans="1:10" ht="18">
      <c r="A43" s="49">
        <v>1313</v>
      </c>
      <c r="B43" s="49" t="s">
        <v>305</v>
      </c>
      <c r="D43" s="49">
        <v>7.6340000000000003</v>
      </c>
      <c r="E43" s="49">
        <v>19.888000000000002</v>
      </c>
      <c r="F43" s="49">
        <v>13.761000000000001</v>
      </c>
      <c r="G43" s="54">
        <v>-0.21</v>
      </c>
      <c r="H43" s="56">
        <f t="shared" si="0"/>
        <v>-1.60314</v>
      </c>
      <c r="I43" s="57">
        <f t="shared" si="1"/>
        <v>-2.8898100000000002</v>
      </c>
      <c r="J43" s="56">
        <f t="shared" si="2"/>
        <v>-4.1764800000000006</v>
      </c>
    </row>
    <row r="44" spans="1:10" ht="18">
      <c r="A44" s="49">
        <v>1314</v>
      </c>
      <c r="B44" s="49" t="s">
        <v>306</v>
      </c>
      <c r="D44" s="49">
        <v>7.3899999999999988</v>
      </c>
      <c r="E44" s="49">
        <v>18.863999999999997</v>
      </c>
      <c r="F44" s="49">
        <v>13.126999999999999</v>
      </c>
      <c r="G44" s="54">
        <v>-0.28000000000000003</v>
      </c>
      <c r="H44" s="56">
        <f t="shared" si="0"/>
        <v>-2.0691999999999999</v>
      </c>
      <c r="I44" s="57">
        <f t="shared" si="1"/>
        <v>-3.6755599999999999</v>
      </c>
      <c r="J44" s="56">
        <f t="shared" si="2"/>
        <v>-5.2819199999999995</v>
      </c>
    </row>
    <row r="45" spans="1:10" ht="18">
      <c r="A45" s="49">
        <v>1315</v>
      </c>
      <c r="B45" s="49" t="s">
        <v>307</v>
      </c>
      <c r="D45" s="49">
        <v>9.34</v>
      </c>
      <c r="E45" s="49">
        <v>25.565999999999999</v>
      </c>
      <c r="F45" s="49">
        <v>17.452999999999999</v>
      </c>
      <c r="G45" s="54">
        <v>3.66</v>
      </c>
      <c r="H45" s="56">
        <f t="shared" si="0"/>
        <v>34.184400000000004</v>
      </c>
      <c r="I45" s="57">
        <f t="shared" si="1"/>
        <v>63.877980000000001</v>
      </c>
      <c r="J45" s="56">
        <f t="shared" si="2"/>
        <v>93.571560000000005</v>
      </c>
    </row>
    <row r="46" spans="1:10" ht="18">
      <c r="A46" s="49">
        <v>1316</v>
      </c>
      <c r="B46" s="49" t="s">
        <v>308</v>
      </c>
      <c r="D46" s="49">
        <v>0</v>
      </c>
      <c r="E46" s="49">
        <v>0</v>
      </c>
      <c r="F46" s="49">
        <v>0</v>
      </c>
      <c r="G46" s="54">
        <v>-0.68</v>
      </c>
      <c r="H46" s="56">
        <f t="shared" si="0"/>
        <v>0</v>
      </c>
      <c r="I46" s="57">
        <f t="shared" si="1"/>
        <v>0</v>
      </c>
      <c r="J46" s="56">
        <f t="shared" si="2"/>
        <v>0</v>
      </c>
    </row>
    <row r="47" spans="1:10" ht="18">
      <c r="A47" s="49">
        <v>1319</v>
      </c>
      <c r="B47" s="49" t="s">
        <v>309</v>
      </c>
      <c r="D47" s="49">
        <v>11.26</v>
      </c>
      <c r="E47" s="49">
        <v>24.012</v>
      </c>
      <c r="F47" s="49">
        <v>17.635999999999999</v>
      </c>
      <c r="G47" s="54">
        <v>5.0999999999999996</v>
      </c>
      <c r="H47" s="56">
        <f t="shared" si="0"/>
        <v>57.425999999999995</v>
      </c>
      <c r="I47" s="57">
        <f t="shared" si="1"/>
        <v>89.943599999999989</v>
      </c>
      <c r="J47" s="56">
        <f t="shared" si="2"/>
        <v>122.46119999999999</v>
      </c>
    </row>
    <row r="48" spans="1:10" ht="18">
      <c r="A48" s="49">
        <v>1321</v>
      </c>
      <c r="B48" s="49" t="s">
        <v>310</v>
      </c>
      <c r="D48" s="49">
        <v>0</v>
      </c>
      <c r="E48" s="49">
        <v>0</v>
      </c>
      <c r="F48" s="49">
        <v>0</v>
      </c>
      <c r="G48" s="54">
        <v>0.88</v>
      </c>
      <c r="H48" s="56">
        <f t="shared" si="0"/>
        <v>0</v>
      </c>
      <c r="I48" s="57">
        <f t="shared" si="1"/>
        <v>0</v>
      </c>
      <c r="J48" s="56">
        <f t="shared" si="2"/>
        <v>0</v>
      </c>
    </row>
    <row r="49" spans="1:10" ht="18">
      <c r="A49" s="49">
        <v>1323</v>
      </c>
      <c r="B49" s="49" t="s">
        <v>311</v>
      </c>
      <c r="D49" s="49">
        <v>9.2379999999999995</v>
      </c>
      <c r="E49" s="49">
        <v>18.675999999999998</v>
      </c>
      <c r="F49" s="49">
        <v>13.956999999999999</v>
      </c>
      <c r="G49" s="54">
        <v>0.92</v>
      </c>
      <c r="H49" s="56">
        <f t="shared" si="0"/>
        <v>8.4989600000000003</v>
      </c>
      <c r="I49" s="57">
        <f t="shared" si="1"/>
        <v>12.840439999999999</v>
      </c>
      <c r="J49" s="56">
        <f t="shared" si="2"/>
        <v>17.181919999999998</v>
      </c>
    </row>
    <row r="50" spans="1:10" ht="18">
      <c r="A50" s="49">
        <v>1324</v>
      </c>
      <c r="B50" s="49" t="s">
        <v>312</v>
      </c>
      <c r="D50" s="49">
        <v>14.693999999999999</v>
      </c>
      <c r="E50" s="49">
        <v>28.130000000000003</v>
      </c>
      <c r="F50" s="49">
        <v>21.411999999999999</v>
      </c>
      <c r="G50" s="54">
        <v>0.53</v>
      </c>
      <c r="H50" s="56">
        <f t="shared" si="0"/>
        <v>7.78782</v>
      </c>
      <c r="I50" s="57">
        <f t="shared" si="1"/>
        <v>11.34836</v>
      </c>
      <c r="J50" s="56">
        <f t="shared" si="2"/>
        <v>14.908900000000003</v>
      </c>
    </row>
    <row r="51" spans="1:10" ht="18">
      <c r="A51" s="49">
        <v>1325</v>
      </c>
      <c r="B51" s="49" t="s">
        <v>313</v>
      </c>
      <c r="D51" s="49">
        <v>8.2859999999999996</v>
      </c>
      <c r="E51" s="49">
        <v>26.244000000000007</v>
      </c>
      <c r="F51" s="49">
        <v>17.265000000000004</v>
      </c>
      <c r="G51" s="54">
        <v>0.21</v>
      </c>
      <c r="H51" s="56">
        <f t="shared" si="0"/>
        <v>1.7400599999999999</v>
      </c>
      <c r="I51" s="57">
        <f t="shared" si="1"/>
        <v>3.6256500000000007</v>
      </c>
      <c r="J51" s="56">
        <f t="shared" si="2"/>
        <v>5.5112400000000008</v>
      </c>
    </row>
    <row r="52" spans="1:10" ht="18">
      <c r="A52" s="49">
        <v>1326</v>
      </c>
      <c r="B52" s="49" t="s">
        <v>314</v>
      </c>
      <c r="D52" s="49">
        <v>9.1760000000000002</v>
      </c>
      <c r="E52" s="49">
        <v>25.862000000000002</v>
      </c>
      <c r="F52" s="49">
        <v>17.519000000000002</v>
      </c>
      <c r="G52" s="54">
        <v>1.46</v>
      </c>
      <c r="H52" s="56">
        <f t="shared" si="0"/>
        <v>13.39696</v>
      </c>
      <c r="I52" s="57">
        <f t="shared" si="1"/>
        <v>25.577740000000002</v>
      </c>
      <c r="J52" s="56">
        <f t="shared" si="2"/>
        <v>37.758520000000004</v>
      </c>
    </row>
    <row r="53" spans="1:10" ht="18">
      <c r="A53" s="49">
        <v>1336</v>
      </c>
      <c r="B53" s="49" t="s">
        <v>1245</v>
      </c>
      <c r="D53" s="49">
        <v>9.7560000000000002</v>
      </c>
      <c r="E53" s="49">
        <v>21.82</v>
      </c>
      <c r="F53" s="49">
        <v>15.788</v>
      </c>
      <c r="G53" s="54">
        <v>1.39</v>
      </c>
      <c r="H53" s="56">
        <f t="shared" si="0"/>
        <v>13.560839999999999</v>
      </c>
      <c r="I53" s="57">
        <f t="shared" si="1"/>
        <v>21.945319999999999</v>
      </c>
      <c r="J53" s="56">
        <f t="shared" si="2"/>
        <v>30.329799999999999</v>
      </c>
    </row>
    <row r="54" spans="1:10" ht="18">
      <c r="A54" s="49">
        <v>1337</v>
      </c>
      <c r="B54" s="49" t="s">
        <v>315</v>
      </c>
      <c r="D54" s="49">
        <v>8.9899999999999984</v>
      </c>
      <c r="E54" s="49">
        <v>11.827999999999999</v>
      </c>
      <c r="F54" s="49">
        <v>10.408999999999999</v>
      </c>
      <c r="G54" s="54">
        <v>-1.53</v>
      </c>
      <c r="H54" s="56">
        <f t="shared" si="0"/>
        <v>-13.754699999999998</v>
      </c>
      <c r="I54" s="57">
        <f t="shared" si="1"/>
        <v>-15.925769999999998</v>
      </c>
      <c r="J54" s="56">
        <f t="shared" si="2"/>
        <v>-18.09684</v>
      </c>
    </row>
    <row r="55" spans="1:10" ht="18">
      <c r="A55" s="49">
        <v>1338</v>
      </c>
      <c r="B55" s="49" t="s">
        <v>316</v>
      </c>
      <c r="D55" s="49">
        <v>11.114000000000001</v>
      </c>
      <c r="E55" s="49">
        <v>18.446000000000002</v>
      </c>
      <c r="F55" s="49">
        <v>14.780000000000001</v>
      </c>
      <c r="G55" s="54">
        <v>-1.96</v>
      </c>
      <c r="H55" s="56">
        <f t="shared" si="0"/>
        <v>-21.783440000000002</v>
      </c>
      <c r="I55" s="57">
        <f t="shared" si="1"/>
        <v>-28.968800000000002</v>
      </c>
      <c r="J55" s="56">
        <f t="shared" si="2"/>
        <v>-36.154160000000005</v>
      </c>
    </row>
    <row r="56" spans="1:10" ht="18">
      <c r="A56" s="49">
        <v>1339</v>
      </c>
      <c r="B56" s="49" t="s">
        <v>317</v>
      </c>
      <c r="D56" s="49">
        <v>8.766</v>
      </c>
      <c r="E56" s="49">
        <v>21.29</v>
      </c>
      <c r="F56" s="49">
        <v>15.027999999999999</v>
      </c>
      <c r="G56" s="54">
        <v>5.88</v>
      </c>
      <c r="H56" s="56">
        <f t="shared" si="0"/>
        <v>51.544080000000001</v>
      </c>
      <c r="I56" s="57">
        <f t="shared" si="1"/>
        <v>88.364639999999994</v>
      </c>
      <c r="J56" s="56">
        <f t="shared" si="2"/>
        <v>125.18519999999999</v>
      </c>
    </row>
    <row r="57" spans="1:10" ht="18">
      <c r="A57" s="49">
        <v>1340</v>
      </c>
      <c r="B57" s="49" t="s">
        <v>318</v>
      </c>
      <c r="D57" s="49">
        <v>7.6779999999999999</v>
      </c>
      <c r="E57" s="49">
        <v>7.6779999999999999</v>
      </c>
      <c r="F57" s="49">
        <v>7.6779999999999999</v>
      </c>
      <c r="G57" s="54">
        <v>-5.64</v>
      </c>
      <c r="H57" s="56">
        <f t="shared" si="0"/>
        <v>-43.303919999999998</v>
      </c>
      <c r="I57" s="57">
        <f t="shared" si="1"/>
        <v>-43.303919999999998</v>
      </c>
      <c r="J57" s="56">
        <f t="shared" si="2"/>
        <v>-43.303919999999998</v>
      </c>
    </row>
    <row r="58" spans="1:10" ht="18">
      <c r="A58" s="49">
        <v>1341</v>
      </c>
      <c r="B58" s="49" t="s">
        <v>319</v>
      </c>
      <c r="D58" s="49">
        <v>10.464</v>
      </c>
      <c r="E58" s="49">
        <v>11.298</v>
      </c>
      <c r="F58" s="49">
        <v>10.881</v>
      </c>
      <c r="G58" s="54">
        <v>1.46</v>
      </c>
      <c r="H58" s="56">
        <f t="shared" si="0"/>
        <v>15.27744</v>
      </c>
      <c r="I58" s="57">
        <f t="shared" si="1"/>
        <v>15.88626</v>
      </c>
      <c r="J58" s="56">
        <f t="shared" si="2"/>
        <v>16.495079999999998</v>
      </c>
    </row>
    <row r="59" spans="1:10" ht="18">
      <c r="A59" s="49">
        <v>1342</v>
      </c>
      <c r="B59" s="49" t="s">
        <v>320</v>
      </c>
      <c r="D59" s="49">
        <v>0</v>
      </c>
      <c r="E59" s="49">
        <v>0</v>
      </c>
      <c r="F59" s="49">
        <v>0</v>
      </c>
      <c r="G59" s="54" t="s">
        <v>271</v>
      </c>
      <c r="H59" s="56" t="e">
        <f t="shared" si="0"/>
        <v>#VALUE!</v>
      </c>
      <c r="I59" s="57" t="e">
        <f t="shared" si="1"/>
        <v>#VALUE!</v>
      </c>
      <c r="J59" s="56" t="e">
        <f t="shared" si="2"/>
        <v>#VALUE!</v>
      </c>
    </row>
    <row r="60" spans="1:10" ht="18">
      <c r="A60" s="49">
        <v>1402</v>
      </c>
      <c r="B60" s="49" t="s">
        <v>321</v>
      </c>
      <c r="D60" s="49">
        <v>13.284000000000001</v>
      </c>
      <c r="E60" s="49">
        <v>28.298000000000002</v>
      </c>
      <c r="F60" s="49">
        <v>20.791</v>
      </c>
      <c r="G60" s="54">
        <v>1.64</v>
      </c>
      <c r="H60" s="56">
        <f t="shared" si="0"/>
        <v>21.78576</v>
      </c>
      <c r="I60" s="57">
        <f t="shared" si="1"/>
        <v>34.097239999999999</v>
      </c>
      <c r="J60" s="56">
        <f t="shared" si="2"/>
        <v>46.408720000000002</v>
      </c>
    </row>
    <row r="61" spans="1:10" ht="18">
      <c r="A61" s="49">
        <v>1409</v>
      </c>
      <c r="B61" s="49" t="s">
        <v>322</v>
      </c>
      <c r="D61" s="49">
        <v>8.5500000000000007</v>
      </c>
      <c r="E61" s="49">
        <v>24.33</v>
      </c>
      <c r="F61" s="49">
        <v>16.439999999999998</v>
      </c>
      <c r="G61" s="54">
        <v>0.47</v>
      </c>
      <c r="H61" s="56">
        <f t="shared" si="0"/>
        <v>4.0185000000000004</v>
      </c>
      <c r="I61" s="57">
        <f t="shared" si="1"/>
        <v>7.7267999999999981</v>
      </c>
      <c r="J61" s="56">
        <f t="shared" si="2"/>
        <v>11.435099999999998</v>
      </c>
    </row>
    <row r="62" spans="1:10" ht="18">
      <c r="A62" s="49">
        <v>1410</v>
      </c>
      <c r="B62" s="49" t="s">
        <v>323</v>
      </c>
      <c r="D62" s="49">
        <v>15.603999999999999</v>
      </c>
      <c r="E62" s="49">
        <v>23.04</v>
      </c>
      <c r="F62" s="49">
        <v>19.321999999999999</v>
      </c>
      <c r="G62" s="54">
        <v>0.24</v>
      </c>
      <c r="H62" s="56">
        <f t="shared" si="0"/>
        <v>3.7449599999999998</v>
      </c>
      <c r="I62" s="57">
        <f t="shared" si="1"/>
        <v>4.6372799999999996</v>
      </c>
      <c r="J62" s="56">
        <f t="shared" si="2"/>
        <v>5.5295999999999994</v>
      </c>
    </row>
    <row r="63" spans="1:10" ht="18">
      <c r="A63" s="49">
        <v>1413</v>
      </c>
      <c r="B63" s="49" t="s">
        <v>324</v>
      </c>
      <c r="D63" s="49">
        <v>14.632</v>
      </c>
      <c r="E63" s="49">
        <v>20.851999999999997</v>
      </c>
      <c r="F63" s="49">
        <v>17.741999999999997</v>
      </c>
      <c r="G63" s="54">
        <v>-1.01</v>
      </c>
      <c r="H63" s="56">
        <f t="shared" si="0"/>
        <v>-14.778319999999999</v>
      </c>
      <c r="I63" s="57">
        <f t="shared" si="1"/>
        <v>-17.919419999999999</v>
      </c>
      <c r="J63" s="56">
        <f t="shared" si="2"/>
        <v>-21.060519999999997</v>
      </c>
    </row>
    <row r="64" spans="1:10" ht="18">
      <c r="A64" s="49">
        <v>1414</v>
      </c>
      <c r="B64" s="49" t="s">
        <v>325</v>
      </c>
      <c r="D64" s="49">
        <v>14.313999999999998</v>
      </c>
      <c r="E64" s="49">
        <v>30.137999999999998</v>
      </c>
      <c r="F64" s="49">
        <v>22.225999999999999</v>
      </c>
      <c r="G64" s="54">
        <v>0.15</v>
      </c>
      <c r="H64" s="56">
        <f t="shared" si="0"/>
        <v>2.1470999999999996</v>
      </c>
      <c r="I64" s="57">
        <f t="shared" si="1"/>
        <v>3.3338999999999999</v>
      </c>
      <c r="J64" s="56">
        <f t="shared" si="2"/>
        <v>4.5206999999999997</v>
      </c>
    </row>
    <row r="65" spans="1:10" ht="18">
      <c r="A65" s="49">
        <v>1416</v>
      </c>
      <c r="B65" s="49" t="s">
        <v>326</v>
      </c>
      <c r="D65" s="49">
        <v>10.122000000000002</v>
      </c>
      <c r="E65" s="49">
        <v>20.838000000000001</v>
      </c>
      <c r="F65" s="49">
        <v>15.48</v>
      </c>
      <c r="G65" s="54">
        <v>0.51</v>
      </c>
      <c r="H65" s="56">
        <f t="shared" si="0"/>
        <v>5.1622200000000014</v>
      </c>
      <c r="I65" s="57">
        <f t="shared" si="1"/>
        <v>7.8948</v>
      </c>
      <c r="J65" s="56">
        <f t="shared" si="2"/>
        <v>10.62738</v>
      </c>
    </row>
    <row r="66" spans="1:10" ht="18">
      <c r="A66" s="49">
        <v>1417</v>
      </c>
      <c r="B66" s="49" t="s">
        <v>327</v>
      </c>
      <c r="D66" s="49">
        <v>16.735999999999997</v>
      </c>
      <c r="E66" s="49">
        <v>31.447999999999997</v>
      </c>
      <c r="F66" s="49">
        <v>24.091999999999999</v>
      </c>
      <c r="G66" s="54">
        <v>-0.37</v>
      </c>
      <c r="H66" s="56">
        <f t="shared" si="0"/>
        <v>-6.1923199999999987</v>
      </c>
      <c r="I66" s="57">
        <f t="shared" si="1"/>
        <v>-8.91404</v>
      </c>
      <c r="J66" s="56">
        <f t="shared" si="2"/>
        <v>-11.635759999999999</v>
      </c>
    </row>
    <row r="67" spans="1:10" ht="18">
      <c r="A67" s="49">
        <v>1418</v>
      </c>
      <c r="B67" s="49" t="s">
        <v>328</v>
      </c>
      <c r="D67" s="49">
        <v>0</v>
      </c>
      <c r="E67" s="49">
        <v>0</v>
      </c>
      <c r="F67" s="49">
        <v>0</v>
      </c>
      <c r="G67" s="54">
        <v>0.74</v>
      </c>
      <c r="H67" s="56">
        <f t="shared" ref="H67:H130" si="3">G67*D67</f>
        <v>0</v>
      </c>
      <c r="I67" s="57">
        <f t="shared" ref="I67:I130" si="4">G67*F67</f>
        <v>0</v>
      </c>
      <c r="J67" s="56">
        <f t="shared" ref="J67:J130" si="5">G67*E67</f>
        <v>0</v>
      </c>
    </row>
    <row r="68" spans="1:10" ht="18">
      <c r="A68" s="49">
        <v>1419</v>
      </c>
      <c r="B68" s="49" t="s">
        <v>329</v>
      </c>
      <c r="D68" s="49">
        <v>19.586000000000002</v>
      </c>
      <c r="E68" s="49">
        <v>26.163999999999998</v>
      </c>
      <c r="F68" s="49">
        <v>22.875</v>
      </c>
      <c r="G68" s="54">
        <v>2.17</v>
      </c>
      <c r="H68" s="56">
        <f t="shared" si="3"/>
        <v>42.501620000000003</v>
      </c>
      <c r="I68" s="57">
        <f t="shared" si="4"/>
        <v>49.638750000000002</v>
      </c>
      <c r="J68" s="56">
        <f t="shared" si="5"/>
        <v>56.775879999999994</v>
      </c>
    </row>
    <row r="69" spans="1:10" ht="18">
      <c r="A69" s="49">
        <v>1423</v>
      </c>
      <c r="B69" s="49" t="s">
        <v>330</v>
      </c>
      <c r="D69" s="49">
        <v>16.588000000000001</v>
      </c>
      <c r="E69" s="49">
        <v>28.631999999999998</v>
      </c>
      <c r="F69" s="49">
        <v>22.61</v>
      </c>
      <c r="G69" s="54">
        <v>0.56999999999999995</v>
      </c>
      <c r="H69" s="56">
        <f t="shared" si="3"/>
        <v>9.4551599999999993</v>
      </c>
      <c r="I69" s="57">
        <f t="shared" si="4"/>
        <v>12.887699999999999</v>
      </c>
      <c r="J69" s="56">
        <f t="shared" si="5"/>
        <v>16.320239999999998</v>
      </c>
    </row>
    <row r="70" spans="1:10" ht="18">
      <c r="A70" s="49">
        <v>1432</v>
      </c>
      <c r="B70" s="49" t="s">
        <v>331</v>
      </c>
      <c r="D70" s="49">
        <v>2.3660000000000001</v>
      </c>
      <c r="E70" s="49">
        <v>7.3639999999999999</v>
      </c>
      <c r="F70" s="49">
        <v>4.8650000000000002</v>
      </c>
      <c r="G70" s="54">
        <v>0.67</v>
      </c>
      <c r="H70" s="56">
        <f t="shared" si="3"/>
        <v>1.5852200000000001</v>
      </c>
      <c r="I70" s="57">
        <f t="shared" si="4"/>
        <v>3.2595500000000004</v>
      </c>
      <c r="J70" s="56">
        <f t="shared" si="5"/>
        <v>4.9338800000000003</v>
      </c>
    </row>
    <row r="71" spans="1:10" ht="18">
      <c r="A71" s="49">
        <v>1434</v>
      </c>
      <c r="B71" s="49" t="s">
        <v>332</v>
      </c>
      <c r="D71" s="49">
        <v>10.172000000000001</v>
      </c>
      <c r="E71" s="49">
        <v>22.498000000000001</v>
      </c>
      <c r="F71" s="49">
        <v>16.335000000000001</v>
      </c>
      <c r="G71" s="54">
        <v>0.26</v>
      </c>
      <c r="H71" s="56">
        <f t="shared" si="3"/>
        <v>2.6447200000000004</v>
      </c>
      <c r="I71" s="57">
        <f t="shared" si="4"/>
        <v>4.2471000000000005</v>
      </c>
      <c r="J71" s="56">
        <f t="shared" si="5"/>
        <v>5.8494800000000007</v>
      </c>
    </row>
    <row r="72" spans="1:10" ht="18">
      <c r="A72" s="49">
        <v>1436</v>
      </c>
      <c r="B72" s="49" t="s">
        <v>333</v>
      </c>
      <c r="D72" s="49">
        <v>8.1</v>
      </c>
      <c r="E72" s="49">
        <v>15.306000000000001</v>
      </c>
      <c r="F72" s="49">
        <v>11.702999999999999</v>
      </c>
      <c r="G72" s="54">
        <v>9.69</v>
      </c>
      <c r="H72" s="56">
        <f t="shared" si="3"/>
        <v>78.48899999999999</v>
      </c>
      <c r="I72" s="57">
        <f t="shared" si="4"/>
        <v>113.40206999999999</v>
      </c>
      <c r="J72" s="56">
        <f t="shared" si="5"/>
        <v>148.31514000000001</v>
      </c>
    </row>
    <row r="73" spans="1:10" ht="18">
      <c r="A73" s="49">
        <v>1437</v>
      </c>
      <c r="B73" s="49" t="s">
        <v>334</v>
      </c>
      <c r="D73" s="49">
        <v>9.8099999999999987</v>
      </c>
      <c r="E73" s="49">
        <v>20.547999999999998</v>
      </c>
      <c r="F73" s="49">
        <v>15.178999999999998</v>
      </c>
      <c r="G73" s="54">
        <v>2.82</v>
      </c>
      <c r="H73" s="56">
        <f t="shared" si="3"/>
        <v>27.664199999999994</v>
      </c>
      <c r="I73" s="57">
        <f t="shared" si="4"/>
        <v>42.804779999999994</v>
      </c>
      <c r="J73" s="56">
        <f t="shared" si="5"/>
        <v>57.945359999999994</v>
      </c>
    </row>
    <row r="74" spans="1:10" ht="18">
      <c r="A74" s="49">
        <v>1438</v>
      </c>
      <c r="B74" s="49" t="s">
        <v>335</v>
      </c>
      <c r="D74" s="49">
        <v>14.666</v>
      </c>
      <c r="E74" s="49">
        <v>23.903999999999996</v>
      </c>
      <c r="F74" s="49">
        <v>19.284999999999997</v>
      </c>
      <c r="G74" s="54">
        <v>-0.71</v>
      </c>
      <c r="H74" s="56">
        <f t="shared" si="3"/>
        <v>-10.41286</v>
      </c>
      <c r="I74" s="57">
        <f t="shared" si="4"/>
        <v>-13.692349999999998</v>
      </c>
      <c r="J74" s="56">
        <f t="shared" si="5"/>
        <v>-16.971839999999997</v>
      </c>
    </row>
    <row r="75" spans="1:10" ht="18">
      <c r="A75" s="49">
        <v>1439</v>
      </c>
      <c r="B75" s="49" t="s">
        <v>336</v>
      </c>
      <c r="D75" s="49">
        <v>0</v>
      </c>
      <c r="E75" s="49">
        <v>0</v>
      </c>
      <c r="F75" s="49">
        <v>0</v>
      </c>
      <c r="G75" s="54">
        <v>2</v>
      </c>
      <c r="H75" s="56">
        <f t="shared" si="3"/>
        <v>0</v>
      </c>
      <c r="I75" s="57">
        <f t="shared" si="4"/>
        <v>0</v>
      </c>
      <c r="J75" s="56">
        <f t="shared" si="5"/>
        <v>0</v>
      </c>
    </row>
    <row r="76" spans="1:10" ht="18">
      <c r="A76" s="49">
        <v>1440</v>
      </c>
      <c r="B76" s="49" t="s">
        <v>337</v>
      </c>
      <c r="D76" s="49">
        <v>13.937999999999999</v>
      </c>
      <c r="E76" s="49">
        <v>27.693999999999999</v>
      </c>
      <c r="F76" s="49">
        <v>20.815999999999999</v>
      </c>
      <c r="G76" s="54">
        <v>1.27</v>
      </c>
      <c r="H76" s="56">
        <f t="shared" si="3"/>
        <v>17.701259999999998</v>
      </c>
      <c r="I76" s="57">
        <f t="shared" si="4"/>
        <v>26.436319999999998</v>
      </c>
      <c r="J76" s="56">
        <f t="shared" si="5"/>
        <v>35.171379999999999</v>
      </c>
    </row>
    <row r="77" spans="1:10" ht="18">
      <c r="A77" s="49">
        <v>1441</v>
      </c>
      <c r="B77" s="49" t="s">
        <v>338</v>
      </c>
      <c r="D77" s="49">
        <v>0</v>
      </c>
      <c r="E77" s="49">
        <v>0</v>
      </c>
      <c r="F77" s="49">
        <v>0</v>
      </c>
      <c r="G77" s="54">
        <v>-5.05</v>
      </c>
      <c r="H77" s="56">
        <f t="shared" si="3"/>
        <v>0</v>
      </c>
      <c r="I77" s="57">
        <f t="shared" si="4"/>
        <v>0</v>
      </c>
      <c r="J77" s="56">
        <f t="shared" si="5"/>
        <v>0</v>
      </c>
    </row>
    <row r="78" spans="1:10" ht="18">
      <c r="A78" s="49">
        <v>1442</v>
      </c>
      <c r="B78" s="49" t="s">
        <v>339</v>
      </c>
      <c r="D78" s="49">
        <v>6.6</v>
      </c>
      <c r="E78" s="49">
        <v>16.720000000000002</v>
      </c>
      <c r="F78" s="49">
        <v>11.66</v>
      </c>
      <c r="G78" s="54">
        <v>4.71</v>
      </c>
      <c r="H78" s="56">
        <f t="shared" si="3"/>
        <v>31.085999999999999</v>
      </c>
      <c r="I78" s="57">
        <f t="shared" si="4"/>
        <v>54.918599999999998</v>
      </c>
      <c r="J78" s="56">
        <f t="shared" si="5"/>
        <v>78.751200000000011</v>
      </c>
    </row>
    <row r="79" spans="1:10" ht="18">
      <c r="A79" s="49">
        <v>1443</v>
      </c>
      <c r="B79" s="49" t="s">
        <v>340</v>
      </c>
      <c r="D79" s="49">
        <v>0</v>
      </c>
      <c r="E79" s="49">
        <v>0</v>
      </c>
      <c r="F79" s="49">
        <v>0</v>
      </c>
      <c r="G79" s="54">
        <v>1.29</v>
      </c>
      <c r="H79" s="56">
        <f t="shared" si="3"/>
        <v>0</v>
      </c>
      <c r="I79" s="57">
        <f t="shared" si="4"/>
        <v>0</v>
      </c>
      <c r="J79" s="56">
        <f t="shared" si="5"/>
        <v>0</v>
      </c>
    </row>
    <row r="80" spans="1:10" ht="18">
      <c r="A80" s="49">
        <v>1444</v>
      </c>
      <c r="B80" s="49" t="s">
        <v>341</v>
      </c>
      <c r="D80" s="49">
        <v>8.6020000000000003</v>
      </c>
      <c r="E80" s="49">
        <v>23.828000000000003</v>
      </c>
      <c r="F80" s="49">
        <v>16.215000000000003</v>
      </c>
      <c r="G80" s="54">
        <v>-0.28000000000000003</v>
      </c>
      <c r="H80" s="56">
        <f t="shared" si="3"/>
        <v>-2.4085600000000005</v>
      </c>
      <c r="I80" s="57">
        <f t="shared" si="4"/>
        <v>-4.5402000000000013</v>
      </c>
      <c r="J80" s="56">
        <f t="shared" si="5"/>
        <v>-6.6718400000000013</v>
      </c>
    </row>
    <row r="81" spans="1:10" ht="18">
      <c r="A81" s="49">
        <v>1445</v>
      </c>
      <c r="B81" s="49" t="s">
        <v>342</v>
      </c>
      <c r="D81" s="49">
        <v>13.906000000000001</v>
      </c>
      <c r="E81" s="49">
        <v>19.895999999999997</v>
      </c>
      <c r="F81" s="49">
        <v>16.901</v>
      </c>
      <c r="G81" s="54">
        <v>7.72</v>
      </c>
      <c r="H81" s="56">
        <f t="shared" si="3"/>
        <v>107.35432</v>
      </c>
      <c r="I81" s="57">
        <f t="shared" si="4"/>
        <v>130.47572</v>
      </c>
      <c r="J81" s="56">
        <f t="shared" si="5"/>
        <v>153.59711999999996</v>
      </c>
    </row>
    <row r="82" spans="1:10" ht="18">
      <c r="A82" s="49">
        <v>1446</v>
      </c>
      <c r="B82" s="49" t="s">
        <v>343</v>
      </c>
      <c r="D82" s="49">
        <v>0</v>
      </c>
      <c r="E82" s="49">
        <v>0</v>
      </c>
      <c r="F82" s="49">
        <v>0</v>
      </c>
      <c r="G82" s="54">
        <v>0.8</v>
      </c>
      <c r="H82" s="56">
        <f t="shared" si="3"/>
        <v>0</v>
      </c>
      <c r="I82" s="57">
        <f t="shared" si="4"/>
        <v>0</v>
      </c>
      <c r="J82" s="56">
        <f t="shared" si="5"/>
        <v>0</v>
      </c>
    </row>
    <row r="83" spans="1:10" ht="18">
      <c r="A83" s="49">
        <v>1447</v>
      </c>
      <c r="B83" s="49" t="s">
        <v>344</v>
      </c>
      <c r="D83" s="49">
        <v>11.15</v>
      </c>
      <c r="E83" s="49">
        <v>19.905999999999999</v>
      </c>
      <c r="F83" s="49">
        <v>15.527999999999999</v>
      </c>
      <c r="G83" s="54">
        <v>-0.51</v>
      </c>
      <c r="H83" s="56">
        <f t="shared" si="3"/>
        <v>-5.6865000000000006</v>
      </c>
      <c r="I83" s="57">
        <f t="shared" si="4"/>
        <v>-7.9192799999999997</v>
      </c>
      <c r="J83" s="56">
        <f t="shared" si="5"/>
        <v>-10.152059999999999</v>
      </c>
    </row>
    <row r="84" spans="1:10" ht="18">
      <c r="A84" s="49">
        <v>1449</v>
      </c>
      <c r="B84" s="49" t="s">
        <v>345</v>
      </c>
      <c r="D84" s="49">
        <v>0</v>
      </c>
      <c r="E84" s="49">
        <v>0</v>
      </c>
      <c r="F84" s="49">
        <v>0</v>
      </c>
      <c r="G84" s="54">
        <v>0.6</v>
      </c>
      <c r="H84" s="56">
        <f t="shared" si="3"/>
        <v>0</v>
      </c>
      <c r="I84" s="57">
        <f t="shared" si="4"/>
        <v>0</v>
      </c>
      <c r="J84" s="56">
        <f t="shared" si="5"/>
        <v>0</v>
      </c>
    </row>
    <row r="85" spans="1:10" ht="18">
      <c r="A85" s="49">
        <v>1451</v>
      </c>
      <c r="B85" s="49" t="s">
        <v>346</v>
      </c>
      <c r="D85" s="49">
        <v>8.4599999999999991</v>
      </c>
      <c r="E85" s="49">
        <v>23.975999999999999</v>
      </c>
      <c r="F85" s="49">
        <v>16.218</v>
      </c>
      <c r="G85" s="54">
        <v>-1.83</v>
      </c>
      <c r="H85" s="56">
        <f t="shared" si="3"/>
        <v>-15.4818</v>
      </c>
      <c r="I85" s="57">
        <f t="shared" si="4"/>
        <v>-29.678940000000001</v>
      </c>
      <c r="J85" s="56">
        <f t="shared" si="5"/>
        <v>-43.876080000000002</v>
      </c>
    </row>
    <row r="86" spans="1:10" ht="18">
      <c r="A86" s="49">
        <v>1452</v>
      </c>
      <c r="B86" s="49" t="s">
        <v>347</v>
      </c>
      <c r="D86" s="49">
        <v>8.5440000000000005</v>
      </c>
      <c r="E86" s="49">
        <v>19.052</v>
      </c>
      <c r="F86" s="49">
        <v>13.798</v>
      </c>
      <c r="G86" s="54">
        <v>0.39</v>
      </c>
      <c r="H86" s="56">
        <f t="shared" si="3"/>
        <v>3.3321600000000005</v>
      </c>
      <c r="I86" s="57">
        <f t="shared" si="4"/>
        <v>5.3812199999999999</v>
      </c>
      <c r="J86" s="56">
        <f t="shared" si="5"/>
        <v>7.4302799999999998</v>
      </c>
    </row>
    <row r="87" spans="1:10" ht="18">
      <c r="A87" s="49">
        <v>1453</v>
      </c>
      <c r="B87" s="49" t="s">
        <v>348</v>
      </c>
      <c r="D87" s="49">
        <v>9.0360000000000014</v>
      </c>
      <c r="E87" s="49">
        <v>15.198000000000002</v>
      </c>
      <c r="F87" s="49">
        <v>12.117000000000001</v>
      </c>
      <c r="G87" s="54">
        <v>0.56999999999999995</v>
      </c>
      <c r="H87" s="56">
        <f t="shared" si="3"/>
        <v>5.1505200000000002</v>
      </c>
      <c r="I87" s="57">
        <f t="shared" si="4"/>
        <v>6.9066900000000002</v>
      </c>
      <c r="J87" s="56">
        <f t="shared" si="5"/>
        <v>8.6628600000000002</v>
      </c>
    </row>
    <row r="88" spans="1:10" ht="18">
      <c r="A88" s="49">
        <v>1454</v>
      </c>
      <c r="B88" s="49" t="s">
        <v>349</v>
      </c>
      <c r="D88" s="49">
        <v>14.628</v>
      </c>
      <c r="E88" s="49">
        <v>25.318000000000001</v>
      </c>
      <c r="F88" s="49">
        <v>19.972999999999999</v>
      </c>
      <c r="G88" s="54">
        <v>0.16</v>
      </c>
      <c r="H88" s="56">
        <f t="shared" si="3"/>
        <v>2.3404799999999999</v>
      </c>
      <c r="I88" s="57">
        <f t="shared" si="4"/>
        <v>3.1956799999999999</v>
      </c>
      <c r="J88" s="56">
        <f t="shared" si="5"/>
        <v>4.0508800000000003</v>
      </c>
    </row>
    <row r="89" spans="1:10" ht="18">
      <c r="A89" s="49">
        <v>1455</v>
      </c>
      <c r="B89" s="49" t="s">
        <v>350</v>
      </c>
      <c r="D89" s="49">
        <v>9.4919999999999991</v>
      </c>
      <c r="E89" s="49">
        <v>24.413999999999998</v>
      </c>
      <c r="F89" s="49">
        <v>16.952999999999999</v>
      </c>
      <c r="G89" s="54">
        <v>-0.45</v>
      </c>
      <c r="H89" s="56">
        <f t="shared" si="3"/>
        <v>-4.2713999999999999</v>
      </c>
      <c r="I89" s="57">
        <f t="shared" si="4"/>
        <v>-7.6288499999999999</v>
      </c>
      <c r="J89" s="56">
        <f t="shared" si="5"/>
        <v>-10.9863</v>
      </c>
    </row>
    <row r="90" spans="1:10" ht="18">
      <c r="A90" s="49">
        <v>1456</v>
      </c>
      <c r="B90" s="49" t="s">
        <v>351</v>
      </c>
      <c r="D90" s="49">
        <v>9.3039999999999985</v>
      </c>
      <c r="E90" s="49">
        <v>19.294</v>
      </c>
      <c r="F90" s="49">
        <v>14.298999999999999</v>
      </c>
      <c r="G90" s="54">
        <v>0.05</v>
      </c>
      <c r="H90" s="56">
        <f t="shared" si="3"/>
        <v>0.46519999999999995</v>
      </c>
      <c r="I90" s="57">
        <f t="shared" si="4"/>
        <v>0.71494999999999997</v>
      </c>
      <c r="J90" s="56">
        <f t="shared" si="5"/>
        <v>0.96470000000000011</v>
      </c>
    </row>
    <row r="91" spans="1:10" ht="18">
      <c r="A91" s="49">
        <v>1457</v>
      </c>
      <c r="B91" s="49" t="s">
        <v>352</v>
      </c>
      <c r="D91" s="49">
        <v>6.0780000000000003</v>
      </c>
      <c r="E91" s="49">
        <v>24.97</v>
      </c>
      <c r="F91" s="49">
        <v>15.523999999999999</v>
      </c>
      <c r="G91" s="54">
        <v>2.5499999999999998</v>
      </c>
      <c r="H91" s="56">
        <f t="shared" si="3"/>
        <v>15.498899999999999</v>
      </c>
      <c r="I91" s="57">
        <f t="shared" si="4"/>
        <v>39.586199999999998</v>
      </c>
      <c r="J91" s="56">
        <f t="shared" si="5"/>
        <v>63.67349999999999</v>
      </c>
    </row>
    <row r="92" spans="1:10" ht="18">
      <c r="A92" s="49">
        <v>1459</v>
      </c>
      <c r="B92" s="49" t="s">
        <v>353</v>
      </c>
      <c r="D92" s="49">
        <v>9.1159999999999997</v>
      </c>
      <c r="E92" s="49">
        <v>17.545999999999999</v>
      </c>
      <c r="F92" s="49">
        <v>13.331</v>
      </c>
      <c r="G92" s="54">
        <v>7.0000000000000007E-2</v>
      </c>
      <c r="H92" s="56">
        <f t="shared" si="3"/>
        <v>0.63812000000000002</v>
      </c>
      <c r="I92" s="57">
        <f t="shared" si="4"/>
        <v>0.93317000000000005</v>
      </c>
      <c r="J92" s="56">
        <f t="shared" si="5"/>
        <v>1.2282200000000001</v>
      </c>
    </row>
    <row r="93" spans="1:10" ht="18">
      <c r="A93" s="49">
        <v>1460</v>
      </c>
      <c r="B93" s="49" t="s">
        <v>354</v>
      </c>
      <c r="D93" s="49">
        <v>15.330000000000002</v>
      </c>
      <c r="E93" s="49">
        <v>24.283999999999999</v>
      </c>
      <c r="F93" s="49">
        <v>19.807000000000002</v>
      </c>
      <c r="G93" s="54">
        <v>-1.8</v>
      </c>
      <c r="H93" s="56">
        <f t="shared" si="3"/>
        <v>-27.594000000000005</v>
      </c>
      <c r="I93" s="57">
        <f t="shared" si="4"/>
        <v>-35.652600000000007</v>
      </c>
      <c r="J93" s="56">
        <f t="shared" si="5"/>
        <v>-43.711199999999998</v>
      </c>
    </row>
    <row r="94" spans="1:10" ht="18">
      <c r="A94" s="49">
        <v>1463</v>
      </c>
      <c r="B94" s="49" t="s">
        <v>355</v>
      </c>
      <c r="D94" s="49">
        <v>13.327999999999999</v>
      </c>
      <c r="E94" s="49">
        <v>27.788</v>
      </c>
      <c r="F94" s="49">
        <v>20.558</v>
      </c>
      <c r="G94" s="54">
        <v>0.65</v>
      </c>
      <c r="H94" s="56">
        <f t="shared" si="3"/>
        <v>8.6631999999999998</v>
      </c>
      <c r="I94" s="57">
        <f t="shared" si="4"/>
        <v>13.3627</v>
      </c>
      <c r="J94" s="56">
        <f t="shared" si="5"/>
        <v>18.062200000000001</v>
      </c>
    </row>
    <row r="95" spans="1:10" ht="18">
      <c r="A95" s="49">
        <v>1464</v>
      </c>
      <c r="B95" s="49" t="s">
        <v>356</v>
      </c>
      <c r="D95" s="49">
        <v>16.463999999999999</v>
      </c>
      <c r="E95" s="49">
        <v>24.884000000000004</v>
      </c>
      <c r="F95" s="49">
        <v>20.673999999999999</v>
      </c>
      <c r="G95" s="54">
        <v>0.12</v>
      </c>
      <c r="H95" s="56">
        <f t="shared" si="3"/>
        <v>1.9756799999999997</v>
      </c>
      <c r="I95" s="57">
        <f t="shared" si="4"/>
        <v>2.48088</v>
      </c>
      <c r="J95" s="56">
        <f t="shared" si="5"/>
        <v>2.9860800000000003</v>
      </c>
    </row>
    <row r="96" spans="1:10" ht="18">
      <c r="A96" s="49">
        <v>1465</v>
      </c>
      <c r="B96" s="49" t="s">
        <v>357</v>
      </c>
      <c r="D96" s="49">
        <v>8.4819999999999993</v>
      </c>
      <c r="E96" s="49">
        <v>21.13</v>
      </c>
      <c r="F96" s="49">
        <v>14.805999999999999</v>
      </c>
      <c r="G96" s="54">
        <v>0.56000000000000005</v>
      </c>
      <c r="H96" s="56">
        <f t="shared" si="3"/>
        <v>4.7499200000000004</v>
      </c>
      <c r="I96" s="57">
        <f t="shared" si="4"/>
        <v>8.291360000000001</v>
      </c>
      <c r="J96" s="56">
        <f t="shared" si="5"/>
        <v>11.832800000000001</v>
      </c>
    </row>
    <row r="97" spans="1:10" ht="18">
      <c r="A97" s="49">
        <v>1466</v>
      </c>
      <c r="B97" s="49" t="s">
        <v>358</v>
      </c>
      <c r="D97" s="49">
        <v>11.16</v>
      </c>
      <c r="E97" s="49">
        <v>22.72</v>
      </c>
      <c r="F97" s="49">
        <v>16.939999999999998</v>
      </c>
      <c r="G97" s="54">
        <v>-1.36</v>
      </c>
      <c r="H97" s="56">
        <f t="shared" si="3"/>
        <v>-15.177600000000002</v>
      </c>
      <c r="I97" s="57">
        <f t="shared" si="4"/>
        <v>-23.038399999999999</v>
      </c>
      <c r="J97" s="56">
        <f t="shared" si="5"/>
        <v>-30.8992</v>
      </c>
    </row>
    <row r="98" spans="1:10" ht="18">
      <c r="A98" s="49">
        <v>1467</v>
      </c>
      <c r="B98" s="49" t="s">
        <v>359</v>
      </c>
      <c r="D98" s="49">
        <v>10.998000000000001</v>
      </c>
      <c r="E98" s="49">
        <v>20.163999999999998</v>
      </c>
      <c r="F98" s="49">
        <v>15.581</v>
      </c>
      <c r="G98" s="54">
        <v>-0.71</v>
      </c>
      <c r="H98" s="56">
        <f t="shared" si="3"/>
        <v>-7.8085800000000001</v>
      </c>
      <c r="I98" s="57">
        <f t="shared" si="4"/>
        <v>-11.06251</v>
      </c>
      <c r="J98" s="56">
        <f t="shared" si="5"/>
        <v>-14.316439999999998</v>
      </c>
    </row>
    <row r="99" spans="1:10" ht="18">
      <c r="A99" s="49">
        <v>1468</v>
      </c>
      <c r="B99" s="49" t="s">
        <v>360</v>
      </c>
      <c r="D99" s="49">
        <v>0</v>
      </c>
      <c r="E99" s="49">
        <v>0</v>
      </c>
      <c r="F99" s="49">
        <v>0</v>
      </c>
      <c r="G99" s="54">
        <v>0.17</v>
      </c>
      <c r="H99" s="56">
        <f t="shared" si="3"/>
        <v>0</v>
      </c>
      <c r="I99" s="57">
        <f t="shared" si="4"/>
        <v>0</v>
      </c>
      <c r="J99" s="56">
        <f t="shared" si="5"/>
        <v>0</v>
      </c>
    </row>
    <row r="100" spans="1:10" ht="18">
      <c r="A100" s="49">
        <v>1470</v>
      </c>
      <c r="B100" s="49" t="s">
        <v>361</v>
      </c>
      <c r="D100" s="49">
        <v>19.835999999999999</v>
      </c>
      <c r="E100" s="49">
        <v>33.207999999999998</v>
      </c>
      <c r="F100" s="49">
        <v>26.521999999999998</v>
      </c>
      <c r="G100" s="54">
        <v>0.57999999999999996</v>
      </c>
      <c r="H100" s="56">
        <f t="shared" si="3"/>
        <v>11.504879999999998</v>
      </c>
      <c r="I100" s="57">
        <f t="shared" si="4"/>
        <v>15.382759999999998</v>
      </c>
      <c r="J100" s="56">
        <f t="shared" si="5"/>
        <v>19.260639999999999</v>
      </c>
    </row>
    <row r="101" spans="1:10" ht="18">
      <c r="A101" s="49">
        <v>1471</v>
      </c>
      <c r="B101" s="49" t="s">
        <v>362</v>
      </c>
      <c r="D101" s="49">
        <v>0</v>
      </c>
      <c r="E101" s="49">
        <v>0</v>
      </c>
      <c r="F101" s="49">
        <v>0</v>
      </c>
      <c r="G101" s="54">
        <v>-0.28999999999999998</v>
      </c>
      <c r="H101" s="56">
        <f t="shared" si="3"/>
        <v>0</v>
      </c>
      <c r="I101" s="57">
        <f t="shared" si="4"/>
        <v>0</v>
      </c>
      <c r="J101" s="56">
        <f t="shared" si="5"/>
        <v>0</v>
      </c>
    </row>
    <row r="102" spans="1:10" ht="18">
      <c r="A102" s="49">
        <v>1472</v>
      </c>
      <c r="B102" s="49" t="s">
        <v>363</v>
      </c>
      <c r="D102" s="49">
        <v>0</v>
      </c>
      <c r="E102" s="49">
        <v>0</v>
      </c>
      <c r="F102" s="49">
        <v>0</v>
      </c>
      <c r="G102" s="54">
        <v>4.2699999999999996</v>
      </c>
      <c r="H102" s="56">
        <f t="shared" si="3"/>
        <v>0</v>
      </c>
      <c r="I102" s="57">
        <f t="shared" si="4"/>
        <v>0</v>
      </c>
      <c r="J102" s="56">
        <f t="shared" si="5"/>
        <v>0</v>
      </c>
    </row>
    <row r="103" spans="1:10" ht="18">
      <c r="A103" s="49">
        <v>1473</v>
      </c>
      <c r="B103" s="49" t="s">
        <v>364</v>
      </c>
      <c r="D103" s="49">
        <v>10.605999999999998</v>
      </c>
      <c r="E103" s="49">
        <v>27.776</v>
      </c>
      <c r="F103" s="49">
        <v>19.190999999999999</v>
      </c>
      <c r="G103" s="54">
        <v>2.13</v>
      </c>
      <c r="H103" s="56">
        <f t="shared" si="3"/>
        <v>22.590779999999995</v>
      </c>
      <c r="I103" s="57">
        <f t="shared" si="4"/>
        <v>40.876829999999998</v>
      </c>
      <c r="J103" s="56">
        <f t="shared" si="5"/>
        <v>59.162879999999994</v>
      </c>
    </row>
    <row r="104" spans="1:10" ht="18">
      <c r="A104" s="49">
        <v>1474</v>
      </c>
      <c r="B104" s="49" t="s">
        <v>365</v>
      </c>
      <c r="D104" s="49">
        <v>11.226000000000001</v>
      </c>
      <c r="E104" s="49">
        <v>18.558</v>
      </c>
      <c r="F104" s="49">
        <v>14.891999999999999</v>
      </c>
      <c r="G104" s="54">
        <v>-0.34</v>
      </c>
      <c r="H104" s="56">
        <f t="shared" si="3"/>
        <v>-3.8168400000000005</v>
      </c>
      <c r="I104" s="57">
        <f t="shared" si="4"/>
        <v>-5.0632799999999998</v>
      </c>
      <c r="J104" s="56">
        <f t="shared" si="5"/>
        <v>-6.3097200000000004</v>
      </c>
    </row>
    <row r="105" spans="1:10" ht="18">
      <c r="A105" s="49">
        <v>1475</v>
      </c>
      <c r="B105" s="49" t="s">
        <v>366</v>
      </c>
      <c r="D105" s="49">
        <v>0</v>
      </c>
      <c r="E105" s="49">
        <v>0</v>
      </c>
      <c r="F105" s="49">
        <v>0</v>
      </c>
      <c r="G105" s="54">
        <v>7.9</v>
      </c>
      <c r="H105" s="56">
        <f t="shared" si="3"/>
        <v>0</v>
      </c>
      <c r="I105" s="57">
        <f t="shared" si="4"/>
        <v>0</v>
      </c>
      <c r="J105" s="56">
        <f t="shared" si="5"/>
        <v>0</v>
      </c>
    </row>
    <row r="106" spans="1:10" ht="18">
      <c r="A106" s="49">
        <v>1476</v>
      </c>
      <c r="B106" s="49" t="s">
        <v>367</v>
      </c>
      <c r="D106" s="49">
        <v>9.7880000000000003</v>
      </c>
      <c r="E106" s="49">
        <v>31.93</v>
      </c>
      <c r="F106" s="49">
        <v>20.859000000000002</v>
      </c>
      <c r="G106" s="54">
        <v>18.87</v>
      </c>
      <c r="H106" s="56">
        <f t="shared" si="3"/>
        <v>184.69956000000002</v>
      </c>
      <c r="I106" s="57">
        <f t="shared" si="4"/>
        <v>393.60933000000006</v>
      </c>
      <c r="J106" s="56">
        <f t="shared" si="5"/>
        <v>602.51909999999998</v>
      </c>
    </row>
    <row r="107" spans="1:10" ht="18">
      <c r="A107" s="49">
        <v>1477</v>
      </c>
      <c r="B107" s="49" t="s">
        <v>368</v>
      </c>
      <c r="D107" s="49">
        <v>9.9599999999999991</v>
      </c>
      <c r="E107" s="49">
        <v>23.128</v>
      </c>
      <c r="F107" s="49">
        <v>16.544</v>
      </c>
      <c r="G107" s="54">
        <v>16.5</v>
      </c>
      <c r="H107" s="56">
        <f t="shared" si="3"/>
        <v>164.33999999999997</v>
      </c>
      <c r="I107" s="57">
        <f t="shared" si="4"/>
        <v>272.976</v>
      </c>
      <c r="J107" s="56">
        <f t="shared" si="5"/>
        <v>381.61200000000002</v>
      </c>
    </row>
    <row r="108" spans="1:10" ht="18">
      <c r="A108" s="49">
        <v>1503</v>
      </c>
      <c r="B108" s="49" t="s">
        <v>369</v>
      </c>
      <c r="D108" s="49">
        <v>13.222</v>
      </c>
      <c r="E108" s="49">
        <v>24.979999999999997</v>
      </c>
      <c r="F108" s="49">
        <v>19.100999999999999</v>
      </c>
      <c r="G108" s="54">
        <v>4.51</v>
      </c>
      <c r="H108" s="56">
        <f t="shared" si="3"/>
        <v>59.631219999999992</v>
      </c>
      <c r="I108" s="57">
        <f t="shared" si="4"/>
        <v>86.145509999999987</v>
      </c>
      <c r="J108" s="56">
        <f t="shared" si="5"/>
        <v>112.65979999999998</v>
      </c>
    </row>
    <row r="109" spans="1:10" ht="18">
      <c r="A109" s="49">
        <v>1504</v>
      </c>
      <c r="B109" s="49" t="s">
        <v>370</v>
      </c>
      <c r="D109" s="49">
        <v>11.177999999999999</v>
      </c>
      <c r="E109" s="49">
        <v>17.97</v>
      </c>
      <c r="F109" s="49">
        <v>14.573999999999998</v>
      </c>
      <c r="G109" s="54">
        <v>2.76</v>
      </c>
      <c r="H109" s="56">
        <f t="shared" si="3"/>
        <v>30.851279999999996</v>
      </c>
      <c r="I109" s="57">
        <f t="shared" si="4"/>
        <v>40.224239999999995</v>
      </c>
      <c r="J109" s="56">
        <f t="shared" si="5"/>
        <v>49.597199999999994</v>
      </c>
    </row>
    <row r="110" spans="1:10" ht="18">
      <c r="A110" s="49">
        <v>1506</v>
      </c>
      <c r="B110" s="49" t="s">
        <v>371</v>
      </c>
      <c r="D110" s="49">
        <v>0</v>
      </c>
      <c r="E110" s="49">
        <v>0</v>
      </c>
      <c r="F110" s="49">
        <v>0</v>
      </c>
      <c r="G110" s="54">
        <v>0.28999999999999998</v>
      </c>
      <c r="H110" s="56">
        <f t="shared" si="3"/>
        <v>0</v>
      </c>
      <c r="I110" s="57">
        <f t="shared" si="4"/>
        <v>0</v>
      </c>
      <c r="J110" s="56">
        <f t="shared" si="5"/>
        <v>0</v>
      </c>
    </row>
    <row r="111" spans="1:10" ht="18">
      <c r="A111" s="49">
        <v>1512</v>
      </c>
      <c r="B111" s="49" t="s">
        <v>372</v>
      </c>
      <c r="D111" s="49">
        <v>0</v>
      </c>
      <c r="E111" s="49">
        <v>0</v>
      </c>
      <c r="F111" s="49">
        <v>0</v>
      </c>
      <c r="G111" s="54">
        <v>0.04</v>
      </c>
      <c r="H111" s="56">
        <f t="shared" si="3"/>
        <v>0</v>
      </c>
      <c r="I111" s="57">
        <f t="shared" si="4"/>
        <v>0</v>
      </c>
      <c r="J111" s="56">
        <f t="shared" si="5"/>
        <v>0</v>
      </c>
    </row>
    <row r="112" spans="1:10" ht="18">
      <c r="A112" s="49">
        <v>1513</v>
      </c>
      <c r="B112" s="49" t="s">
        <v>373</v>
      </c>
      <c r="D112" s="49">
        <v>10.736000000000001</v>
      </c>
      <c r="E112" s="49">
        <v>26.684000000000005</v>
      </c>
      <c r="F112" s="49">
        <v>18.71</v>
      </c>
      <c r="G112" s="54">
        <v>3.25</v>
      </c>
      <c r="H112" s="56">
        <f t="shared" si="3"/>
        <v>34.892000000000003</v>
      </c>
      <c r="I112" s="57">
        <f t="shared" si="4"/>
        <v>60.807500000000005</v>
      </c>
      <c r="J112" s="56">
        <f t="shared" si="5"/>
        <v>86.723000000000013</v>
      </c>
    </row>
    <row r="113" spans="1:10" ht="18">
      <c r="A113" s="49">
        <v>1514</v>
      </c>
      <c r="B113" s="49" t="s">
        <v>374</v>
      </c>
      <c r="D113" s="49">
        <v>12.536000000000001</v>
      </c>
      <c r="E113" s="49">
        <v>30.78</v>
      </c>
      <c r="F113" s="49">
        <v>21.658000000000001</v>
      </c>
      <c r="G113" s="54">
        <v>3.06</v>
      </c>
      <c r="H113" s="56">
        <f t="shared" si="3"/>
        <v>38.360160000000008</v>
      </c>
      <c r="I113" s="57">
        <f t="shared" si="4"/>
        <v>66.273480000000006</v>
      </c>
      <c r="J113" s="56">
        <f t="shared" si="5"/>
        <v>94.186800000000005</v>
      </c>
    </row>
    <row r="114" spans="1:10" ht="18">
      <c r="A114" s="49">
        <v>1515</v>
      </c>
      <c r="B114" s="49" t="s">
        <v>375</v>
      </c>
      <c r="D114" s="49">
        <v>10.846</v>
      </c>
      <c r="E114" s="49">
        <v>20.65</v>
      </c>
      <c r="F114" s="49">
        <v>15.747999999999999</v>
      </c>
      <c r="G114" s="54">
        <v>1.7</v>
      </c>
      <c r="H114" s="56">
        <f t="shared" si="3"/>
        <v>18.438199999999998</v>
      </c>
      <c r="I114" s="57">
        <f t="shared" si="4"/>
        <v>26.771599999999999</v>
      </c>
      <c r="J114" s="56">
        <f t="shared" si="5"/>
        <v>35.104999999999997</v>
      </c>
    </row>
    <row r="115" spans="1:10" ht="18">
      <c r="A115" s="49">
        <v>1516</v>
      </c>
      <c r="B115" s="49" t="s">
        <v>376</v>
      </c>
      <c r="D115" s="49">
        <v>16.626000000000001</v>
      </c>
      <c r="E115" s="49">
        <v>29.022000000000002</v>
      </c>
      <c r="F115" s="49">
        <v>22.824000000000002</v>
      </c>
      <c r="G115" s="54">
        <v>0.34</v>
      </c>
      <c r="H115" s="56">
        <f t="shared" si="3"/>
        <v>5.6528400000000012</v>
      </c>
      <c r="I115" s="57">
        <f t="shared" si="4"/>
        <v>7.7601600000000008</v>
      </c>
      <c r="J115" s="56">
        <f t="shared" si="5"/>
        <v>9.8674800000000022</v>
      </c>
    </row>
    <row r="116" spans="1:10" ht="18">
      <c r="A116" s="49">
        <v>1517</v>
      </c>
      <c r="B116" s="49" t="s">
        <v>377</v>
      </c>
      <c r="D116" s="49">
        <v>8.9340000000000011</v>
      </c>
      <c r="E116" s="49">
        <v>16.928000000000001</v>
      </c>
      <c r="F116" s="49">
        <v>12.931000000000001</v>
      </c>
      <c r="G116" s="54">
        <v>-0.75</v>
      </c>
      <c r="H116" s="56">
        <f t="shared" si="3"/>
        <v>-6.7005000000000008</v>
      </c>
      <c r="I116" s="57">
        <f t="shared" si="4"/>
        <v>-9.6982500000000016</v>
      </c>
      <c r="J116" s="56">
        <f t="shared" si="5"/>
        <v>-12.696000000000002</v>
      </c>
    </row>
    <row r="117" spans="1:10" ht="18">
      <c r="A117" s="49">
        <v>1519</v>
      </c>
      <c r="B117" s="49" t="s">
        <v>378</v>
      </c>
      <c r="D117" s="49">
        <v>13.366</v>
      </c>
      <c r="E117" s="49">
        <v>26.965999999999998</v>
      </c>
      <c r="F117" s="49">
        <v>20.165999999999997</v>
      </c>
      <c r="G117" s="54">
        <v>9.8699999999999992</v>
      </c>
      <c r="H117" s="56">
        <f t="shared" si="3"/>
        <v>131.92241999999999</v>
      </c>
      <c r="I117" s="57">
        <f t="shared" si="4"/>
        <v>199.03841999999995</v>
      </c>
      <c r="J117" s="56">
        <f t="shared" si="5"/>
        <v>266.15441999999996</v>
      </c>
    </row>
    <row r="118" spans="1:10" ht="18">
      <c r="A118" s="49">
        <v>1521</v>
      </c>
      <c r="B118" s="49" t="s">
        <v>379</v>
      </c>
      <c r="D118" s="49">
        <v>10.956</v>
      </c>
      <c r="E118" s="49">
        <v>23.648</v>
      </c>
      <c r="F118" s="49">
        <v>17.302</v>
      </c>
      <c r="G118" s="54">
        <v>0.56000000000000005</v>
      </c>
      <c r="H118" s="56">
        <f t="shared" si="3"/>
        <v>6.1353600000000004</v>
      </c>
      <c r="I118" s="57">
        <f t="shared" si="4"/>
        <v>9.6891200000000008</v>
      </c>
      <c r="J118" s="56">
        <f t="shared" si="5"/>
        <v>13.242880000000001</v>
      </c>
    </row>
    <row r="119" spans="1:10" ht="18">
      <c r="A119" s="49">
        <v>1522</v>
      </c>
      <c r="B119" s="49" t="s">
        <v>380</v>
      </c>
      <c r="D119" s="49">
        <v>10.27</v>
      </c>
      <c r="E119" s="49">
        <v>28.362000000000002</v>
      </c>
      <c r="F119" s="49">
        <v>19.316000000000003</v>
      </c>
      <c r="G119" s="54">
        <v>3.31</v>
      </c>
      <c r="H119" s="56">
        <f t="shared" si="3"/>
        <v>33.993699999999997</v>
      </c>
      <c r="I119" s="57">
        <f t="shared" si="4"/>
        <v>63.935960000000009</v>
      </c>
      <c r="J119" s="56">
        <f t="shared" si="5"/>
        <v>93.878220000000013</v>
      </c>
    </row>
    <row r="120" spans="1:10" ht="18">
      <c r="A120" s="49">
        <v>1524</v>
      </c>
      <c r="B120" s="49" t="s">
        <v>381</v>
      </c>
      <c r="D120" s="49">
        <v>10.832000000000001</v>
      </c>
      <c r="E120" s="49">
        <v>23.032</v>
      </c>
      <c r="F120" s="49">
        <v>16.932000000000002</v>
      </c>
      <c r="G120" s="54">
        <v>2.13</v>
      </c>
      <c r="H120" s="56">
        <f t="shared" si="3"/>
        <v>23.07216</v>
      </c>
      <c r="I120" s="57">
        <f t="shared" si="4"/>
        <v>36.065160000000006</v>
      </c>
      <c r="J120" s="56">
        <f t="shared" si="5"/>
        <v>49.058160000000001</v>
      </c>
    </row>
    <row r="121" spans="1:10" ht="18">
      <c r="A121" s="49">
        <v>1525</v>
      </c>
      <c r="B121" s="49" t="s">
        <v>382</v>
      </c>
      <c r="D121" s="49">
        <v>9.1720000000000006</v>
      </c>
      <c r="E121" s="49">
        <v>19.344000000000001</v>
      </c>
      <c r="F121" s="49">
        <v>14.258000000000001</v>
      </c>
      <c r="G121" s="54">
        <v>5.5</v>
      </c>
      <c r="H121" s="56">
        <f t="shared" si="3"/>
        <v>50.446000000000005</v>
      </c>
      <c r="I121" s="57">
        <f t="shared" si="4"/>
        <v>78.419000000000011</v>
      </c>
      <c r="J121" s="56">
        <f t="shared" si="5"/>
        <v>106.39200000000001</v>
      </c>
    </row>
    <row r="122" spans="1:10" ht="18">
      <c r="A122" s="49">
        <v>1526</v>
      </c>
      <c r="B122" s="49" t="s">
        <v>383</v>
      </c>
      <c r="D122" s="49">
        <v>9.8840000000000003</v>
      </c>
      <c r="E122" s="49">
        <v>19.518000000000001</v>
      </c>
      <c r="F122" s="49">
        <v>14.701000000000001</v>
      </c>
      <c r="G122" s="54">
        <v>0.76</v>
      </c>
      <c r="H122" s="56">
        <f t="shared" si="3"/>
        <v>7.5118400000000003</v>
      </c>
      <c r="I122" s="57">
        <f t="shared" si="4"/>
        <v>11.17276</v>
      </c>
      <c r="J122" s="56">
        <f t="shared" si="5"/>
        <v>14.833680000000001</v>
      </c>
    </row>
    <row r="123" spans="1:10" ht="18">
      <c r="A123" s="49">
        <v>1527</v>
      </c>
      <c r="B123" s="49" t="s">
        <v>384</v>
      </c>
      <c r="D123" s="49">
        <v>7.9979999999999993</v>
      </c>
      <c r="E123" s="49">
        <v>19.845999999999997</v>
      </c>
      <c r="F123" s="49">
        <v>13.921999999999997</v>
      </c>
      <c r="G123" s="54">
        <v>2.67</v>
      </c>
      <c r="H123" s="56">
        <f t="shared" si="3"/>
        <v>21.354659999999999</v>
      </c>
      <c r="I123" s="57">
        <f t="shared" si="4"/>
        <v>37.171739999999993</v>
      </c>
      <c r="J123" s="56">
        <f t="shared" si="5"/>
        <v>52.98881999999999</v>
      </c>
    </row>
    <row r="124" spans="1:10" ht="18">
      <c r="A124" s="49">
        <v>1528</v>
      </c>
      <c r="B124" s="49" t="s">
        <v>385</v>
      </c>
      <c r="D124" s="49">
        <v>10.364000000000001</v>
      </c>
      <c r="E124" s="49">
        <v>27.437999999999999</v>
      </c>
      <c r="F124" s="49">
        <v>18.901</v>
      </c>
      <c r="G124" s="54">
        <v>-0.08</v>
      </c>
      <c r="H124" s="56">
        <f t="shared" si="3"/>
        <v>-0.82912000000000008</v>
      </c>
      <c r="I124" s="57">
        <f t="shared" si="4"/>
        <v>-1.5120800000000001</v>
      </c>
      <c r="J124" s="56">
        <f t="shared" si="5"/>
        <v>-2.1950400000000001</v>
      </c>
    </row>
    <row r="125" spans="1:10" ht="18">
      <c r="A125" s="49">
        <v>1529</v>
      </c>
      <c r="B125" s="49" t="s">
        <v>386</v>
      </c>
      <c r="D125" s="49">
        <v>0</v>
      </c>
      <c r="E125" s="49">
        <v>0</v>
      </c>
      <c r="F125" s="49">
        <v>0</v>
      </c>
      <c r="G125" s="54">
        <v>0.91</v>
      </c>
      <c r="H125" s="56">
        <f t="shared" si="3"/>
        <v>0</v>
      </c>
      <c r="I125" s="57">
        <f t="shared" si="4"/>
        <v>0</v>
      </c>
      <c r="J125" s="56">
        <f t="shared" si="5"/>
        <v>0</v>
      </c>
    </row>
    <row r="126" spans="1:10" ht="18">
      <c r="A126" s="49">
        <v>1530</v>
      </c>
      <c r="B126" s="49" t="s">
        <v>387</v>
      </c>
      <c r="D126" s="49">
        <v>7.8760000000000003</v>
      </c>
      <c r="E126" s="49">
        <v>21.207999999999998</v>
      </c>
      <c r="F126" s="49">
        <v>14.542</v>
      </c>
      <c r="G126" s="54">
        <v>2.1800000000000002</v>
      </c>
      <c r="H126" s="56">
        <f t="shared" si="3"/>
        <v>17.169680000000003</v>
      </c>
      <c r="I126" s="57">
        <f t="shared" si="4"/>
        <v>31.701560000000001</v>
      </c>
      <c r="J126" s="56">
        <f t="shared" si="5"/>
        <v>46.233440000000002</v>
      </c>
    </row>
    <row r="127" spans="1:10" ht="18">
      <c r="A127" s="49">
        <v>1531</v>
      </c>
      <c r="B127" s="49" t="s">
        <v>388</v>
      </c>
      <c r="D127" s="49">
        <v>8.3480000000000008</v>
      </c>
      <c r="E127" s="49">
        <v>28.517999999999994</v>
      </c>
      <c r="F127" s="49">
        <v>18.432999999999996</v>
      </c>
      <c r="G127" s="54">
        <v>0.08</v>
      </c>
      <c r="H127" s="56">
        <f t="shared" si="3"/>
        <v>0.6678400000000001</v>
      </c>
      <c r="I127" s="57">
        <f t="shared" si="4"/>
        <v>1.4746399999999997</v>
      </c>
      <c r="J127" s="56">
        <f t="shared" si="5"/>
        <v>2.2814399999999995</v>
      </c>
    </row>
    <row r="128" spans="1:10" ht="18">
      <c r="A128" s="49">
        <v>1532</v>
      </c>
      <c r="B128" s="49" t="s">
        <v>389</v>
      </c>
      <c r="D128" s="49">
        <v>6.1779999999999999</v>
      </c>
      <c r="E128" s="49">
        <v>21.234000000000002</v>
      </c>
      <c r="F128" s="49">
        <v>13.706000000000001</v>
      </c>
      <c r="G128" s="54">
        <v>2.56</v>
      </c>
      <c r="H128" s="56">
        <f t="shared" si="3"/>
        <v>15.81568</v>
      </c>
      <c r="I128" s="57">
        <f t="shared" si="4"/>
        <v>35.087360000000004</v>
      </c>
      <c r="J128" s="56">
        <f t="shared" si="5"/>
        <v>54.359040000000007</v>
      </c>
    </row>
    <row r="129" spans="1:10" ht="18">
      <c r="A129" s="49">
        <v>1533</v>
      </c>
      <c r="B129" s="49" t="s">
        <v>390</v>
      </c>
      <c r="D129" s="49">
        <v>13.751999999999999</v>
      </c>
      <c r="E129" s="49">
        <v>22.877999999999997</v>
      </c>
      <c r="F129" s="49">
        <v>18.314999999999998</v>
      </c>
      <c r="G129" s="54">
        <v>-1.31</v>
      </c>
      <c r="H129" s="56">
        <f t="shared" si="3"/>
        <v>-18.01512</v>
      </c>
      <c r="I129" s="57">
        <f t="shared" si="4"/>
        <v>-23.992649999999998</v>
      </c>
      <c r="J129" s="56">
        <f t="shared" si="5"/>
        <v>-29.970179999999996</v>
      </c>
    </row>
    <row r="130" spans="1:10" ht="18">
      <c r="A130" s="49">
        <v>1535</v>
      </c>
      <c r="B130" s="49" t="s">
        <v>391</v>
      </c>
      <c r="D130" s="49">
        <v>10.468</v>
      </c>
      <c r="E130" s="49">
        <v>27.538</v>
      </c>
      <c r="F130" s="49">
        <v>19.003</v>
      </c>
      <c r="G130" s="54">
        <v>4.5</v>
      </c>
      <c r="H130" s="56">
        <f t="shared" si="3"/>
        <v>47.106000000000002</v>
      </c>
      <c r="I130" s="57">
        <f t="shared" si="4"/>
        <v>85.513499999999993</v>
      </c>
      <c r="J130" s="56">
        <f t="shared" si="5"/>
        <v>123.92100000000001</v>
      </c>
    </row>
    <row r="131" spans="1:10" ht="18">
      <c r="A131" s="49">
        <v>1536</v>
      </c>
      <c r="B131" s="49" t="s">
        <v>392</v>
      </c>
      <c r="D131" s="49">
        <v>13.804000000000002</v>
      </c>
      <c r="E131" s="49">
        <v>32.271999999999998</v>
      </c>
      <c r="F131" s="49">
        <v>23.038</v>
      </c>
      <c r="G131" s="54">
        <v>1.17</v>
      </c>
      <c r="H131" s="56">
        <f t="shared" ref="H131:H194" si="6">G131*D131</f>
        <v>16.150680000000001</v>
      </c>
      <c r="I131" s="57">
        <f t="shared" ref="I131:I194" si="7">G131*F131</f>
        <v>26.954459999999997</v>
      </c>
      <c r="J131" s="56">
        <f t="shared" ref="J131:J194" si="8">G131*E131</f>
        <v>37.758239999999994</v>
      </c>
    </row>
    <row r="132" spans="1:10" ht="18">
      <c r="A132" s="49">
        <v>1537</v>
      </c>
      <c r="B132" s="49" t="s">
        <v>393</v>
      </c>
      <c r="D132" s="49">
        <v>8.1720000000000006</v>
      </c>
      <c r="E132" s="49">
        <v>18.027999999999999</v>
      </c>
      <c r="F132" s="49">
        <v>13.1</v>
      </c>
      <c r="G132" s="54">
        <v>7.43</v>
      </c>
      <c r="H132" s="56">
        <f t="shared" si="6"/>
        <v>60.717960000000005</v>
      </c>
      <c r="I132" s="57">
        <f t="shared" si="7"/>
        <v>97.332999999999998</v>
      </c>
      <c r="J132" s="56">
        <f t="shared" si="8"/>
        <v>133.94803999999999</v>
      </c>
    </row>
    <row r="133" spans="1:10" ht="18">
      <c r="A133" s="49">
        <v>1538</v>
      </c>
      <c r="B133" s="49" t="s">
        <v>394</v>
      </c>
      <c r="D133" s="49">
        <v>0</v>
      </c>
      <c r="E133" s="49">
        <v>0</v>
      </c>
      <c r="F133" s="49">
        <v>0</v>
      </c>
      <c r="G133" s="54">
        <v>-0.79</v>
      </c>
      <c r="H133" s="56">
        <f t="shared" si="6"/>
        <v>0</v>
      </c>
      <c r="I133" s="57">
        <f t="shared" si="7"/>
        <v>0</v>
      </c>
      <c r="J133" s="56">
        <f t="shared" si="8"/>
        <v>0</v>
      </c>
    </row>
    <row r="134" spans="1:10" ht="18">
      <c r="A134" s="49">
        <v>1539</v>
      </c>
      <c r="B134" s="49" t="s">
        <v>395</v>
      </c>
      <c r="D134" s="49">
        <v>7.298</v>
      </c>
      <c r="E134" s="49">
        <v>21.956</v>
      </c>
      <c r="F134" s="49">
        <v>14.626999999999999</v>
      </c>
      <c r="G134" s="54">
        <v>0.96</v>
      </c>
      <c r="H134" s="56">
        <f t="shared" si="6"/>
        <v>7.0060799999999999</v>
      </c>
      <c r="I134" s="57">
        <f t="shared" si="7"/>
        <v>14.041919999999999</v>
      </c>
      <c r="J134" s="56">
        <f t="shared" si="8"/>
        <v>21.077759999999998</v>
      </c>
    </row>
    <row r="135" spans="1:10" ht="18">
      <c r="A135" s="49">
        <v>1540</v>
      </c>
      <c r="B135" s="49" t="s">
        <v>396</v>
      </c>
      <c r="D135" s="49">
        <v>8.1819999999999986</v>
      </c>
      <c r="E135" s="49">
        <v>19.452000000000002</v>
      </c>
      <c r="F135" s="49">
        <v>13.817</v>
      </c>
      <c r="G135" s="54">
        <v>1.3</v>
      </c>
      <c r="H135" s="56">
        <f t="shared" si="6"/>
        <v>10.636599999999998</v>
      </c>
      <c r="I135" s="57">
        <f t="shared" si="7"/>
        <v>17.9621</v>
      </c>
      <c r="J135" s="56">
        <f t="shared" si="8"/>
        <v>25.287600000000005</v>
      </c>
    </row>
    <row r="136" spans="1:10" ht="18">
      <c r="A136" s="49">
        <v>1541</v>
      </c>
      <c r="B136" s="49" t="s">
        <v>397</v>
      </c>
      <c r="D136" s="49">
        <v>9.8339999999999996</v>
      </c>
      <c r="E136" s="49">
        <v>17.667999999999999</v>
      </c>
      <c r="F136" s="49">
        <v>13.750999999999999</v>
      </c>
      <c r="G136" s="54">
        <v>1.46</v>
      </c>
      <c r="H136" s="56">
        <f t="shared" si="6"/>
        <v>14.35764</v>
      </c>
      <c r="I136" s="57">
        <f t="shared" si="7"/>
        <v>20.076459999999997</v>
      </c>
      <c r="J136" s="56">
        <f t="shared" si="8"/>
        <v>25.795279999999998</v>
      </c>
    </row>
    <row r="137" spans="1:10" ht="18">
      <c r="A137" s="49">
        <v>1558</v>
      </c>
      <c r="B137" s="49" t="s">
        <v>398</v>
      </c>
      <c r="D137" s="49">
        <v>7.484</v>
      </c>
      <c r="E137" s="49">
        <v>17.143999999999998</v>
      </c>
      <c r="F137" s="49">
        <v>12.314</v>
      </c>
      <c r="G137" s="54">
        <v>3.78</v>
      </c>
      <c r="H137" s="56">
        <f t="shared" si="6"/>
        <v>28.28952</v>
      </c>
      <c r="I137" s="57">
        <f t="shared" si="7"/>
        <v>46.54692</v>
      </c>
      <c r="J137" s="56">
        <f t="shared" si="8"/>
        <v>64.80431999999999</v>
      </c>
    </row>
    <row r="138" spans="1:10" ht="18">
      <c r="A138" s="49">
        <v>1560</v>
      </c>
      <c r="B138" s="49" t="s">
        <v>399</v>
      </c>
      <c r="D138" s="49">
        <v>10.922000000000001</v>
      </c>
      <c r="E138" s="49">
        <v>27.163999999999998</v>
      </c>
      <c r="F138" s="49">
        <v>19.042999999999999</v>
      </c>
      <c r="G138" s="54">
        <v>5.91</v>
      </c>
      <c r="H138" s="56">
        <f t="shared" si="6"/>
        <v>64.549019999999999</v>
      </c>
      <c r="I138" s="57">
        <f t="shared" si="7"/>
        <v>112.54413</v>
      </c>
      <c r="J138" s="56">
        <f t="shared" si="8"/>
        <v>160.53923999999998</v>
      </c>
    </row>
    <row r="139" spans="1:10" ht="18">
      <c r="A139" s="49">
        <v>1565</v>
      </c>
      <c r="B139" s="49" t="s">
        <v>1246</v>
      </c>
      <c r="D139" s="49">
        <v>13.394</v>
      </c>
      <c r="E139" s="49">
        <v>24.923999999999999</v>
      </c>
      <c r="F139" s="49">
        <v>19.158999999999999</v>
      </c>
      <c r="G139" s="54">
        <v>10.83</v>
      </c>
      <c r="H139" s="56">
        <f t="shared" si="6"/>
        <v>145.05701999999999</v>
      </c>
      <c r="I139" s="57">
        <f t="shared" si="7"/>
        <v>207.49196999999998</v>
      </c>
      <c r="J139" s="56">
        <f t="shared" si="8"/>
        <v>269.92692</v>
      </c>
    </row>
    <row r="140" spans="1:10" ht="18">
      <c r="A140" s="49">
        <v>1568</v>
      </c>
      <c r="B140" s="49" t="s">
        <v>400</v>
      </c>
      <c r="D140" s="49">
        <v>14.374000000000001</v>
      </c>
      <c r="E140" s="49">
        <v>18.058</v>
      </c>
      <c r="F140" s="49">
        <v>16.216000000000001</v>
      </c>
      <c r="G140" s="54">
        <v>2.67</v>
      </c>
      <c r="H140" s="56">
        <f t="shared" si="6"/>
        <v>38.378579999999999</v>
      </c>
      <c r="I140" s="57">
        <f t="shared" si="7"/>
        <v>43.296720000000001</v>
      </c>
      <c r="J140" s="56">
        <f t="shared" si="8"/>
        <v>48.214860000000002</v>
      </c>
    </row>
    <row r="141" spans="1:10" ht="18">
      <c r="A141" s="49">
        <v>1569</v>
      </c>
      <c r="B141" s="49" t="s">
        <v>1247</v>
      </c>
      <c r="D141" s="49">
        <v>8.5960000000000001</v>
      </c>
      <c r="E141" s="49">
        <v>20.363999999999997</v>
      </c>
      <c r="F141" s="49">
        <v>14.479999999999999</v>
      </c>
      <c r="G141" s="54">
        <v>-0.95</v>
      </c>
      <c r="H141" s="56">
        <f t="shared" si="6"/>
        <v>-8.1661999999999999</v>
      </c>
      <c r="I141" s="57">
        <f t="shared" si="7"/>
        <v>-13.755999999999998</v>
      </c>
      <c r="J141" s="56">
        <f t="shared" si="8"/>
        <v>-19.345799999999997</v>
      </c>
    </row>
    <row r="142" spans="1:10" ht="18">
      <c r="A142" s="49">
        <v>1570</v>
      </c>
      <c r="B142" s="49" t="s">
        <v>1248</v>
      </c>
      <c r="D142" s="49">
        <v>8.3439999999999994</v>
      </c>
      <c r="E142" s="49">
        <v>17.157999999999998</v>
      </c>
      <c r="F142" s="49">
        <v>12.750999999999998</v>
      </c>
      <c r="G142" s="54">
        <v>0.36</v>
      </c>
      <c r="H142" s="56">
        <f t="shared" si="6"/>
        <v>3.0038399999999998</v>
      </c>
      <c r="I142" s="57">
        <f t="shared" si="7"/>
        <v>4.5903599999999987</v>
      </c>
      <c r="J142" s="56">
        <f t="shared" si="8"/>
        <v>6.1768799999999988</v>
      </c>
    </row>
    <row r="143" spans="1:10" ht="18">
      <c r="A143" s="49">
        <v>1580</v>
      </c>
      <c r="B143" s="49" t="s">
        <v>1249</v>
      </c>
      <c r="D143" s="49">
        <v>9.2519999999999989</v>
      </c>
      <c r="E143" s="49">
        <v>15.172000000000002</v>
      </c>
      <c r="F143" s="49">
        <v>12.212</v>
      </c>
      <c r="G143" s="54">
        <v>12.01</v>
      </c>
      <c r="H143" s="56">
        <f t="shared" si="6"/>
        <v>111.11651999999998</v>
      </c>
      <c r="I143" s="57">
        <f t="shared" si="7"/>
        <v>146.66612000000001</v>
      </c>
      <c r="J143" s="56">
        <f t="shared" si="8"/>
        <v>182.21572000000003</v>
      </c>
    </row>
    <row r="144" spans="1:10" ht="18">
      <c r="A144" s="49">
        <v>1582</v>
      </c>
      <c r="B144" s="49" t="s">
        <v>401</v>
      </c>
      <c r="D144" s="49">
        <v>8.64</v>
      </c>
      <c r="E144" s="49">
        <v>17.95</v>
      </c>
      <c r="F144" s="49">
        <v>13.295</v>
      </c>
      <c r="G144" s="54">
        <v>5.12</v>
      </c>
      <c r="H144" s="56">
        <f t="shared" si="6"/>
        <v>44.236800000000002</v>
      </c>
      <c r="I144" s="57">
        <f t="shared" si="7"/>
        <v>68.070400000000006</v>
      </c>
      <c r="J144" s="56">
        <f t="shared" si="8"/>
        <v>91.903999999999996</v>
      </c>
    </row>
    <row r="145" spans="1:10" ht="18">
      <c r="A145" s="49">
        <v>1583</v>
      </c>
      <c r="B145" s="49" t="s">
        <v>402</v>
      </c>
      <c r="D145" s="49">
        <v>8.2439999999999998</v>
      </c>
      <c r="E145" s="49">
        <v>19.731999999999999</v>
      </c>
      <c r="F145" s="49">
        <v>13.988</v>
      </c>
      <c r="G145" s="54">
        <v>6.46</v>
      </c>
      <c r="H145" s="56">
        <f t="shared" si="6"/>
        <v>53.256239999999998</v>
      </c>
      <c r="I145" s="57">
        <f t="shared" si="7"/>
        <v>90.362479999999991</v>
      </c>
      <c r="J145" s="56">
        <f t="shared" si="8"/>
        <v>127.46871999999999</v>
      </c>
    </row>
    <row r="146" spans="1:10" ht="18">
      <c r="A146" s="49">
        <v>1584</v>
      </c>
      <c r="B146" s="49" t="s">
        <v>1250</v>
      </c>
      <c r="D146" s="49">
        <v>0</v>
      </c>
      <c r="E146" s="49">
        <v>0</v>
      </c>
      <c r="F146" s="49">
        <v>0</v>
      </c>
      <c r="G146" s="54">
        <v>3.01</v>
      </c>
      <c r="H146" s="56">
        <f t="shared" si="6"/>
        <v>0</v>
      </c>
      <c r="I146" s="57">
        <f t="shared" si="7"/>
        <v>0</v>
      </c>
      <c r="J146" s="56">
        <f t="shared" si="8"/>
        <v>0</v>
      </c>
    </row>
    <row r="147" spans="1:10" ht="18">
      <c r="A147" s="49">
        <v>1586</v>
      </c>
      <c r="B147" s="49" t="s">
        <v>1251</v>
      </c>
      <c r="D147" s="49">
        <v>0</v>
      </c>
      <c r="E147" s="49">
        <v>0</v>
      </c>
      <c r="F147" s="49">
        <v>0</v>
      </c>
      <c r="G147" s="54">
        <v>-0.67</v>
      </c>
      <c r="H147" s="56">
        <f t="shared" si="6"/>
        <v>0</v>
      </c>
      <c r="I147" s="57">
        <f t="shared" si="7"/>
        <v>0</v>
      </c>
      <c r="J147" s="56">
        <f t="shared" si="8"/>
        <v>0</v>
      </c>
    </row>
    <row r="148" spans="1:10" ht="18">
      <c r="A148" s="49">
        <v>1587</v>
      </c>
      <c r="B148" s="49" t="s">
        <v>403</v>
      </c>
      <c r="D148" s="49">
        <v>17.350000000000001</v>
      </c>
      <c r="E148" s="49">
        <v>17.350000000000001</v>
      </c>
      <c r="F148" s="49">
        <v>17.350000000000001</v>
      </c>
      <c r="G148" s="54">
        <v>0.61</v>
      </c>
      <c r="H148" s="56">
        <f t="shared" si="6"/>
        <v>10.583500000000001</v>
      </c>
      <c r="I148" s="57">
        <f t="shared" si="7"/>
        <v>10.583500000000001</v>
      </c>
      <c r="J148" s="56">
        <f t="shared" si="8"/>
        <v>10.583500000000001</v>
      </c>
    </row>
    <row r="149" spans="1:10" ht="18">
      <c r="A149" s="49">
        <v>1589</v>
      </c>
      <c r="B149" s="49" t="s">
        <v>404</v>
      </c>
      <c r="D149" s="49">
        <v>12.874000000000001</v>
      </c>
      <c r="E149" s="49">
        <v>17.506</v>
      </c>
      <c r="F149" s="49">
        <v>15.190000000000001</v>
      </c>
      <c r="G149" s="54">
        <v>-2.35</v>
      </c>
      <c r="H149" s="56">
        <f t="shared" si="6"/>
        <v>-30.253900000000002</v>
      </c>
      <c r="I149" s="57">
        <f t="shared" si="7"/>
        <v>-35.696500000000007</v>
      </c>
      <c r="J149" s="56">
        <f t="shared" si="8"/>
        <v>-41.139099999999999</v>
      </c>
    </row>
    <row r="150" spans="1:10" ht="18">
      <c r="A150" s="49">
        <v>1590</v>
      </c>
      <c r="B150" s="49" t="s">
        <v>405</v>
      </c>
      <c r="D150" s="49">
        <v>19.913999999999998</v>
      </c>
      <c r="E150" s="49">
        <v>32.019999999999996</v>
      </c>
      <c r="F150" s="49">
        <v>25.966999999999999</v>
      </c>
      <c r="G150" s="54">
        <v>34.83</v>
      </c>
      <c r="H150" s="56">
        <f t="shared" si="6"/>
        <v>693.60461999999984</v>
      </c>
      <c r="I150" s="57">
        <f t="shared" si="7"/>
        <v>904.43060999999989</v>
      </c>
      <c r="J150" s="56">
        <f t="shared" si="8"/>
        <v>1115.2565999999997</v>
      </c>
    </row>
    <row r="151" spans="1:10" ht="18">
      <c r="A151" s="49">
        <v>1591</v>
      </c>
      <c r="B151" s="49" t="s">
        <v>1252</v>
      </c>
      <c r="D151" s="49">
        <v>11.684000000000001</v>
      </c>
      <c r="E151" s="49">
        <v>20.818000000000001</v>
      </c>
      <c r="F151" s="49">
        <v>16.251000000000001</v>
      </c>
      <c r="G151" s="54">
        <v>-1.43</v>
      </c>
      <c r="H151" s="56">
        <f t="shared" si="6"/>
        <v>-16.708120000000001</v>
      </c>
      <c r="I151" s="57">
        <f t="shared" si="7"/>
        <v>-23.23893</v>
      </c>
      <c r="J151" s="56">
        <f t="shared" si="8"/>
        <v>-29.769740000000002</v>
      </c>
    </row>
    <row r="152" spans="1:10" ht="18">
      <c r="A152" s="49">
        <v>1593</v>
      </c>
      <c r="B152" s="49" t="s">
        <v>1253</v>
      </c>
      <c r="D152" s="49">
        <v>12.476000000000001</v>
      </c>
      <c r="E152" s="49">
        <v>19.832000000000001</v>
      </c>
      <c r="F152" s="49">
        <v>16.154</v>
      </c>
      <c r="G152" s="54">
        <v>1.24</v>
      </c>
      <c r="H152" s="56">
        <f t="shared" si="6"/>
        <v>15.47024</v>
      </c>
      <c r="I152" s="57">
        <f t="shared" si="7"/>
        <v>20.03096</v>
      </c>
      <c r="J152" s="56">
        <f t="shared" si="8"/>
        <v>24.59168</v>
      </c>
    </row>
    <row r="153" spans="1:10" ht="18">
      <c r="A153" s="49">
        <v>1595</v>
      </c>
      <c r="B153" s="49" t="s">
        <v>1254</v>
      </c>
      <c r="D153" s="49">
        <v>7.7619999999999987</v>
      </c>
      <c r="E153" s="49">
        <v>26.391999999999996</v>
      </c>
      <c r="F153" s="49">
        <v>17.076999999999998</v>
      </c>
      <c r="G153" s="54">
        <v>1.04</v>
      </c>
      <c r="H153" s="56">
        <f t="shared" si="6"/>
        <v>8.0724799999999988</v>
      </c>
      <c r="I153" s="57">
        <f t="shared" si="7"/>
        <v>17.760079999999999</v>
      </c>
      <c r="J153" s="56">
        <f t="shared" si="8"/>
        <v>27.447679999999998</v>
      </c>
    </row>
    <row r="154" spans="1:10" ht="18">
      <c r="A154" s="49">
        <v>1597</v>
      </c>
      <c r="B154" s="49" t="s">
        <v>406</v>
      </c>
      <c r="D154" s="49">
        <v>18.594000000000001</v>
      </c>
      <c r="E154" s="49">
        <v>31.647999999999996</v>
      </c>
      <c r="F154" s="49">
        <v>25.120999999999999</v>
      </c>
      <c r="G154" s="54">
        <v>1.1200000000000001</v>
      </c>
      <c r="H154" s="56">
        <f t="shared" si="6"/>
        <v>20.825280000000003</v>
      </c>
      <c r="I154" s="57">
        <f t="shared" si="7"/>
        <v>28.13552</v>
      </c>
      <c r="J154" s="56">
        <f t="shared" si="8"/>
        <v>35.44576</v>
      </c>
    </row>
    <row r="155" spans="1:10" ht="18">
      <c r="A155" s="49">
        <v>1598</v>
      </c>
      <c r="B155" s="49" t="s">
        <v>407</v>
      </c>
      <c r="D155" s="49">
        <v>0</v>
      </c>
      <c r="E155" s="49">
        <v>0</v>
      </c>
      <c r="F155" s="49">
        <v>0</v>
      </c>
      <c r="G155" s="54">
        <v>-0.88</v>
      </c>
      <c r="H155" s="56">
        <f t="shared" si="6"/>
        <v>0</v>
      </c>
      <c r="I155" s="57">
        <f t="shared" si="7"/>
        <v>0</v>
      </c>
      <c r="J155" s="56">
        <f t="shared" si="8"/>
        <v>0</v>
      </c>
    </row>
    <row r="156" spans="1:10" ht="18">
      <c r="A156" s="49">
        <v>1599</v>
      </c>
      <c r="B156" s="49" t="s">
        <v>1255</v>
      </c>
      <c r="D156" s="49">
        <v>9.4420000000000019</v>
      </c>
      <c r="E156" s="49">
        <v>21.878</v>
      </c>
      <c r="F156" s="49">
        <v>15.66</v>
      </c>
      <c r="G156" s="54">
        <v>-6.0000000000000102E-2</v>
      </c>
      <c r="H156" s="56">
        <f t="shared" si="6"/>
        <v>-0.56652000000000113</v>
      </c>
      <c r="I156" s="57">
        <f t="shared" si="7"/>
        <v>-0.93960000000000166</v>
      </c>
      <c r="J156" s="56">
        <f t="shared" si="8"/>
        <v>-1.3126800000000023</v>
      </c>
    </row>
    <row r="157" spans="1:10" ht="18">
      <c r="A157" s="49">
        <v>1603</v>
      </c>
      <c r="B157" s="49" t="s">
        <v>408</v>
      </c>
      <c r="D157" s="49">
        <v>8.6519999999999992</v>
      </c>
      <c r="E157" s="49">
        <v>21.672000000000001</v>
      </c>
      <c r="F157" s="49">
        <v>15.161999999999999</v>
      </c>
      <c r="G157" s="54">
        <v>2.99</v>
      </c>
      <c r="H157" s="56">
        <f t="shared" si="6"/>
        <v>25.869479999999999</v>
      </c>
      <c r="I157" s="57">
        <f t="shared" si="7"/>
        <v>45.334380000000003</v>
      </c>
      <c r="J157" s="56">
        <f t="shared" si="8"/>
        <v>64.79928000000001</v>
      </c>
    </row>
    <row r="158" spans="1:10" ht="18">
      <c r="A158" s="49">
        <v>1604</v>
      </c>
      <c r="B158" s="49" t="s">
        <v>409</v>
      </c>
      <c r="D158" s="49">
        <v>6.548</v>
      </c>
      <c r="E158" s="49">
        <v>13.770000000000001</v>
      </c>
      <c r="F158" s="49">
        <v>10.159000000000001</v>
      </c>
      <c r="G158" s="54">
        <v>2</v>
      </c>
      <c r="H158" s="56">
        <f t="shared" si="6"/>
        <v>13.096</v>
      </c>
      <c r="I158" s="57">
        <f t="shared" si="7"/>
        <v>20.318000000000001</v>
      </c>
      <c r="J158" s="56">
        <f t="shared" si="8"/>
        <v>27.540000000000003</v>
      </c>
    </row>
    <row r="159" spans="1:10" ht="18">
      <c r="A159" s="49">
        <v>1605</v>
      </c>
      <c r="B159" s="49" t="s">
        <v>410</v>
      </c>
      <c r="D159" s="49">
        <v>7.9240000000000013</v>
      </c>
      <c r="E159" s="49">
        <v>22.533999999999999</v>
      </c>
      <c r="F159" s="49">
        <v>15.228999999999999</v>
      </c>
      <c r="G159" s="54">
        <v>1.32</v>
      </c>
      <c r="H159" s="56">
        <f t="shared" si="6"/>
        <v>10.459680000000002</v>
      </c>
      <c r="I159" s="57">
        <f t="shared" si="7"/>
        <v>20.10228</v>
      </c>
      <c r="J159" s="56">
        <f t="shared" si="8"/>
        <v>29.744879999999998</v>
      </c>
    </row>
    <row r="160" spans="1:10" ht="18">
      <c r="A160" s="49">
        <v>1608</v>
      </c>
      <c r="B160" s="49" t="s">
        <v>411</v>
      </c>
      <c r="D160" s="49">
        <v>10.772</v>
      </c>
      <c r="E160" s="49">
        <v>17.876000000000001</v>
      </c>
      <c r="F160" s="49">
        <v>14.324000000000002</v>
      </c>
      <c r="G160" s="54">
        <v>2.23</v>
      </c>
      <c r="H160" s="56">
        <f t="shared" si="6"/>
        <v>24.021560000000001</v>
      </c>
      <c r="I160" s="57">
        <f t="shared" si="7"/>
        <v>31.942520000000002</v>
      </c>
      <c r="J160" s="56">
        <f t="shared" si="8"/>
        <v>39.863480000000003</v>
      </c>
    </row>
    <row r="161" spans="1:10" ht="18">
      <c r="A161" s="49">
        <v>1609</v>
      </c>
      <c r="B161" s="49" t="s">
        <v>412</v>
      </c>
      <c r="D161" s="49">
        <v>10.272</v>
      </c>
      <c r="E161" s="49">
        <v>18.707999999999998</v>
      </c>
      <c r="F161" s="49">
        <v>14.489999999999998</v>
      </c>
      <c r="G161" s="54">
        <v>3.88</v>
      </c>
      <c r="H161" s="56">
        <f t="shared" si="6"/>
        <v>39.855359999999997</v>
      </c>
      <c r="I161" s="57">
        <f t="shared" si="7"/>
        <v>56.221199999999989</v>
      </c>
      <c r="J161" s="56">
        <f t="shared" si="8"/>
        <v>72.587039999999988</v>
      </c>
    </row>
    <row r="162" spans="1:10" ht="18">
      <c r="A162" s="49">
        <v>1611</v>
      </c>
      <c r="B162" s="49" t="s">
        <v>413</v>
      </c>
      <c r="D162" s="49">
        <v>8.6199999999999992</v>
      </c>
      <c r="E162" s="49">
        <v>27.23</v>
      </c>
      <c r="F162" s="49">
        <v>17.925000000000001</v>
      </c>
      <c r="G162" s="54">
        <v>0.46</v>
      </c>
      <c r="H162" s="56">
        <f t="shared" si="6"/>
        <v>3.9651999999999998</v>
      </c>
      <c r="I162" s="57">
        <f t="shared" si="7"/>
        <v>8.2454999999999998</v>
      </c>
      <c r="J162" s="56">
        <f t="shared" si="8"/>
        <v>12.5258</v>
      </c>
    </row>
    <row r="163" spans="1:10" ht="18">
      <c r="A163" s="49">
        <v>1612</v>
      </c>
      <c r="B163" s="49" t="s">
        <v>414</v>
      </c>
      <c r="D163" s="49">
        <v>9.86</v>
      </c>
      <c r="E163" s="49">
        <v>26.198</v>
      </c>
      <c r="F163" s="49">
        <v>18.029</v>
      </c>
      <c r="G163" s="54">
        <v>1.99</v>
      </c>
      <c r="H163" s="56">
        <f t="shared" si="6"/>
        <v>19.621399999999998</v>
      </c>
      <c r="I163" s="57">
        <f t="shared" si="7"/>
        <v>35.87771</v>
      </c>
      <c r="J163" s="56">
        <f t="shared" si="8"/>
        <v>52.13402</v>
      </c>
    </row>
    <row r="164" spans="1:10" ht="18">
      <c r="A164" s="49">
        <v>1614</v>
      </c>
      <c r="B164" s="49" t="s">
        <v>415</v>
      </c>
      <c r="D164" s="49">
        <v>20.913999999999998</v>
      </c>
      <c r="E164" s="49">
        <v>34.432000000000002</v>
      </c>
      <c r="F164" s="49">
        <v>27.673000000000002</v>
      </c>
      <c r="G164" s="54">
        <v>1.24</v>
      </c>
      <c r="H164" s="56">
        <f t="shared" si="6"/>
        <v>25.933359999999997</v>
      </c>
      <c r="I164" s="57">
        <f t="shared" si="7"/>
        <v>34.314520000000002</v>
      </c>
      <c r="J164" s="56">
        <f t="shared" si="8"/>
        <v>42.695680000000003</v>
      </c>
    </row>
    <row r="165" spans="1:10" ht="18">
      <c r="A165" s="49">
        <v>1615</v>
      </c>
      <c r="B165" s="49" t="s">
        <v>416</v>
      </c>
      <c r="D165" s="49">
        <v>7.0299999999999994</v>
      </c>
      <c r="E165" s="49">
        <v>26.148000000000003</v>
      </c>
      <c r="F165" s="49">
        <v>16.589000000000002</v>
      </c>
      <c r="G165" s="54">
        <v>3.15</v>
      </c>
      <c r="H165" s="56">
        <f t="shared" si="6"/>
        <v>22.144499999999997</v>
      </c>
      <c r="I165" s="57">
        <f t="shared" si="7"/>
        <v>52.255350000000007</v>
      </c>
      <c r="J165" s="56">
        <f t="shared" si="8"/>
        <v>82.366200000000006</v>
      </c>
    </row>
    <row r="166" spans="1:10" ht="18">
      <c r="A166" s="49">
        <v>1616</v>
      </c>
      <c r="B166" s="49" t="s">
        <v>417</v>
      </c>
      <c r="D166" s="49">
        <v>0</v>
      </c>
      <c r="E166" s="49">
        <v>0</v>
      </c>
      <c r="F166" s="49">
        <v>0</v>
      </c>
      <c r="G166" s="54">
        <v>1.19</v>
      </c>
      <c r="H166" s="56">
        <f t="shared" si="6"/>
        <v>0</v>
      </c>
      <c r="I166" s="57">
        <f t="shared" si="7"/>
        <v>0</v>
      </c>
      <c r="J166" s="56">
        <f t="shared" si="8"/>
        <v>0</v>
      </c>
    </row>
    <row r="167" spans="1:10" ht="18">
      <c r="A167" s="49">
        <v>1617</v>
      </c>
      <c r="B167" s="49" t="s">
        <v>418</v>
      </c>
      <c r="D167" s="49">
        <v>10.918000000000001</v>
      </c>
      <c r="E167" s="49">
        <v>24.527999999999999</v>
      </c>
      <c r="F167" s="49">
        <v>17.722999999999999</v>
      </c>
      <c r="G167" s="54">
        <v>0.09</v>
      </c>
      <c r="H167" s="56">
        <f t="shared" si="6"/>
        <v>0.98262000000000005</v>
      </c>
      <c r="I167" s="57">
        <f t="shared" si="7"/>
        <v>1.5950699999999998</v>
      </c>
      <c r="J167" s="56">
        <f t="shared" si="8"/>
        <v>2.2075199999999997</v>
      </c>
    </row>
    <row r="168" spans="1:10" ht="18">
      <c r="A168" s="49">
        <v>1618</v>
      </c>
      <c r="B168" s="49" t="s">
        <v>419</v>
      </c>
      <c r="D168" s="49">
        <v>9.8099999999999987</v>
      </c>
      <c r="E168" s="49">
        <v>20.615999999999996</v>
      </c>
      <c r="F168" s="49">
        <v>15.212999999999997</v>
      </c>
      <c r="G168" s="54">
        <v>2.0099999999999998</v>
      </c>
      <c r="H168" s="56">
        <f t="shared" si="6"/>
        <v>19.718099999999996</v>
      </c>
      <c r="I168" s="57">
        <f t="shared" si="7"/>
        <v>30.578129999999991</v>
      </c>
      <c r="J168" s="56">
        <f t="shared" si="8"/>
        <v>41.438159999999989</v>
      </c>
    </row>
    <row r="169" spans="1:10" ht="18">
      <c r="A169" s="49">
        <v>1626</v>
      </c>
      <c r="B169" s="49" t="s">
        <v>420</v>
      </c>
      <c r="D169" s="49">
        <v>16.61</v>
      </c>
      <c r="E169" s="49">
        <v>21.734000000000002</v>
      </c>
      <c r="F169" s="49">
        <v>19.172000000000001</v>
      </c>
      <c r="G169" s="54">
        <v>0.18</v>
      </c>
      <c r="H169" s="56">
        <f t="shared" si="6"/>
        <v>2.9897999999999998</v>
      </c>
      <c r="I169" s="57">
        <f t="shared" si="7"/>
        <v>3.4509599999999998</v>
      </c>
      <c r="J169" s="56">
        <f t="shared" si="8"/>
        <v>3.9121200000000003</v>
      </c>
    </row>
    <row r="170" spans="1:10" ht="18">
      <c r="A170" s="49">
        <v>1701</v>
      </c>
      <c r="B170" s="49" t="s">
        <v>421</v>
      </c>
      <c r="D170" s="49">
        <v>13.981999999999999</v>
      </c>
      <c r="E170" s="49">
        <v>22.713999999999999</v>
      </c>
      <c r="F170" s="49">
        <v>18.347999999999999</v>
      </c>
      <c r="G170" s="54">
        <v>1.08</v>
      </c>
      <c r="H170" s="56">
        <f t="shared" si="6"/>
        <v>15.10056</v>
      </c>
      <c r="I170" s="57">
        <f t="shared" si="7"/>
        <v>19.815840000000001</v>
      </c>
      <c r="J170" s="56">
        <f t="shared" si="8"/>
        <v>24.531120000000001</v>
      </c>
    </row>
    <row r="171" spans="1:10" ht="18">
      <c r="A171" s="49">
        <v>1702</v>
      </c>
      <c r="B171" s="49" t="s">
        <v>422</v>
      </c>
      <c r="D171" s="49">
        <v>12.257999999999999</v>
      </c>
      <c r="E171" s="49">
        <v>21.838000000000001</v>
      </c>
      <c r="F171" s="49">
        <v>17.048000000000002</v>
      </c>
      <c r="G171" s="54">
        <v>4.2</v>
      </c>
      <c r="H171" s="56">
        <f t="shared" si="6"/>
        <v>51.483599999999996</v>
      </c>
      <c r="I171" s="57">
        <f t="shared" si="7"/>
        <v>71.601600000000005</v>
      </c>
      <c r="J171" s="56">
        <f t="shared" si="8"/>
        <v>91.719600000000014</v>
      </c>
    </row>
    <row r="172" spans="1:10" ht="18">
      <c r="A172" s="49">
        <v>1707</v>
      </c>
      <c r="B172" s="49" t="s">
        <v>423</v>
      </c>
      <c r="D172" s="49">
        <v>13.113999999999999</v>
      </c>
      <c r="E172" s="49">
        <v>22.655999999999999</v>
      </c>
      <c r="F172" s="49">
        <v>17.884999999999998</v>
      </c>
      <c r="G172" s="54">
        <v>9.81</v>
      </c>
      <c r="H172" s="56">
        <f t="shared" si="6"/>
        <v>128.64833999999999</v>
      </c>
      <c r="I172" s="57">
        <f t="shared" si="7"/>
        <v>175.45184999999998</v>
      </c>
      <c r="J172" s="56">
        <f t="shared" si="8"/>
        <v>222.25536</v>
      </c>
    </row>
    <row r="173" spans="1:10" ht="18">
      <c r="A173" s="49">
        <v>1708</v>
      </c>
      <c r="B173" s="49" t="s">
        <v>424</v>
      </c>
      <c r="D173" s="49">
        <v>7.7820000000000009</v>
      </c>
      <c r="E173" s="49">
        <v>27.933999999999997</v>
      </c>
      <c r="F173" s="49">
        <v>17.858000000000001</v>
      </c>
      <c r="G173" s="54">
        <v>-0.11</v>
      </c>
      <c r="H173" s="56">
        <f t="shared" si="6"/>
        <v>-0.85602000000000011</v>
      </c>
      <c r="I173" s="57">
        <f t="shared" si="7"/>
        <v>-1.96438</v>
      </c>
      <c r="J173" s="56">
        <f t="shared" si="8"/>
        <v>-3.0727399999999996</v>
      </c>
    </row>
    <row r="174" spans="1:10" ht="18">
      <c r="A174" s="49">
        <v>1709</v>
      </c>
      <c r="B174" s="49" t="s">
        <v>425</v>
      </c>
      <c r="D174" s="49">
        <v>9.4779999999999998</v>
      </c>
      <c r="E174" s="49">
        <v>24.436</v>
      </c>
      <c r="F174" s="49">
        <v>16.957000000000001</v>
      </c>
      <c r="G174" s="54">
        <v>0.88</v>
      </c>
      <c r="H174" s="56">
        <f t="shared" si="6"/>
        <v>8.3406400000000005</v>
      </c>
      <c r="I174" s="57">
        <f t="shared" si="7"/>
        <v>14.92216</v>
      </c>
      <c r="J174" s="56">
        <f t="shared" si="8"/>
        <v>21.503679999999999</v>
      </c>
    </row>
    <row r="175" spans="1:10" ht="18">
      <c r="A175" s="49">
        <v>1710</v>
      </c>
      <c r="B175" s="49" t="s">
        <v>426</v>
      </c>
      <c r="D175" s="49">
        <v>11.854000000000001</v>
      </c>
      <c r="E175" s="49">
        <v>24.359999999999996</v>
      </c>
      <c r="F175" s="49">
        <v>18.106999999999999</v>
      </c>
      <c r="G175" s="54">
        <v>0.3</v>
      </c>
      <c r="H175" s="56">
        <f t="shared" si="6"/>
        <v>3.5562</v>
      </c>
      <c r="I175" s="57">
        <f t="shared" si="7"/>
        <v>5.4320999999999993</v>
      </c>
      <c r="J175" s="56">
        <f t="shared" si="8"/>
        <v>7.3079999999999981</v>
      </c>
    </row>
    <row r="176" spans="1:10" ht="18">
      <c r="A176" s="49">
        <v>1711</v>
      </c>
      <c r="B176" s="49" t="s">
        <v>427</v>
      </c>
      <c r="D176" s="49">
        <v>17.544</v>
      </c>
      <c r="E176" s="49">
        <v>27.576000000000001</v>
      </c>
      <c r="F176" s="49">
        <v>22.560000000000002</v>
      </c>
      <c r="G176" s="54">
        <v>0.16</v>
      </c>
      <c r="H176" s="56">
        <f t="shared" si="6"/>
        <v>2.8070400000000002</v>
      </c>
      <c r="I176" s="57">
        <f t="shared" si="7"/>
        <v>3.6096000000000004</v>
      </c>
      <c r="J176" s="56">
        <f t="shared" si="8"/>
        <v>4.4121600000000001</v>
      </c>
    </row>
    <row r="177" spans="1:10" ht="18">
      <c r="A177" s="49">
        <v>1712</v>
      </c>
      <c r="B177" s="49" t="s">
        <v>428</v>
      </c>
      <c r="D177" s="49">
        <v>9.2240000000000002</v>
      </c>
      <c r="E177" s="49">
        <v>16.084</v>
      </c>
      <c r="F177" s="49">
        <v>12.654</v>
      </c>
      <c r="G177" s="54">
        <v>2.5</v>
      </c>
      <c r="H177" s="56">
        <f t="shared" si="6"/>
        <v>23.060000000000002</v>
      </c>
      <c r="I177" s="57">
        <f t="shared" si="7"/>
        <v>31.634999999999998</v>
      </c>
      <c r="J177" s="56">
        <f t="shared" si="8"/>
        <v>40.21</v>
      </c>
    </row>
    <row r="178" spans="1:10" ht="18">
      <c r="A178" s="49">
        <v>1713</v>
      </c>
      <c r="B178" s="49" t="s">
        <v>429</v>
      </c>
      <c r="D178" s="49">
        <v>20.172000000000001</v>
      </c>
      <c r="E178" s="49">
        <v>32.923999999999999</v>
      </c>
      <c r="F178" s="49">
        <v>26.548000000000002</v>
      </c>
      <c r="G178" s="54">
        <v>2.3199999999999998</v>
      </c>
      <c r="H178" s="56">
        <f t="shared" si="6"/>
        <v>46.799039999999998</v>
      </c>
      <c r="I178" s="57">
        <f t="shared" si="7"/>
        <v>61.591360000000002</v>
      </c>
      <c r="J178" s="56">
        <f t="shared" si="8"/>
        <v>76.383679999999998</v>
      </c>
    </row>
    <row r="179" spans="1:10" ht="18">
      <c r="A179" s="49">
        <v>1714</v>
      </c>
      <c r="B179" s="49" t="s">
        <v>430</v>
      </c>
      <c r="D179" s="49">
        <v>9.629999999999999</v>
      </c>
      <c r="E179" s="49">
        <v>25.814</v>
      </c>
      <c r="F179" s="49">
        <v>17.722000000000001</v>
      </c>
      <c r="G179" s="54">
        <v>0.6</v>
      </c>
      <c r="H179" s="56">
        <f t="shared" si="6"/>
        <v>5.7779999999999996</v>
      </c>
      <c r="I179" s="57">
        <f t="shared" si="7"/>
        <v>10.6332</v>
      </c>
      <c r="J179" s="56">
        <f t="shared" si="8"/>
        <v>15.488399999999999</v>
      </c>
    </row>
    <row r="180" spans="1:10" ht="18">
      <c r="A180" s="49">
        <v>1717</v>
      </c>
      <c r="B180" s="49" t="s">
        <v>431</v>
      </c>
      <c r="D180" s="49">
        <v>10.728</v>
      </c>
      <c r="E180" s="49">
        <v>20.55</v>
      </c>
      <c r="F180" s="49">
        <v>15.638999999999999</v>
      </c>
      <c r="G180" s="54">
        <v>1.28</v>
      </c>
      <c r="H180" s="56">
        <f t="shared" si="6"/>
        <v>13.73184</v>
      </c>
      <c r="I180" s="57">
        <f t="shared" si="7"/>
        <v>20.01792</v>
      </c>
      <c r="J180" s="56">
        <f t="shared" si="8"/>
        <v>26.304000000000002</v>
      </c>
    </row>
    <row r="181" spans="1:10" ht="18">
      <c r="A181" s="49">
        <v>1718</v>
      </c>
      <c r="B181" s="49" t="s">
        <v>432</v>
      </c>
      <c r="D181" s="49">
        <v>8.4820000000000011</v>
      </c>
      <c r="E181" s="49">
        <v>18.443999999999999</v>
      </c>
      <c r="F181" s="49">
        <v>13.463000000000001</v>
      </c>
      <c r="G181" s="54">
        <v>-1.18</v>
      </c>
      <c r="H181" s="56">
        <f t="shared" si="6"/>
        <v>-10.008760000000001</v>
      </c>
      <c r="I181" s="57">
        <f t="shared" si="7"/>
        <v>-15.886340000000001</v>
      </c>
      <c r="J181" s="56">
        <f t="shared" si="8"/>
        <v>-21.763919999999999</v>
      </c>
    </row>
    <row r="182" spans="1:10" ht="18">
      <c r="A182" s="49">
        <v>1720</v>
      </c>
      <c r="B182" s="49" t="s">
        <v>433</v>
      </c>
      <c r="D182" s="49">
        <v>12.745999999999999</v>
      </c>
      <c r="E182" s="49">
        <v>20.236000000000001</v>
      </c>
      <c r="F182" s="49">
        <v>16.491</v>
      </c>
      <c r="G182" s="54">
        <v>4.67</v>
      </c>
      <c r="H182" s="56">
        <f t="shared" si="6"/>
        <v>59.523819999999994</v>
      </c>
      <c r="I182" s="57">
        <f t="shared" si="7"/>
        <v>77.012969999999996</v>
      </c>
      <c r="J182" s="56">
        <f t="shared" si="8"/>
        <v>94.502120000000005</v>
      </c>
    </row>
    <row r="183" spans="1:10" ht="18">
      <c r="A183" s="49">
        <v>1721</v>
      </c>
      <c r="B183" s="49" t="s">
        <v>434</v>
      </c>
      <c r="D183" s="49">
        <v>19.201999999999998</v>
      </c>
      <c r="E183" s="49">
        <v>19.201999999999998</v>
      </c>
      <c r="F183" s="49">
        <v>19.201999999999998</v>
      </c>
      <c r="G183" s="54">
        <v>-1.5</v>
      </c>
      <c r="H183" s="56">
        <f t="shared" si="6"/>
        <v>-28.802999999999997</v>
      </c>
      <c r="I183" s="57">
        <f t="shared" si="7"/>
        <v>-28.802999999999997</v>
      </c>
      <c r="J183" s="56">
        <f t="shared" si="8"/>
        <v>-28.802999999999997</v>
      </c>
    </row>
    <row r="184" spans="1:10" ht="18">
      <c r="A184" s="49">
        <v>1722</v>
      </c>
      <c r="B184" s="49" t="s">
        <v>435</v>
      </c>
      <c r="D184" s="49">
        <v>15.032</v>
      </c>
      <c r="E184" s="49">
        <v>28.474</v>
      </c>
      <c r="F184" s="49">
        <v>21.753</v>
      </c>
      <c r="G184" s="54">
        <v>4</v>
      </c>
      <c r="H184" s="56">
        <f t="shared" si="6"/>
        <v>60.128</v>
      </c>
      <c r="I184" s="57">
        <f t="shared" si="7"/>
        <v>87.012</v>
      </c>
      <c r="J184" s="56">
        <f t="shared" si="8"/>
        <v>113.896</v>
      </c>
    </row>
    <row r="185" spans="1:10" ht="18">
      <c r="A185" s="49">
        <v>1723</v>
      </c>
      <c r="B185" s="49" t="s">
        <v>436</v>
      </c>
      <c r="D185" s="49">
        <v>12.606</v>
      </c>
      <c r="E185" s="49">
        <v>28.365999999999996</v>
      </c>
      <c r="F185" s="49">
        <v>20.485999999999997</v>
      </c>
      <c r="G185" s="54">
        <v>6.18</v>
      </c>
      <c r="H185" s="56">
        <f t="shared" si="6"/>
        <v>77.905079999999998</v>
      </c>
      <c r="I185" s="57">
        <f t="shared" si="7"/>
        <v>126.60347999999998</v>
      </c>
      <c r="J185" s="56">
        <f t="shared" si="8"/>
        <v>175.30187999999995</v>
      </c>
    </row>
    <row r="186" spans="1:10" ht="18">
      <c r="A186" s="49">
        <v>1725</v>
      </c>
      <c r="B186" s="49" t="s">
        <v>437</v>
      </c>
      <c r="D186" s="49">
        <v>10.534000000000001</v>
      </c>
      <c r="E186" s="49">
        <v>19.856000000000002</v>
      </c>
      <c r="F186" s="49">
        <v>15.195</v>
      </c>
      <c r="G186" s="54">
        <v>1.1000000000000001</v>
      </c>
      <c r="H186" s="56">
        <f t="shared" si="6"/>
        <v>11.587400000000002</v>
      </c>
      <c r="I186" s="57">
        <f t="shared" si="7"/>
        <v>16.714500000000001</v>
      </c>
      <c r="J186" s="56">
        <f t="shared" si="8"/>
        <v>21.841600000000003</v>
      </c>
    </row>
    <row r="187" spans="1:10" ht="18">
      <c r="A187" s="49">
        <v>1726</v>
      </c>
      <c r="B187" s="49" t="s">
        <v>438</v>
      </c>
      <c r="D187" s="49">
        <v>10.119999999999999</v>
      </c>
      <c r="E187" s="49">
        <v>15.551999999999998</v>
      </c>
      <c r="F187" s="49">
        <v>12.835999999999999</v>
      </c>
      <c r="G187" s="54">
        <v>5.13</v>
      </c>
      <c r="H187" s="56">
        <f t="shared" si="6"/>
        <v>51.915599999999998</v>
      </c>
      <c r="I187" s="57">
        <f t="shared" si="7"/>
        <v>65.848679999999987</v>
      </c>
      <c r="J187" s="56">
        <f t="shared" si="8"/>
        <v>79.781759999999991</v>
      </c>
    </row>
    <row r="188" spans="1:10" ht="18">
      <c r="A188" s="49">
        <v>1727</v>
      </c>
      <c r="B188" s="49" t="s">
        <v>439</v>
      </c>
      <c r="D188" s="49">
        <v>12.75</v>
      </c>
      <c r="E188" s="49">
        <v>29.316000000000003</v>
      </c>
      <c r="F188" s="49">
        <v>21.033000000000001</v>
      </c>
      <c r="G188" s="54">
        <v>0.39</v>
      </c>
      <c r="H188" s="56">
        <f t="shared" si="6"/>
        <v>4.9725000000000001</v>
      </c>
      <c r="I188" s="57">
        <f t="shared" si="7"/>
        <v>8.2028700000000008</v>
      </c>
      <c r="J188" s="56">
        <f t="shared" si="8"/>
        <v>11.433240000000001</v>
      </c>
    </row>
    <row r="189" spans="1:10" ht="18">
      <c r="A189" s="49">
        <v>1730</v>
      </c>
      <c r="B189" s="49" t="s">
        <v>440</v>
      </c>
      <c r="D189" s="49">
        <v>10.304</v>
      </c>
      <c r="E189" s="49">
        <v>15.73</v>
      </c>
      <c r="F189" s="49">
        <v>13.016999999999999</v>
      </c>
      <c r="G189" s="54">
        <v>3.65</v>
      </c>
      <c r="H189" s="56">
        <f t="shared" si="6"/>
        <v>37.6096</v>
      </c>
      <c r="I189" s="57">
        <f t="shared" si="7"/>
        <v>47.512049999999995</v>
      </c>
      <c r="J189" s="56">
        <f t="shared" si="8"/>
        <v>57.414499999999997</v>
      </c>
    </row>
    <row r="190" spans="1:10" ht="18">
      <c r="A190" s="49">
        <v>1731</v>
      </c>
      <c r="B190" s="49" t="s">
        <v>441</v>
      </c>
      <c r="D190" s="49">
        <v>16.448</v>
      </c>
      <c r="E190" s="49">
        <v>32.299999999999997</v>
      </c>
      <c r="F190" s="49">
        <v>24.373999999999999</v>
      </c>
      <c r="G190" s="54">
        <v>1.27</v>
      </c>
      <c r="H190" s="56">
        <f t="shared" si="6"/>
        <v>20.888960000000001</v>
      </c>
      <c r="I190" s="57">
        <f t="shared" si="7"/>
        <v>30.954979999999999</v>
      </c>
      <c r="J190" s="56">
        <f t="shared" si="8"/>
        <v>41.020999999999994</v>
      </c>
    </row>
    <row r="191" spans="1:10" ht="18">
      <c r="A191" s="49">
        <v>1732</v>
      </c>
      <c r="B191" s="49" t="s">
        <v>442</v>
      </c>
      <c r="D191" s="49">
        <v>26.437999999999999</v>
      </c>
      <c r="E191" s="49">
        <v>31.8</v>
      </c>
      <c r="F191" s="49">
        <v>29.119</v>
      </c>
      <c r="G191" s="54">
        <v>-0.14000000000000001</v>
      </c>
      <c r="H191" s="56">
        <f t="shared" si="6"/>
        <v>-3.7013200000000004</v>
      </c>
      <c r="I191" s="57">
        <f t="shared" si="7"/>
        <v>-4.0766600000000004</v>
      </c>
      <c r="J191" s="56">
        <f t="shared" si="8"/>
        <v>-4.4520000000000008</v>
      </c>
    </row>
    <row r="192" spans="1:10" ht="18">
      <c r="A192" s="49">
        <v>1733</v>
      </c>
      <c r="B192" s="49" t="s">
        <v>443</v>
      </c>
      <c r="D192" s="49">
        <v>13.022</v>
      </c>
      <c r="E192" s="49">
        <v>22.137999999999998</v>
      </c>
      <c r="F192" s="49">
        <v>17.579999999999998</v>
      </c>
      <c r="G192" s="54">
        <v>1.1599999999999999</v>
      </c>
      <c r="H192" s="56">
        <f t="shared" si="6"/>
        <v>15.105519999999999</v>
      </c>
      <c r="I192" s="57">
        <f t="shared" si="7"/>
        <v>20.392799999999998</v>
      </c>
      <c r="J192" s="56">
        <f t="shared" si="8"/>
        <v>25.680079999999997</v>
      </c>
    </row>
    <row r="193" spans="1:10" ht="18">
      <c r="A193" s="49">
        <v>1734</v>
      </c>
      <c r="B193" s="49" t="s">
        <v>444</v>
      </c>
      <c r="D193" s="49">
        <v>27.865999999999996</v>
      </c>
      <c r="E193" s="49">
        <v>33.486000000000004</v>
      </c>
      <c r="F193" s="49">
        <v>30.676000000000002</v>
      </c>
      <c r="G193" s="54">
        <v>2.2400000000000002</v>
      </c>
      <c r="H193" s="56">
        <f t="shared" si="6"/>
        <v>62.419840000000001</v>
      </c>
      <c r="I193" s="57">
        <f t="shared" si="7"/>
        <v>68.714240000000018</v>
      </c>
      <c r="J193" s="56">
        <f t="shared" si="8"/>
        <v>75.008640000000014</v>
      </c>
    </row>
    <row r="194" spans="1:10" ht="18">
      <c r="A194" s="49">
        <v>1735</v>
      </c>
      <c r="B194" s="49" t="s">
        <v>445</v>
      </c>
      <c r="D194" s="49">
        <v>13.481999999999999</v>
      </c>
      <c r="E194" s="49">
        <v>30.889999999999997</v>
      </c>
      <c r="F194" s="49">
        <v>22.186</v>
      </c>
      <c r="G194" s="54">
        <v>0.76</v>
      </c>
      <c r="H194" s="56">
        <f t="shared" si="6"/>
        <v>10.246319999999999</v>
      </c>
      <c r="I194" s="57">
        <f t="shared" si="7"/>
        <v>16.861360000000001</v>
      </c>
      <c r="J194" s="56">
        <f t="shared" si="8"/>
        <v>23.476399999999998</v>
      </c>
    </row>
    <row r="195" spans="1:10" ht="18">
      <c r="A195" s="49">
        <v>1736</v>
      </c>
      <c r="B195" s="49" t="s">
        <v>446</v>
      </c>
      <c r="D195" s="49">
        <v>12.45</v>
      </c>
      <c r="E195" s="49">
        <v>29.577999999999996</v>
      </c>
      <c r="F195" s="49">
        <v>21.013999999999996</v>
      </c>
      <c r="G195" s="54">
        <v>2.34</v>
      </c>
      <c r="H195" s="56">
        <f t="shared" ref="H195:H258" si="9">G195*D195</f>
        <v>29.132999999999996</v>
      </c>
      <c r="I195" s="57">
        <f t="shared" ref="I195:I258" si="10">G195*F195</f>
        <v>49.17275999999999</v>
      </c>
      <c r="J195" s="56">
        <f t="shared" ref="J195:J258" si="11">G195*E195</f>
        <v>69.212519999999984</v>
      </c>
    </row>
    <row r="196" spans="1:10" ht="18">
      <c r="A196" s="49">
        <v>1737</v>
      </c>
      <c r="B196" s="49" t="s">
        <v>447</v>
      </c>
      <c r="D196" s="49">
        <v>15.445999999999998</v>
      </c>
      <c r="E196" s="49">
        <v>30.748000000000001</v>
      </c>
      <c r="F196" s="49">
        <v>23.097000000000001</v>
      </c>
      <c r="G196" s="54">
        <v>1.5</v>
      </c>
      <c r="H196" s="56">
        <f t="shared" si="9"/>
        <v>23.168999999999997</v>
      </c>
      <c r="I196" s="57">
        <f t="shared" si="10"/>
        <v>34.645499999999998</v>
      </c>
      <c r="J196" s="56">
        <f t="shared" si="11"/>
        <v>46.122</v>
      </c>
    </row>
    <row r="197" spans="1:10" ht="18">
      <c r="A197" s="49">
        <v>1742</v>
      </c>
      <c r="B197" s="49" t="s">
        <v>1256</v>
      </c>
      <c r="D197" s="49">
        <v>9.1999999999999993</v>
      </c>
      <c r="E197" s="49">
        <v>18.263999999999999</v>
      </c>
      <c r="F197" s="49">
        <v>13.731999999999999</v>
      </c>
      <c r="G197" s="54">
        <v>0.41</v>
      </c>
      <c r="H197" s="56">
        <f t="shared" si="9"/>
        <v>3.7719999999999994</v>
      </c>
      <c r="I197" s="57">
        <f t="shared" si="10"/>
        <v>5.6301199999999998</v>
      </c>
      <c r="J197" s="56">
        <f t="shared" si="11"/>
        <v>7.4882399999999993</v>
      </c>
    </row>
    <row r="198" spans="1:10" ht="18">
      <c r="A198" s="49">
        <v>1752</v>
      </c>
      <c r="B198" s="49" t="s">
        <v>448</v>
      </c>
      <c r="D198" s="49">
        <v>18.116</v>
      </c>
      <c r="E198" s="49">
        <v>27.22</v>
      </c>
      <c r="F198" s="49">
        <v>22.667999999999999</v>
      </c>
      <c r="G198" s="54">
        <v>1.96</v>
      </c>
      <c r="H198" s="56">
        <f t="shared" si="9"/>
        <v>35.507359999999998</v>
      </c>
      <c r="I198" s="57">
        <f t="shared" si="10"/>
        <v>44.429279999999999</v>
      </c>
      <c r="J198" s="56">
        <f t="shared" si="11"/>
        <v>53.351199999999999</v>
      </c>
    </row>
    <row r="199" spans="1:10" ht="18">
      <c r="A199" s="49">
        <v>1760</v>
      </c>
      <c r="B199" s="49" t="s">
        <v>449</v>
      </c>
      <c r="D199" s="49">
        <v>0</v>
      </c>
      <c r="E199" s="49">
        <v>0</v>
      </c>
      <c r="F199" s="49">
        <v>0</v>
      </c>
      <c r="G199" s="54">
        <v>0.9</v>
      </c>
      <c r="H199" s="56">
        <f t="shared" si="9"/>
        <v>0</v>
      </c>
      <c r="I199" s="57">
        <f t="shared" si="10"/>
        <v>0</v>
      </c>
      <c r="J199" s="56">
        <f t="shared" si="11"/>
        <v>0</v>
      </c>
    </row>
    <row r="200" spans="1:10" ht="18">
      <c r="A200" s="49">
        <v>1762</v>
      </c>
      <c r="B200" s="49" t="s">
        <v>450</v>
      </c>
      <c r="D200" s="49">
        <v>10.307999999999998</v>
      </c>
      <c r="E200" s="49">
        <v>30.841999999999995</v>
      </c>
      <c r="F200" s="49">
        <v>20.574999999999996</v>
      </c>
      <c r="G200" s="54">
        <v>3.42</v>
      </c>
      <c r="H200" s="56">
        <f t="shared" si="9"/>
        <v>35.253359999999994</v>
      </c>
      <c r="I200" s="57">
        <f t="shared" si="10"/>
        <v>70.366499999999988</v>
      </c>
      <c r="J200" s="56">
        <f t="shared" si="11"/>
        <v>105.47963999999997</v>
      </c>
    </row>
    <row r="201" spans="1:10" ht="18">
      <c r="A201" s="49">
        <v>1773</v>
      </c>
      <c r="B201" s="49" t="s">
        <v>451</v>
      </c>
      <c r="D201" s="49">
        <v>10.123999999999999</v>
      </c>
      <c r="E201" s="49">
        <v>19.356000000000002</v>
      </c>
      <c r="F201" s="49">
        <v>14.74</v>
      </c>
      <c r="G201" s="54">
        <v>6.31</v>
      </c>
      <c r="H201" s="56">
        <f t="shared" si="9"/>
        <v>63.882439999999988</v>
      </c>
      <c r="I201" s="57">
        <f t="shared" si="10"/>
        <v>93.009399999999999</v>
      </c>
      <c r="J201" s="56">
        <f t="shared" si="11"/>
        <v>122.13636</v>
      </c>
    </row>
    <row r="202" spans="1:10" ht="18">
      <c r="A202" s="49">
        <v>1776</v>
      </c>
      <c r="B202" s="49" t="s">
        <v>452</v>
      </c>
      <c r="D202" s="49">
        <v>19.901999999999997</v>
      </c>
      <c r="E202" s="49">
        <v>19.901999999999997</v>
      </c>
      <c r="F202" s="49">
        <v>19.901999999999997</v>
      </c>
      <c r="G202" s="54">
        <v>0.39</v>
      </c>
      <c r="H202" s="56">
        <f t="shared" si="9"/>
        <v>7.761779999999999</v>
      </c>
      <c r="I202" s="57">
        <f t="shared" si="10"/>
        <v>7.761779999999999</v>
      </c>
      <c r="J202" s="56">
        <f t="shared" si="11"/>
        <v>7.761779999999999</v>
      </c>
    </row>
    <row r="203" spans="1:10" ht="18">
      <c r="A203" s="49">
        <v>1777</v>
      </c>
      <c r="B203" s="49" t="s">
        <v>1257</v>
      </c>
      <c r="D203" s="49">
        <v>13.028</v>
      </c>
      <c r="E203" s="49">
        <v>21.357999999999997</v>
      </c>
      <c r="F203" s="49">
        <v>17.192999999999998</v>
      </c>
      <c r="G203" s="54">
        <v>5.63</v>
      </c>
      <c r="H203" s="56">
        <f t="shared" si="9"/>
        <v>73.347639999999998</v>
      </c>
      <c r="I203" s="57">
        <f t="shared" si="10"/>
        <v>96.796589999999981</v>
      </c>
      <c r="J203" s="56">
        <f t="shared" si="11"/>
        <v>120.24553999999998</v>
      </c>
    </row>
    <row r="204" spans="1:10" ht="18">
      <c r="A204" s="49">
        <v>1781</v>
      </c>
      <c r="B204" s="49" t="s">
        <v>1258</v>
      </c>
      <c r="D204" s="49">
        <v>0</v>
      </c>
      <c r="E204" s="49">
        <v>0</v>
      </c>
      <c r="F204" s="49">
        <v>0</v>
      </c>
      <c r="G204" s="54">
        <v>-0.7</v>
      </c>
      <c r="H204" s="56">
        <f t="shared" si="9"/>
        <v>0</v>
      </c>
      <c r="I204" s="57">
        <f t="shared" si="10"/>
        <v>0</v>
      </c>
      <c r="J204" s="56">
        <f t="shared" si="11"/>
        <v>0</v>
      </c>
    </row>
    <row r="205" spans="1:10" ht="18">
      <c r="A205" s="49">
        <v>1783</v>
      </c>
      <c r="B205" s="49" t="s">
        <v>453</v>
      </c>
      <c r="D205" s="49">
        <v>29.324000000000002</v>
      </c>
      <c r="E205" s="49">
        <v>29.324000000000002</v>
      </c>
      <c r="F205" s="49">
        <v>29.324000000000002</v>
      </c>
      <c r="G205" s="54">
        <v>1.86</v>
      </c>
      <c r="H205" s="56">
        <f t="shared" si="9"/>
        <v>54.542640000000006</v>
      </c>
      <c r="I205" s="57">
        <f t="shared" si="10"/>
        <v>54.542640000000006</v>
      </c>
      <c r="J205" s="56">
        <f t="shared" si="11"/>
        <v>54.542640000000006</v>
      </c>
    </row>
    <row r="206" spans="1:10" ht="18">
      <c r="A206" s="49">
        <v>1784</v>
      </c>
      <c r="B206" s="49" t="s">
        <v>1260</v>
      </c>
      <c r="D206" s="49">
        <v>0</v>
      </c>
      <c r="E206" s="49">
        <v>0</v>
      </c>
      <c r="F206" s="49">
        <v>0</v>
      </c>
      <c r="G206" s="54">
        <v>1.67</v>
      </c>
      <c r="H206" s="56">
        <f t="shared" si="9"/>
        <v>0</v>
      </c>
      <c r="I206" s="57">
        <f t="shared" si="10"/>
        <v>0</v>
      </c>
      <c r="J206" s="56">
        <f t="shared" si="11"/>
        <v>0</v>
      </c>
    </row>
    <row r="207" spans="1:10" ht="18">
      <c r="A207" s="49">
        <v>1785</v>
      </c>
      <c r="B207" s="49" t="s">
        <v>1261</v>
      </c>
      <c r="D207" s="49">
        <v>10.28</v>
      </c>
      <c r="E207" s="49">
        <v>25.058</v>
      </c>
      <c r="F207" s="49">
        <v>17.669</v>
      </c>
      <c r="G207" s="54">
        <v>1.83</v>
      </c>
      <c r="H207" s="56">
        <f t="shared" si="9"/>
        <v>18.8124</v>
      </c>
      <c r="I207" s="57">
        <f t="shared" si="10"/>
        <v>32.334270000000004</v>
      </c>
      <c r="J207" s="56">
        <f t="shared" si="11"/>
        <v>45.856140000000003</v>
      </c>
    </row>
    <row r="208" spans="1:10" ht="18">
      <c r="A208" s="49">
        <v>1786</v>
      </c>
      <c r="B208" s="49" t="s">
        <v>454</v>
      </c>
      <c r="D208" s="49">
        <v>29.965999999999998</v>
      </c>
      <c r="E208" s="49">
        <v>29.965999999999998</v>
      </c>
      <c r="F208" s="49">
        <v>29.965999999999998</v>
      </c>
      <c r="G208" s="54">
        <v>2.66</v>
      </c>
      <c r="H208" s="56">
        <f t="shared" si="9"/>
        <v>79.709559999999996</v>
      </c>
      <c r="I208" s="57">
        <f t="shared" si="10"/>
        <v>79.709559999999996</v>
      </c>
      <c r="J208" s="56">
        <f t="shared" si="11"/>
        <v>79.709559999999996</v>
      </c>
    </row>
    <row r="209" spans="1:10" ht="18">
      <c r="A209" s="49">
        <v>1788</v>
      </c>
      <c r="B209" s="49" t="s">
        <v>1262</v>
      </c>
      <c r="D209" s="49">
        <v>13.857999999999999</v>
      </c>
      <c r="E209" s="49">
        <v>20.03</v>
      </c>
      <c r="F209" s="49">
        <v>16.943999999999999</v>
      </c>
      <c r="G209" s="54">
        <v>8.01</v>
      </c>
      <c r="H209" s="56">
        <f t="shared" si="9"/>
        <v>111.00257999999998</v>
      </c>
      <c r="I209" s="57">
        <f t="shared" si="10"/>
        <v>135.72144</v>
      </c>
      <c r="J209" s="56">
        <f t="shared" si="11"/>
        <v>160.44030000000001</v>
      </c>
    </row>
    <row r="210" spans="1:10" ht="18">
      <c r="A210" s="49">
        <v>1789</v>
      </c>
      <c r="B210" s="49" t="s">
        <v>455</v>
      </c>
      <c r="D210" s="49">
        <v>0</v>
      </c>
      <c r="E210" s="49">
        <v>0</v>
      </c>
      <c r="F210" s="49">
        <v>0</v>
      </c>
      <c r="G210" s="54">
        <v>0.36</v>
      </c>
      <c r="H210" s="56">
        <f t="shared" si="9"/>
        <v>0</v>
      </c>
      <c r="I210" s="57">
        <f t="shared" si="10"/>
        <v>0</v>
      </c>
      <c r="J210" s="56">
        <f t="shared" si="11"/>
        <v>0</v>
      </c>
    </row>
    <row r="211" spans="1:10" ht="18">
      <c r="A211" s="49">
        <v>1795</v>
      </c>
      <c r="B211" s="49" t="s">
        <v>456</v>
      </c>
      <c r="D211" s="49">
        <v>0</v>
      </c>
      <c r="E211" s="49">
        <v>0</v>
      </c>
      <c r="F211" s="49">
        <v>0</v>
      </c>
      <c r="G211" s="54">
        <v>15.72</v>
      </c>
      <c r="H211" s="56">
        <f t="shared" si="9"/>
        <v>0</v>
      </c>
      <c r="I211" s="57">
        <f t="shared" si="10"/>
        <v>0</v>
      </c>
      <c r="J211" s="56">
        <f t="shared" si="11"/>
        <v>0</v>
      </c>
    </row>
    <row r="212" spans="1:10" ht="18">
      <c r="A212" s="49">
        <v>1796</v>
      </c>
      <c r="B212" s="49" t="s">
        <v>1263</v>
      </c>
      <c r="D212" s="49">
        <v>0</v>
      </c>
      <c r="E212" s="49">
        <v>0</v>
      </c>
      <c r="F212" s="49">
        <v>0</v>
      </c>
      <c r="G212" s="54">
        <v>3.01</v>
      </c>
      <c r="H212" s="56">
        <f t="shared" si="9"/>
        <v>0</v>
      </c>
      <c r="I212" s="57">
        <f t="shared" si="10"/>
        <v>0</v>
      </c>
      <c r="J212" s="56">
        <f t="shared" si="11"/>
        <v>0</v>
      </c>
    </row>
    <row r="213" spans="1:10" ht="18">
      <c r="A213" s="49">
        <v>1799</v>
      </c>
      <c r="B213" s="49" t="s">
        <v>1264</v>
      </c>
      <c r="D213" s="49">
        <v>0</v>
      </c>
      <c r="E213" s="49">
        <v>0</v>
      </c>
      <c r="F213" s="49">
        <v>0</v>
      </c>
      <c r="G213" s="54">
        <v>-1.27</v>
      </c>
      <c r="H213" s="56">
        <f t="shared" si="9"/>
        <v>0</v>
      </c>
      <c r="I213" s="57">
        <f t="shared" si="10"/>
        <v>0</v>
      </c>
      <c r="J213" s="56">
        <f t="shared" si="11"/>
        <v>0</v>
      </c>
    </row>
    <row r="214" spans="1:10" ht="18">
      <c r="A214" s="49">
        <v>1802</v>
      </c>
      <c r="B214" s="49" t="s">
        <v>457</v>
      </c>
      <c r="D214" s="49">
        <v>14.638</v>
      </c>
      <c r="E214" s="49">
        <v>18.088000000000001</v>
      </c>
      <c r="F214" s="49">
        <v>16.363</v>
      </c>
      <c r="G214" s="54">
        <v>0.01</v>
      </c>
      <c r="H214" s="56">
        <f t="shared" si="9"/>
        <v>0.14638000000000001</v>
      </c>
      <c r="I214" s="57">
        <f t="shared" si="10"/>
        <v>0.16363</v>
      </c>
      <c r="J214" s="56">
        <f t="shared" si="11"/>
        <v>0.18088000000000001</v>
      </c>
    </row>
    <row r="215" spans="1:10" ht="18">
      <c r="A215" s="49">
        <v>1805</v>
      </c>
      <c r="B215" s="49" t="s">
        <v>458</v>
      </c>
      <c r="D215" s="49">
        <v>0</v>
      </c>
      <c r="E215" s="49">
        <v>0</v>
      </c>
      <c r="F215" s="49">
        <v>0</v>
      </c>
      <c r="G215" s="54">
        <v>-1.55</v>
      </c>
      <c r="H215" s="56">
        <f t="shared" si="9"/>
        <v>0</v>
      </c>
      <c r="I215" s="57">
        <f t="shared" si="10"/>
        <v>0</v>
      </c>
      <c r="J215" s="56">
        <f t="shared" si="11"/>
        <v>0</v>
      </c>
    </row>
    <row r="216" spans="1:10" ht="18">
      <c r="A216" s="49">
        <v>1806</v>
      </c>
      <c r="B216" s="49" t="s">
        <v>459</v>
      </c>
      <c r="D216" s="49">
        <v>7.2840000000000007</v>
      </c>
      <c r="E216" s="49">
        <v>12.852</v>
      </c>
      <c r="F216" s="49">
        <v>10.068000000000001</v>
      </c>
      <c r="G216" s="54">
        <v>-2.7755575615628901E-17</v>
      </c>
      <c r="H216" s="56">
        <f t="shared" si="9"/>
        <v>-2.0217161278424093E-16</v>
      </c>
      <c r="I216" s="57">
        <f t="shared" si="10"/>
        <v>-2.7944313529815179E-16</v>
      </c>
      <c r="J216" s="56">
        <f t="shared" si="11"/>
        <v>-3.5671465781206266E-16</v>
      </c>
    </row>
    <row r="217" spans="1:10" ht="18">
      <c r="A217" s="49">
        <v>1808</v>
      </c>
      <c r="B217" s="49" t="s">
        <v>460</v>
      </c>
      <c r="D217" s="49">
        <v>6.306</v>
      </c>
      <c r="E217" s="49">
        <v>18.692</v>
      </c>
      <c r="F217" s="49">
        <v>12.499000000000001</v>
      </c>
      <c r="G217" s="54">
        <v>17.079999999999998</v>
      </c>
      <c r="H217" s="56">
        <f t="shared" si="9"/>
        <v>107.70647999999998</v>
      </c>
      <c r="I217" s="57">
        <f t="shared" si="10"/>
        <v>213.48291999999998</v>
      </c>
      <c r="J217" s="56">
        <f t="shared" si="11"/>
        <v>319.25935999999996</v>
      </c>
    </row>
    <row r="218" spans="1:10" ht="18">
      <c r="A218" s="49">
        <v>1809</v>
      </c>
      <c r="B218" s="49" t="s">
        <v>461</v>
      </c>
      <c r="D218" s="49">
        <v>14.333999999999998</v>
      </c>
      <c r="E218" s="49">
        <v>22.676000000000002</v>
      </c>
      <c r="F218" s="49">
        <v>18.504999999999999</v>
      </c>
      <c r="G218" s="54">
        <v>-0.1</v>
      </c>
      <c r="H218" s="56">
        <f t="shared" si="9"/>
        <v>-1.4333999999999998</v>
      </c>
      <c r="I218" s="57">
        <f t="shared" si="10"/>
        <v>-1.8505</v>
      </c>
      <c r="J218" s="56">
        <f t="shared" si="11"/>
        <v>-2.2676000000000003</v>
      </c>
    </row>
    <row r="219" spans="1:10" ht="18">
      <c r="A219" s="49">
        <v>1810</v>
      </c>
      <c r="B219" s="49" t="s">
        <v>462</v>
      </c>
      <c r="D219" s="49">
        <v>16.184000000000005</v>
      </c>
      <c r="E219" s="49">
        <v>27.395999999999997</v>
      </c>
      <c r="F219" s="49">
        <v>21.79</v>
      </c>
      <c r="G219" s="54">
        <v>0.06</v>
      </c>
      <c r="H219" s="56">
        <f t="shared" si="9"/>
        <v>0.97104000000000024</v>
      </c>
      <c r="I219" s="57">
        <f t="shared" si="10"/>
        <v>1.3073999999999999</v>
      </c>
      <c r="J219" s="56">
        <f t="shared" si="11"/>
        <v>1.6437599999999997</v>
      </c>
    </row>
    <row r="220" spans="1:10" ht="18">
      <c r="A220" s="49">
        <v>1813</v>
      </c>
      <c r="B220" s="49" t="s">
        <v>1265</v>
      </c>
      <c r="D220" s="49">
        <v>14.924000000000001</v>
      </c>
      <c r="E220" s="49">
        <v>27.596000000000004</v>
      </c>
      <c r="F220" s="49">
        <v>21.26</v>
      </c>
      <c r="G220" s="54">
        <v>0.24</v>
      </c>
      <c r="H220" s="56">
        <f t="shared" si="9"/>
        <v>3.5817600000000001</v>
      </c>
      <c r="I220" s="57">
        <f t="shared" si="10"/>
        <v>5.1024000000000003</v>
      </c>
      <c r="J220" s="56">
        <f t="shared" si="11"/>
        <v>6.6230400000000005</v>
      </c>
    </row>
    <row r="221" spans="1:10" ht="18">
      <c r="A221" s="49">
        <v>1815</v>
      </c>
      <c r="B221" s="49" t="s">
        <v>1266</v>
      </c>
      <c r="D221" s="49">
        <v>9.6440000000000001</v>
      </c>
      <c r="E221" s="49">
        <v>17.225999999999999</v>
      </c>
      <c r="F221" s="49">
        <v>13.434999999999999</v>
      </c>
      <c r="G221" s="54">
        <v>-1.44</v>
      </c>
      <c r="H221" s="56">
        <f t="shared" si="9"/>
        <v>-13.887359999999999</v>
      </c>
      <c r="I221" s="57">
        <f t="shared" si="10"/>
        <v>-19.346399999999999</v>
      </c>
      <c r="J221" s="56">
        <f t="shared" si="11"/>
        <v>-24.805439999999997</v>
      </c>
    </row>
    <row r="222" spans="1:10" ht="18">
      <c r="A222" s="49">
        <v>1817</v>
      </c>
      <c r="B222" s="49" t="s">
        <v>463</v>
      </c>
      <c r="D222" s="49">
        <v>11.107999999999999</v>
      </c>
      <c r="E222" s="49">
        <v>13.858000000000001</v>
      </c>
      <c r="F222" s="49">
        <v>12.483000000000001</v>
      </c>
      <c r="G222" s="54">
        <v>3.27</v>
      </c>
      <c r="H222" s="56">
        <f t="shared" si="9"/>
        <v>36.323159999999994</v>
      </c>
      <c r="I222" s="57">
        <f t="shared" si="10"/>
        <v>40.819410000000005</v>
      </c>
      <c r="J222" s="56">
        <f t="shared" si="11"/>
        <v>45.315660000000001</v>
      </c>
    </row>
    <row r="223" spans="1:10" ht="18">
      <c r="A223" s="49">
        <v>1903</v>
      </c>
      <c r="B223" s="49" t="s">
        <v>464</v>
      </c>
      <c r="D223" s="49">
        <v>0</v>
      </c>
      <c r="E223" s="49">
        <v>0</v>
      </c>
      <c r="F223" s="49">
        <v>0</v>
      </c>
      <c r="G223" s="54">
        <v>0.33</v>
      </c>
      <c r="H223" s="56">
        <f t="shared" si="9"/>
        <v>0</v>
      </c>
      <c r="I223" s="57">
        <f t="shared" si="10"/>
        <v>0</v>
      </c>
      <c r="J223" s="56">
        <f t="shared" si="11"/>
        <v>0</v>
      </c>
    </row>
    <row r="224" spans="1:10" ht="18">
      <c r="A224" s="49">
        <v>1904</v>
      </c>
      <c r="B224" s="49" t="s">
        <v>465</v>
      </c>
      <c r="D224" s="49">
        <v>8.3239999999999998</v>
      </c>
      <c r="E224" s="49">
        <v>16.009999999999998</v>
      </c>
      <c r="F224" s="49">
        <v>12.166999999999998</v>
      </c>
      <c r="G224" s="54">
        <v>0.83</v>
      </c>
      <c r="H224" s="56">
        <f t="shared" si="9"/>
        <v>6.9089199999999993</v>
      </c>
      <c r="I224" s="57">
        <f t="shared" si="10"/>
        <v>10.098609999999997</v>
      </c>
      <c r="J224" s="56">
        <f t="shared" si="11"/>
        <v>13.288299999999998</v>
      </c>
    </row>
    <row r="225" spans="1:10" ht="18">
      <c r="A225" s="49">
        <v>1905</v>
      </c>
      <c r="B225" s="49" t="s">
        <v>466</v>
      </c>
      <c r="D225" s="49">
        <v>12.965999999999999</v>
      </c>
      <c r="E225" s="49">
        <v>26.842000000000002</v>
      </c>
      <c r="F225" s="49">
        <v>19.904</v>
      </c>
      <c r="G225" s="54">
        <v>-0.53</v>
      </c>
      <c r="H225" s="56">
        <f t="shared" si="9"/>
        <v>-6.8719799999999998</v>
      </c>
      <c r="I225" s="57">
        <f t="shared" si="10"/>
        <v>-10.54912</v>
      </c>
      <c r="J225" s="56">
        <f t="shared" si="11"/>
        <v>-14.226260000000002</v>
      </c>
    </row>
    <row r="226" spans="1:10" ht="18">
      <c r="A226" s="49">
        <v>1906</v>
      </c>
      <c r="B226" s="49" t="s">
        <v>467</v>
      </c>
      <c r="D226" s="49">
        <v>6.1280000000000001</v>
      </c>
      <c r="E226" s="49">
        <v>23.768000000000001</v>
      </c>
      <c r="F226" s="49">
        <v>14.948</v>
      </c>
      <c r="G226" s="54">
        <v>0.2</v>
      </c>
      <c r="H226" s="56">
        <f t="shared" si="9"/>
        <v>1.2256</v>
      </c>
      <c r="I226" s="57">
        <f t="shared" si="10"/>
        <v>2.9896000000000003</v>
      </c>
      <c r="J226" s="56">
        <f t="shared" si="11"/>
        <v>4.7536000000000005</v>
      </c>
    </row>
    <row r="227" spans="1:10" ht="18">
      <c r="A227" s="49">
        <v>1907</v>
      </c>
      <c r="B227" s="49" t="s">
        <v>468</v>
      </c>
      <c r="D227" s="49">
        <v>9.8880000000000017</v>
      </c>
      <c r="E227" s="49">
        <v>18.330000000000002</v>
      </c>
      <c r="F227" s="49">
        <v>14.109000000000002</v>
      </c>
      <c r="G227" s="54">
        <v>1.1000000000000001</v>
      </c>
      <c r="H227" s="56">
        <f t="shared" si="9"/>
        <v>10.876800000000003</v>
      </c>
      <c r="I227" s="57">
        <f t="shared" si="10"/>
        <v>15.519900000000003</v>
      </c>
      <c r="J227" s="56">
        <f t="shared" si="11"/>
        <v>20.163000000000004</v>
      </c>
    </row>
    <row r="228" spans="1:10" ht="18">
      <c r="A228" s="49">
        <v>1909</v>
      </c>
      <c r="B228" s="49" t="s">
        <v>469</v>
      </c>
      <c r="D228" s="49">
        <v>10.544</v>
      </c>
      <c r="E228" s="49">
        <v>20.292000000000002</v>
      </c>
      <c r="F228" s="49">
        <v>15.418000000000001</v>
      </c>
      <c r="G228" s="54">
        <v>-0.77</v>
      </c>
      <c r="H228" s="56">
        <f t="shared" si="9"/>
        <v>-8.1188800000000008</v>
      </c>
      <c r="I228" s="57">
        <f t="shared" si="10"/>
        <v>-11.871860000000002</v>
      </c>
      <c r="J228" s="56">
        <f t="shared" si="11"/>
        <v>-15.624840000000001</v>
      </c>
    </row>
    <row r="229" spans="1:10" ht="18">
      <c r="A229" s="49">
        <v>2002</v>
      </c>
      <c r="B229" s="49" t="s">
        <v>470</v>
      </c>
      <c r="D229" s="49">
        <v>9.379999999999999</v>
      </c>
      <c r="E229" s="49">
        <v>27.1</v>
      </c>
      <c r="F229" s="49">
        <v>18.240000000000002</v>
      </c>
      <c r="G229" s="54">
        <v>0.11</v>
      </c>
      <c r="H229" s="56">
        <f t="shared" si="9"/>
        <v>1.0317999999999998</v>
      </c>
      <c r="I229" s="57">
        <f t="shared" si="10"/>
        <v>2.0064000000000002</v>
      </c>
      <c r="J229" s="56">
        <f t="shared" si="11"/>
        <v>2.9810000000000003</v>
      </c>
    </row>
    <row r="230" spans="1:10" ht="18">
      <c r="A230" s="49">
        <v>2006</v>
      </c>
      <c r="B230" s="49" t="s">
        <v>471</v>
      </c>
      <c r="D230" s="49">
        <v>8.3000000000000007</v>
      </c>
      <c r="E230" s="49">
        <v>21.527999999999999</v>
      </c>
      <c r="F230" s="49">
        <v>14.914</v>
      </c>
      <c r="G230" s="54">
        <v>6.48</v>
      </c>
      <c r="H230" s="56">
        <f t="shared" si="9"/>
        <v>53.784000000000006</v>
      </c>
      <c r="I230" s="57">
        <f t="shared" si="10"/>
        <v>96.642720000000011</v>
      </c>
      <c r="J230" s="56">
        <f t="shared" si="11"/>
        <v>139.50144</v>
      </c>
    </row>
    <row r="231" spans="1:10" ht="18">
      <c r="A231" s="49">
        <v>2007</v>
      </c>
      <c r="B231" s="49" t="s">
        <v>472</v>
      </c>
      <c r="D231" s="49">
        <v>0</v>
      </c>
      <c r="E231" s="49">
        <v>0</v>
      </c>
      <c r="F231" s="49">
        <v>0</v>
      </c>
      <c r="G231" s="54">
        <v>-1.85</v>
      </c>
      <c r="H231" s="56">
        <f t="shared" si="9"/>
        <v>0</v>
      </c>
      <c r="I231" s="57">
        <f t="shared" si="10"/>
        <v>0</v>
      </c>
      <c r="J231" s="56">
        <f t="shared" si="11"/>
        <v>0</v>
      </c>
    </row>
    <row r="232" spans="1:10" ht="18">
      <c r="A232" s="49">
        <v>2008</v>
      </c>
      <c r="B232" s="49" t="s">
        <v>473</v>
      </c>
      <c r="D232" s="49">
        <v>0</v>
      </c>
      <c r="E232" s="49">
        <v>0</v>
      </c>
      <c r="F232" s="49">
        <v>0</v>
      </c>
      <c r="G232" s="54">
        <v>2.2400000000000002</v>
      </c>
      <c r="H232" s="56">
        <f t="shared" si="9"/>
        <v>0</v>
      </c>
      <c r="I232" s="57">
        <f t="shared" si="10"/>
        <v>0</v>
      </c>
      <c r="J232" s="56">
        <f t="shared" si="11"/>
        <v>0</v>
      </c>
    </row>
    <row r="233" spans="1:10" ht="18">
      <c r="A233" s="49">
        <v>2009</v>
      </c>
      <c r="B233" s="49" t="s">
        <v>474</v>
      </c>
      <c r="D233" s="49">
        <v>14.15</v>
      </c>
      <c r="E233" s="49">
        <v>27.241999999999997</v>
      </c>
      <c r="F233" s="49">
        <v>20.695999999999998</v>
      </c>
      <c r="G233" s="54">
        <v>-0.03</v>
      </c>
      <c r="H233" s="56">
        <f t="shared" si="9"/>
        <v>-0.42449999999999999</v>
      </c>
      <c r="I233" s="57">
        <f t="shared" si="10"/>
        <v>-0.62087999999999988</v>
      </c>
      <c r="J233" s="56">
        <f t="shared" si="11"/>
        <v>-0.81725999999999988</v>
      </c>
    </row>
    <row r="234" spans="1:10" ht="18">
      <c r="A234" s="49">
        <v>2010</v>
      </c>
      <c r="B234" s="49" t="s">
        <v>475</v>
      </c>
      <c r="D234" s="49">
        <v>9.2099999999999991</v>
      </c>
      <c r="E234" s="49">
        <v>24.942</v>
      </c>
      <c r="F234" s="49">
        <v>17.076000000000001</v>
      </c>
      <c r="G234" s="54">
        <v>1.35</v>
      </c>
      <c r="H234" s="56">
        <f t="shared" si="9"/>
        <v>12.4335</v>
      </c>
      <c r="I234" s="57">
        <f t="shared" si="10"/>
        <v>23.052600000000002</v>
      </c>
      <c r="J234" s="56">
        <f t="shared" si="11"/>
        <v>33.671700000000001</v>
      </c>
    </row>
    <row r="235" spans="1:10" ht="18">
      <c r="A235" s="49">
        <v>2012</v>
      </c>
      <c r="B235" s="49" t="s">
        <v>476</v>
      </c>
      <c r="D235" s="49">
        <v>10.706</v>
      </c>
      <c r="E235" s="49">
        <v>28.208000000000006</v>
      </c>
      <c r="F235" s="49">
        <v>19.457000000000001</v>
      </c>
      <c r="G235" s="54">
        <v>0.91</v>
      </c>
      <c r="H235" s="56">
        <f t="shared" si="9"/>
        <v>9.7424599999999995</v>
      </c>
      <c r="I235" s="57">
        <f t="shared" si="10"/>
        <v>17.705870000000001</v>
      </c>
      <c r="J235" s="56">
        <f t="shared" si="11"/>
        <v>25.669280000000008</v>
      </c>
    </row>
    <row r="236" spans="1:10" ht="18">
      <c r="A236" s="49">
        <v>2013</v>
      </c>
      <c r="B236" s="49" t="s">
        <v>477</v>
      </c>
      <c r="D236" s="49">
        <v>9.8320000000000007</v>
      </c>
      <c r="E236" s="49">
        <v>26.048000000000002</v>
      </c>
      <c r="F236" s="49">
        <v>17.940000000000001</v>
      </c>
      <c r="G236" s="54">
        <v>2.68</v>
      </c>
      <c r="H236" s="56">
        <f t="shared" si="9"/>
        <v>26.349760000000003</v>
      </c>
      <c r="I236" s="57">
        <f t="shared" si="10"/>
        <v>48.079200000000007</v>
      </c>
      <c r="J236" s="56">
        <f t="shared" si="11"/>
        <v>69.808640000000011</v>
      </c>
    </row>
    <row r="237" spans="1:10" ht="18">
      <c r="A237" s="49">
        <v>2014</v>
      </c>
      <c r="B237" s="49" t="s">
        <v>478</v>
      </c>
      <c r="D237" s="49">
        <v>6.1280000000000001</v>
      </c>
      <c r="E237" s="49">
        <v>19.777999999999999</v>
      </c>
      <c r="F237" s="49">
        <v>12.952999999999999</v>
      </c>
      <c r="G237" s="54">
        <v>0.11</v>
      </c>
      <c r="H237" s="56">
        <f t="shared" si="9"/>
        <v>0.67408000000000001</v>
      </c>
      <c r="I237" s="57">
        <f t="shared" si="10"/>
        <v>1.42483</v>
      </c>
      <c r="J237" s="56">
        <f t="shared" si="11"/>
        <v>2.1755800000000001</v>
      </c>
    </row>
    <row r="238" spans="1:10" ht="18">
      <c r="A238" s="49">
        <v>2015</v>
      </c>
      <c r="B238" s="49" t="s">
        <v>479</v>
      </c>
      <c r="D238" s="49">
        <v>9.2539999999999996</v>
      </c>
      <c r="E238" s="49">
        <v>18.076000000000001</v>
      </c>
      <c r="F238" s="49">
        <v>13.664999999999999</v>
      </c>
      <c r="G238" s="54">
        <v>4.08</v>
      </c>
      <c r="H238" s="56">
        <f t="shared" si="9"/>
        <v>37.756320000000002</v>
      </c>
      <c r="I238" s="57">
        <f t="shared" si="10"/>
        <v>55.7532</v>
      </c>
      <c r="J238" s="56">
        <f t="shared" si="11"/>
        <v>73.750079999999997</v>
      </c>
    </row>
    <row r="239" spans="1:10" ht="18">
      <c r="A239" s="49">
        <v>2017</v>
      </c>
      <c r="B239" s="49" t="s">
        <v>480</v>
      </c>
      <c r="D239" s="49">
        <v>11.62</v>
      </c>
      <c r="E239" s="49">
        <v>12.412000000000001</v>
      </c>
      <c r="F239" s="49">
        <v>12.016</v>
      </c>
      <c r="G239" s="54">
        <v>-0.67</v>
      </c>
      <c r="H239" s="56">
        <f t="shared" si="9"/>
        <v>-7.7854000000000001</v>
      </c>
      <c r="I239" s="57">
        <f t="shared" si="10"/>
        <v>-8.0507200000000001</v>
      </c>
      <c r="J239" s="56">
        <f t="shared" si="11"/>
        <v>-8.316040000000001</v>
      </c>
    </row>
    <row r="240" spans="1:10" ht="18">
      <c r="A240" s="49">
        <v>2020</v>
      </c>
      <c r="B240" s="49" t="s">
        <v>481</v>
      </c>
      <c r="D240" s="49">
        <v>8.1340000000000003</v>
      </c>
      <c r="E240" s="49">
        <v>21.643999999999998</v>
      </c>
      <c r="F240" s="49">
        <v>14.888999999999999</v>
      </c>
      <c r="G240" s="54">
        <v>4.8</v>
      </c>
      <c r="H240" s="56">
        <f t="shared" si="9"/>
        <v>39.043199999999999</v>
      </c>
      <c r="I240" s="57">
        <f t="shared" si="10"/>
        <v>71.467199999999991</v>
      </c>
      <c r="J240" s="56">
        <f t="shared" si="11"/>
        <v>103.89119999999998</v>
      </c>
    </row>
    <row r="241" spans="1:10" ht="18">
      <c r="A241" s="49">
        <v>2022</v>
      </c>
      <c r="B241" s="49" t="s">
        <v>482</v>
      </c>
      <c r="D241" s="49">
        <v>0</v>
      </c>
      <c r="E241" s="49">
        <v>0</v>
      </c>
      <c r="F241" s="49">
        <v>0</v>
      </c>
      <c r="G241" s="54">
        <v>0.32</v>
      </c>
      <c r="H241" s="56">
        <f t="shared" si="9"/>
        <v>0</v>
      </c>
      <c r="I241" s="57">
        <f t="shared" si="10"/>
        <v>0</v>
      </c>
      <c r="J241" s="56">
        <f t="shared" si="11"/>
        <v>0</v>
      </c>
    </row>
    <row r="242" spans="1:10" ht="18">
      <c r="A242" s="49">
        <v>2023</v>
      </c>
      <c r="B242" s="49" t="s">
        <v>483</v>
      </c>
      <c r="D242" s="49">
        <v>10.034000000000001</v>
      </c>
      <c r="E242" s="49">
        <v>15.994</v>
      </c>
      <c r="F242" s="49">
        <v>13.013999999999999</v>
      </c>
      <c r="G242" s="54">
        <v>-0.55000000000000004</v>
      </c>
      <c r="H242" s="56">
        <f t="shared" si="9"/>
        <v>-5.5187000000000008</v>
      </c>
      <c r="I242" s="57">
        <f t="shared" si="10"/>
        <v>-7.1577000000000002</v>
      </c>
      <c r="J242" s="56">
        <f t="shared" si="11"/>
        <v>-8.7967000000000013</v>
      </c>
    </row>
    <row r="243" spans="1:10" ht="18">
      <c r="A243" s="49">
        <v>2024</v>
      </c>
      <c r="B243" s="49" t="s">
        <v>484</v>
      </c>
      <c r="D243" s="49">
        <v>6.1040000000000001</v>
      </c>
      <c r="E243" s="49">
        <v>14.813999999999998</v>
      </c>
      <c r="F243" s="49">
        <v>10.459</v>
      </c>
      <c r="G243" s="54">
        <v>-0.56000000000000005</v>
      </c>
      <c r="H243" s="56">
        <f t="shared" si="9"/>
        <v>-3.4182400000000004</v>
      </c>
      <c r="I243" s="57">
        <f t="shared" si="10"/>
        <v>-5.8570400000000005</v>
      </c>
      <c r="J243" s="56">
        <f t="shared" si="11"/>
        <v>-8.2958400000000001</v>
      </c>
    </row>
    <row r="244" spans="1:10" ht="18">
      <c r="A244" s="49">
        <v>2025</v>
      </c>
      <c r="B244" s="49" t="s">
        <v>485</v>
      </c>
      <c r="D244" s="49">
        <v>6.266</v>
      </c>
      <c r="E244" s="49">
        <v>9.8180000000000014</v>
      </c>
      <c r="F244" s="49">
        <v>8.0420000000000016</v>
      </c>
      <c r="G244" s="54">
        <v>0.81</v>
      </c>
      <c r="H244" s="56">
        <f t="shared" si="9"/>
        <v>5.0754600000000005</v>
      </c>
      <c r="I244" s="57">
        <f t="shared" si="10"/>
        <v>6.5140200000000021</v>
      </c>
      <c r="J244" s="56">
        <f t="shared" si="11"/>
        <v>7.952580000000002</v>
      </c>
    </row>
    <row r="245" spans="1:10" ht="18">
      <c r="A245" s="49">
        <v>2027</v>
      </c>
      <c r="B245" s="49" t="s">
        <v>486</v>
      </c>
      <c r="D245" s="49">
        <v>6.9700000000000006</v>
      </c>
      <c r="E245" s="49">
        <v>15.286000000000001</v>
      </c>
      <c r="F245" s="49">
        <v>11.128</v>
      </c>
      <c r="G245" s="54">
        <v>2.13</v>
      </c>
      <c r="H245" s="56">
        <f t="shared" si="9"/>
        <v>14.8461</v>
      </c>
      <c r="I245" s="57">
        <f t="shared" si="10"/>
        <v>23.702639999999999</v>
      </c>
      <c r="J245" s="56">
        <f t="shared" si="11"/>
        <v>32.559179999999998</v>
      </c>
    </row>
    <row r="246" spans="1:10" ht="18">
      <c r="A246" s="49">
        <v>2028</v>
      </c>
      <c r="B246" s="49" t="s">
        <v>487</v>
      </c>
      <c r="D246" s="49">
        <v>5.4260000000000002</v>
      </c>
      <c r="E246" s="49">
        <v>16.803999999999998</v>
      </c>
      <c r="F246" s="49">
        <v>11.114999999999998</v>
      </c>
      <c r="G246" s="54">
        <v>1.28</v>
      </c>
      <c r="H246" s="56">
        <f t="shared" si="9"/>
        <v>6.9452800000000003</v>
      </c>
      <c r="I246" s="57">
        <f t="shared" si="10"/>
        <v>14.227199999999998</v>
      </c>
      <c r="J246" s="56">
        <f t="shared" si="11"/>
        <v>21.509119999999999</v>
      </c>
    </row>
    <row r="247" spans="1:10" ht="18">
      <c r="A247" s="49">
        <v>2029</v>
      </c>
      <c r="B247" s="49" t="s">
        <v>488</v>
      </c>
      <c r="D247" s="49">
        <v>8.6999999999999993</v>
      </c>
      <c r="E247" s="49">
        <v>19.080000000000002</v>
      </c>
      <c r="F247" s="49">
        <v>13.89</v>
      </c>
      <c r="G247" s="54">
        <v>1.95</v>
      </c>
      <c r="H247" s="56">
        <f t="shared" si="9"/>
        <v>16.965</v>
      </c>
      <c r="I247" s="57">
        <f t="shared" si="10"/>
        <v>27.0855</v>
      </c>
      <c r="J247" s="56">
        <f t="shared" si="11"/>
        <v>37.206000000000003</v>
      </c>
    </row>
    <row r="248" spans="1:10" ht="18">
      <c r="A248" s="49">
        <v>2030</v>
      </c>
      <c r="B248" s="49" t="s">
        <v>489</v>
      </c>
      <c r="D248" s="49">
        <v>6.9179999999999993</v>
      </c>
      <c r="E248" s="49">
        <v>15.339999999999998</v>
      </c>
      <c r="F248" s="49">
        <v>11.128999999999998</v>
      </c>
      <c r="G248" s="54">
        <v>0.18</v>
      </c>
      <c r="H248" s="56">
        <f t="shared" si="9"/>
        <v>1.2452399999999999</v>
      </c>
      <c r="I248" s="57">
        <f t="shared" si="10"/>
        <v>2.0032199999999993</v>
      </c>
      <c r="J248" s="56">
        <f t="shared" si="11"/>
        <v>2.7611999999999997</v>
      </c>
    </row>
    <row r="249" spans="1:10" ht="18">
      <c r="A249" s="49">
        <v>2031</v>
      </c>
      <c r="B249" s="49" t="s">
        <v>490</v>
      </c>
      <c r="D249" s="49">
        <v>7.0080000000000009</v>
      </c>
      <c r="E249" s="49">
        <v>20.724</v>
      </c>
      <c r="F249" s="49">
        <v>13.866</v>
      </c>
      <c r="G249" s="54">
        <v>5.15</v>
      </c>
      <c r="H249" s="56">
        <f t="shared" si="9"/>
        <v>36.091200000000008</v>
      </c>
      <c r="I249" s="57">
        <f t="shared" si="10"/>
        <v>71.409900000000007</v>
      </c>
      <c r="J249" s="56">
        <f t="shared" si="11"/>
        <v>106.72860000000001</v>
      </c>
    </row>
    <row r="250" spans="1:10" ht="18">
      <c r="A250" s="49">
        <v>2032</v>
      </c>
      <c r="B250" s="49" t="s">
        <v>491</v>
      </c>
      <c r="D250" s="49">
        <v>19.254000000000001</v>
      </c>
      <c r="E250" s="49">
        <v>31.541999999999994</v>
      </c>
      <c r="F250" s="49">
        <v>25.397999999999996</v>
      </c>
      <c r="G250" s="54">
        <v>-0.16</v>
      </c>
      <c r="H250" s="56">
        <f t="shared" si="9"/>
        <v>-3.0806400000000003</v>
      </c>
      <c r="I250" s="57">
        <f t="shared" si="10"/>
        <v>-4.0636799999999997</v>
      </c>
      <c r="J250" s="56">
        <f t="shared" si="11"/>
        <v>-5.0467199999999997</v>
      </c>
    </row>
    <row r="251" spans="1:10" ht="18">
      <c r="A251" s="49">
        <v>2033</v>
      </c>
      <c r="B251" s="49" t="s">
        <v>492</v>
      </c>
      <c r="D251" s="49">
        <v>16.988</v>
      </c>
      <c r="E251" s="49">
        <v>22.381999999999998</v>
      </c>
      <c r="F251" s="49">
        <v>19.684999999999999</v>
      </c>
      <c r="G251" s="54">
        <v>-0.04</v>
      </c>
      <c r="H251" s="56">
        <f t="shared" si="9"/>
        <v>-0.67952000000000001</v>
      </c>
      <c r="I251" s="57">
        <f t="shared" si="10"/>
        <v>-0.78739999999999999</v>
      </c>
      <c r="J251" s="56">
        <f t="shared" si="11"/>
        <v>-0.89527999999999996</v>
      </c>
    </row>
    <row r="252" spans="1:10" ht="18">
      <c r="A252" s="49">
        <v>2034</v>
      </c>
      <c r="B252" s="49" t="s">
        <v>493</v>
      </c>
      <c r="D252" s="49">
        <v>9.1999999999999993</v>
      </c>
      <c r="E252" s="49">
        <v>19.446000000000002</v>
      </c>
      <c r="F252" s="49">
        <v>14.323</v>
      </c>
      <c r="G252" s="54">
        <v>-0.38</v>
      </c>
      <c r="H252" s="56">
        <f t="shared" si="9"/>
        <v>-3.4959999999999996</v>
      </c>
      <c r="I252" s="57">
        <f t="shared" si="10"/>
        <v>-5.4427400000000006</v>
      </c>
      <c r="J252" s="56">
        <f t="shared" si="11"/>
        <v>-7.3894800000000007</v>
      </c>
    </row>
    <row r="253" spans="1:10" ht="18">
      <c r="A253" s="49">
        <v>2035</v>
      </c>
      <c r="B253" s="49" t="s">
        <v>1267</v>
      </c>
      <c r="D253" s="49">
        <v>17.687999999999999</v>
      </c>
      <c r="E253" s="49">
        <v>23.803999999999995</v>
      </c>
      <c r="F253" s="49">
        <v>20.745999999999995</v>
      </c>
      <c r="G253" s="54">
        <v>-3.22</v>
      </c>
      <c r="H253" s="56">
        <f t="shared" si="9"/>
        <v>-56.955359999999999</v>
      </c>
      <c r="I253" s="57">
        <f t="shared" si="10"/>
        <v>-66.802119999999988</v>
      </c>
      <c r="J253" s="56">
        <f t="shared" si="11"/>
        <v>-76.648879999999991</v>
      </c>
    </row>
    <row r="254" spans="1:10" ht="18">
      <c r="A254" s="49">
        <v>2038</v>
      </c>
      <c r="B254" s="49" t="s">
        <v>494</v>
      </c>
      <c r="D254" s="49">
        <v>13.254</v>
      </c>
      <c r="E254" s="49">
        <v>20.399999999999999</v>
      </c>
      <c r="F254" s="49">
        <v>16.826999999999998</v>
      </c>
      <c r="G254" s="54">
        <v>0.27</v>
      </c>
      <c r="H254" s="56">
        <f t="shared" si="9"/>
        <v>3.5785800000000001</v>
      </c>
      <c r="I254" s="57">
        <f t="shared" si="10"/>
        <v>4.5432899999999998</v>
      </c>
      <c r="J254" s="56">
        <f t="shared" si="11"/>
        <v>5.508</v>
      </c>
    </row>
    <row r="255" spans="1:10" ht="18">
      <c r="A255" s="49">
        <v>2049</v>
      </c>
      <c r="B255" s="49" t="s">
        <v>495</v>
      </c>
      <c r="D255" s="49">
        <v>15.598000000000003</v>
      </c>
      <c r="E255" s="49">
        <v>35.751999999999995</v>
      </c>
      <c r="F255" s="49">
        <v>25.674999999999997</v>
      </c>
      <c r="G255" s="54">
        <v>5.75</v>
      </c>
      <c r="H255" s="56">
        <f t="shared" si="9"/>
        <v>89.688500000000019</v>
      </c>
      <c r="I255" s="57">
        <f t="shared" si="10"/>
        <v>147.63124999999999</v>
      </c>
      <c r="J255" s="56">
        <f t="shared" si="11"/>
        <v>205.57399999999998</v>
      </c>
    </row>
    <row r="256" spans="1:10" ht="18">
      <c r="A256" s="49">
        <v>2059</v>
      </c>
      <c r="B256" s="49" t="s">
        <v>496</v>
      </c>
      <c r="D256" s="49">
        <v>14.063999999999998</v>
      </c>
      <c r="E256" s="49">
        <v>28.818000000000001</v>
      </c>
      <c r="F256" s="49">
        <v>21.440999999999999</v>
      </c>
      <c r="G256" s="54">
        <v>28.38</v>
      </c>
      <c r="H256" s="56">
        <f t="shared" si="9"/>
        <v>399.13631999999996</v>
      </c>
      <c r="I256" s="57">
        <f t="shared" si="10"/>
        <v>608.4955799999999</v>
      </c>
      <c r="J256" s="56">
        <f t="shared" si="11"/>
        <v>817.85483999999997</v>
      </c>
    </row>
    <row r="257" spans="1:10" ht="18">
      <c r="A257" s="49">
        <v>2061</v>
      </c>
      <c r="B257" s="49" t="s">
        <v>1268</v>
      </c>
      <c r="D257" s="49">
        <v>0</v>
      </c>
      <c r="E257" s="49">
        <v>0</v>
      </c>
      <c r="F257" s="49">
        <v>0</v>
      </c>
      <c r="G257" s="54">
        <v>-0.54</v>
      </c>
      <c r="H257" s="56">
        <f t="shared" si="9"/>
        <v>0</v>
      </c>
      <c r="I257" s="57">
        <f t="shared" si="10"/>
        <v>0</v>
      </c>
      <c r="J257" s="56">
        <f t="shared" si="11"/>
        <v>0</v>
      </c>
    </row>
    <row r="258" spans="1:10" ht="18">
      <c r="A258" s="49">
        <v>2062</v>
      </c>
      <c r="B258" s="49" t="s">
        <v>497</v>
      </c>
      <c r="D258" s="49">
        <v>9.0040000000000013</v>
      </c>
      <c r="E258" s="49">
        <v>17.606000000000002</v>
      </c>
      <c r="F258" s="49">
        <v>13.305000000000001</v>
      </c>
      <c r="G258" s="54">
        <v>1.57</v>
      </c>
      <c r="H258" s="56">
        <f t="shared" si="9"/>
        <v>14.136280000000003</v>
      </c>
      <c r="I258" s="57">
        <f t="shared" si="10"/>
        <v>20.888850000000001</v>
      </c>
      <c r="J258" s="56">
        <f t="shared" si="11"/>
        <v>27.641420000000004</v>
      </c>
    </row>
    <row r="259" spans="1:10" ht="18">
      <c r="A259" s="49">
        <v>2063</v>
      </c>
      <c r="B259" s="49" t="s">
        <v>1269</v>
      </c>
      <c r="D259" s="49">
        <v>9.9879999999999995</v>
      </c>
      <c r="E259" s="49">
        <v>20.348000000000003</v>
      </c>
      <c r="F259" s="49">
        <v>15.168000000000001</v>
      </c>
      <c r="G259" s="54">
        <v>4.95</v>
      </c>
      <c r="H259" s="56">
        <f t="shared" ref="H259:H322" si="12">G259*D259</f>
        <v>49.440599999999996</v>
      </c>
      <c r="I259" s="57">
        <f t="shared" ref="I259:I322" si="13">G259*F259</f>
        <v>75.081600000000009</v>
      </c>
      <c r="J259" s="56">
        <f t="shared" ref="J259:J322" si="14">G259*E259</f>
        <v>100.72260000000001</v>
      </c>
    </row>
    <row r="260" spans="1:10" ht="18">
      <c r="A260" s="49">
        <v>2064</v>
      </c>
      <c r="B260" s="49" t="s">
        <v>1270</v>
      </c>
      <c r="D260" s="49">
        <v>10.331999999999999</v>
      </c>
      <c r="E260" s="49">
        <v>15.276000000000002</v>
      </c>
      <c r="F260" s="49">
        <v>12.804</v>
      </c>
      <c r="G260" s="54">
        <v>-1.36</v>
      </c>
      <c r="H260" s="56">
        <f t="shared" si="12"/>
        <v>-14.05152</v>
      </c>
      <c r="I260" s="57">
        <f t="shared" si="13"/>
        <v>-17.413440000000001</v>
      </c>
      <c r="J260" s="56">
        <f t="shared" si="14"/>
        <v>-20.775360000000003</v>
      </c>
    </row>
    <row r="261" spans="1:10" ht="18">
      <c r="A261" s="49">
        <v>2065</v>
      </c>
      <c r="B261" s="49" t="s">
        <v>1271</v>
      </c>
      <c r="D261" s="49">
        <v>9.8320000000000007</v>
      </c>
      <c r="E261" s="49">
        <v>12.956</v>
      </c>
      <c r="F261" s="49">
        <v>11.394</v>
      </c>
      <c r="G261" s="54">
        <v>5.12</v>
      </c>
      <c r="H261" s="56">
        <f t="shared" si="12"/>
        <v>50.339840000000002</v>
      </c>
      <c r="I261" s="57">
        <f t="shared" si="13"/>
        <v>58.33728</v>
      </c>
      <c r="J261" s="56">
        <f t="shared" si="14"/>
        <v>66.334720000000004</v>
      </c>
    </row>
    <row r="262" spans="1:10" ht="18">
      <c r="A262" s="49">
        <v>2066</v>
      </c>
      <c r="B262" s="49" t="s">
        <v>1272</v>
      </c>
      <c r="D262" s="49">
        <v>13.412000000000001</v>
      </c>
      <c r="E262" s="49">
        <v>23.698</v>
      </c>
      <c r="F262" s="49">
        <v>18.555</v>
      </c>
      <c r="G262" s="54">
        <v>8.08</v>
      </c>
      <c r="H262" s="56">
        <f t="shared" si="12"/>
        <v>108.36896</v>
      </c>
      <c r="I262" s="57">
        <f t="shared" si="13"/>
        <v>149.92439999999999</v>
      </c>
      <c r="J262" s="56">
        <f t="shared" si="14"/>
        <v>191.47984</v>
      </c>
    </row>
    <row r="263" spans="1:10" ht="18">
      <c r="A263" s="49">
        <v>2067</v>
      </c>
      <c r="B263" s="49" t="s">
        <v>1273</v>
      </c>
      <c r="D263" s="49">
        <v>0</v>
      </c>
      <c r="E263" s="49">
        <v>0</v>
      </c>
      <c r="F263" s="49">
        <v>0</v>
      </c>
      <c r="G263" s="54">
        <v>-0.76</v>
      </c>
      <c r="H263" s="56">
        <f t="shared" si="12"/>
        <v>0</v>
      </c>
      <c r="I263" s="57">
        <f t="shared" si="13"/>
        <v>0</v>
      </c>
      <c r="J263" s="56">
        <f t="shared" si="14"/>
        <v>0</v>
      </c>
    </row>
    <row r="264" spans="1:10" ht="18">
      <c r="A264" s="49">
        <v>2069</v>
      </c>
      <c r="B264" s="49" t="s">
        <v>498</v>
      </c>
      <c r="D264" s="49">
        <v>10.452000000000002</v>
      </c>
      <c r="E264" s="49">
        <v>10.452000000000002</v>
      </c>
      <c r="F264" s="49">
        <v>10.452000000000002</v>
      </c>
      <c r="G264" s="54">
        <v>-0.9</v>
      </c>
      <c r="H264" s="56">
        <f t="shared" si="12"/>
        <v>-9.4068000000000023</v>
      </c>
      <c r="I264" s="57">
        <f t="shared" si="13"/>
        <v>-9.4068000000000023</v>
      </c>
      <c r="J264" s="56">
        <f t="shared" si="14"/>
        <v>-9.4068000000000023</v>
      </c>
    </row>
    <row r="265" spans="1:10" ht="18">
      <c r="A265" s="49">
        <v>2070</v>
      </c>
      <c r="B265" s="49" t="s">
        <v>1274</v>
      </c>
      <c r="D265" s="49">
        <v>18.137999999999998</v>
      </c>
      <c r="E265" s="49">
        <v>18.137999999999998</v>
      </c>
      <c r="F265" s="49">
        <v>18.137999999999998</v>
      </c>
      <c r="G265" s="54">
        <v>0.67</v>
      </c>
      <c r="H265" s="56">
        <f t="shared" si="12"/>
        <v>12.15246</v>
      </c>
      <c r="I265" s="57">
        <f t="shared" si="13"/>
        <v>12.15246</v>
      </c>
      <c r="J265" s="56">
        <f t="shared" si="14"/>
        <v>12.15246</v>
      </c>
    </row>
    <row r="266" spans="1:10" ht="18">
      <c r="A266" s="49">
        <v>2101</v>
      </c>
      <c r="B266" s="49" t="s">
        <v>499</v>
      </c>
      <c r="D266" s="49">
        <v>24.492000000000001</v>
      </c>
      <c r="E266" s="49">
        <v>30.612000000000002</v>
      </c>
      <c r="F266" s="49">
        <v>27.552</v>
      </c>
      <c r="G266" s="54">
        <v>0.16</v>
      </c>
      <c r="H266" s="56">
        <f t="shared" si="12"/>
        <v>3.9187200000000004</v>
      </c>
      <c r="I266" s="57">
        <f t="shared" si="13"/>
        <v>4.4083199999999998</v>
      </c>
      <c r="J266" s="56">
        <f t="shared" si="14"/>
        <v>4.8979200000000001</v>
      </c>
    </row>
    <row r="267" spans="1:10" ht="18">
      <c r="A267" s="49">
        <v>2102</v>
      </c>
      <c r="B267" s="49" t="s">
        <v>500</v>
      </c>
      <c r="D267" s="49">
        <v>13.076000000000002</v>
      </c>
      <c r="E267" s="49">
        <v>19.399999999999999</v>
      </c>
      <c r="F267" s="49">
        <v>16.238</v>
      </c>
      <c r="G267" s="54">
        <v>-3.76</v>
      </c>
      <c r="H267" s="56">
        <f t="shared" si="12"/>
        <v>-49.165760000000006</v>
      </c>
      <c r="I267" s="57">
        <f t="shared" si="13"/>
        <v>-61.054879999999997</v>
      </c>
      <c r="J267" s="56">
        <f t="shared" si="14"/>
        <v>-72.943999999999988</v>
      </c>
    </row>
    <row r="268" spans="1:10" ht="18">
      <c r="A268" s="49">
        <v>2103</v>
      </c>
      <c r="B268" s="49" t="s">
        <v>501</v>
      </c>
      <c r="D268" s="49">
        <v>8.370000000000001</v>
      </c>
      <c r="E268" s="49">
        <v>23.068000000000001</v>
      </c>
      <c r="F268" s="49">
        <v>15.719000000000001</v>
      </c>
      <c r="G268" s="54">
        <v>0.82</v>
      </c>
      <c r="H268" s="56">
        <f t="shared" si="12"/>
        <v>6.8634000000000004</v>
      </c>
      <c r="I268" s="57">
        <f t="shared" si="13"/>
        <v>12.88958</v>
      </c>
      <c r="J268" s="56">
        <f t="shared" si="14"/>
        <v>18.915759999999999</v>
      </c>
    </row>
    <row r="269" spans="1:10" ht="18">
      <c r="A269" s="49">
        <v>2104</v>
      </c>
      <c r="B269" s="49" t="s">
        <v>502</v>
      </c>
      <c r="D269" s="49">
        <v>8.7259999999999991</v>
      </c>
      <c r="E269" s="49">
        <v>16.218</v>
      </c>
      <c r="F269" s="49">
        <v>12.472</v>
      </c>
      <c r="G269" s="54">
        <v>-0.51</v>
      </c>
      <c r="H269" s="56">
        <f t="shared" si="12"/>
        <v>-4.4502599999999992</v>
      </c>
      <c r="I269" s="57">
        <f t="shared" si="13"/>
        <v>-6.3607199999999997</v>
      </c>
      <c r="J269" s="56">
        <f t="shared" si="14"/>
        <v>-8.2711799999999993</v>
      </c>
    </row>
    <row r="270" spans="1:10" ht="18">
      <c r="A270" s="49">
        <v>2105</v>
      </c>
      <c r="B270" s="49" t="s">
        <v>503</v>
      </c>
      <c r="D270" s="49">
        <v>11.603999999999999</v>
      </c>
      <c r="E270" s="49">
        <v>28.32</v>
      </c>
      <c r="F270" s="49">
        <v>19.962</v>
      </c>
      <c r="G270" s="54">
        <v>2.2200000000000002</v>
      </c>
      <c r="H270" s="56">
        <f t="shared" si="12"/>
        <v>25.76088</v>
      </c>
      <c r="I270" s="57">
        <f t="shared" si="13"/>
        <v>44.315640000000002</v>
      </c>
      <c r="J270" s="56">
        <f t="shared" si="14"/>
        <v>62.870400000000004</v>
      </c>
    </row>
    <row r="271" spans="1:10" ht="18">
      <c r="A271" s="49">
        <v>2106</v>
      </c>
      <c r="B271" s="49" t="s">
        <v>504</v>
      </c>
      <c r="D271" s="49">
        <v>10.436</v>
      </c>
      <c r="E271" s="49">
        <v>23.163999999999998</v>
      </c>
      <c r="F271" s="49">
        <v>16.799999999999997</v>
      </c>
      <c r="G271" s="54">
        <v>0.94</v>
      </c>
      <c r="H271" s="56">
        <f t="shared" si="12"/>
        <v>9.8098399999999994</v>
      </c>
      <c r="I271" s="57">
        <f t="shared" si="13"/>
        <v>15.791999999999996</v>
      </c>
      <c r="J271" s="56">
        <f t="shared" si="14"/>
        <v>21.774159999999998</v>
      </c>
    </row>
    <row r="272" spans="1:10" ht="18">
      <c r="A272" s="49">
        <v>2107</v>
      </c>
      <c r="B272" s="49" t="s">
        <v>505</v>
      </c>
      <c r="D272" s="49">
        <v>6.855999999999999</v>
      </c>
      <c r="E272" s="49">
        <v>20.342000000000002</v>
      </c>
      <c r="F272" s="49">
        <v>13.599</v>
      </c>
      <c r="G272" s="54">
        <v>1.61</v>
      </c>
      <c r="H272" s="56">
        <f t="shared" si="12"/>
        <v>11.03816</v>
      </c>
      <c r="I272" s="57">
        <f t="shared" si="13"/>
        <v>21.894390000000001</v>
      </c>
      <c r="J272" s="56">
        <f t="shared" si="14"/>
        <v>32.750620000000005</v>
      </c>
    </row>
    <row r="273" spans="1:10" ht="18">
      <c r="A273" s="49">
        <v>2108</v>
      </c>
      <c r="B273" s="49" t="s">
        <v>506</v>
      </c>
      <c r="D273" s="49">
        <v>7.6840000000000002</v>
      </c>
      <c r="E273" s="49">
        <v>23.788</v>
      </c>
      <c r="F273" s="49">
        <v>15.736000000000001</v>
      </c>
      <c r="G273" s="54">
        <v>1.45</v>
      </c>
      <c r="H273" s="56">
        <f t="shared" si="12"/>
        <v>11.1418</v>
      </c>
      <c r="I273" s="57">
        <f t="shared" si="13"/>
        <v>22.8172</v>
      </c>
      <c r="J273" s="56">
        <f t="shared" si="14"/>
        <v>34.492599999999996</v>
      </c>
    </row>
    <row r="274" spans="1:10" ht="18">
      <c r="A274" s="49">
        <v>2109</v>
      </c>
      <c r="B274" s="49" t="s">
        <v>507</v>
      </c>
      <c r="D274" s="49">
        <v>11.391999999999999</v>
      </c>
      <c r="E274" s="49">
        <v>17.707999999999998</v>
      </c>
      <c r="F274" s="49">
        <v>14.549999999999999</v>
      </c>
      <c r="G274" s="54">
        <v>1.51</v>
      </c>
      <c r="H274" s="56">
        <f t="shared" si="12"/>
        <v>17.201919999999998</v>
      </c>
      <c r="I274" s="57">
        <f t="shared" si="13"/>
        <v>21.970499999999998</v>
      </c>
      <c r="J274" s="56">
        <f t="shared" si="14"/>
        <v>26.739079999999998</v>
      </c>
    </row>
    <row r="275" spans="1:10" ht="18">
      <c r="A275" s="49">
        <v>2114</v>
      </c>
      <c r="B275" s="49" t="s">
        <v>508</v>
      </c>
      <c r="D275" s="49">
        <v>8.58</v>
      </c>
      <c r="E275" s="49">
        <v>17.23</v>
      </c>
      <c r="F275" s="49">
        <v>12.905000000000001</v>
      </c>
      <c r="G275" s="54">
        <v>6.02</v>
      </c>
      <c r="H275" s="56">
        <f t="shared" si="12"/>
        <v>51.651599999999995</v>
      </c>
      <c r="I275" s="57">
        <f t="shared" si="13"/>
        <v>77.688100000000006</v>
      </c>
      <c r="J275" s="56">
        <f t="shared" si="14"/>
        <v>103.7246</v>
      </c>
    </row>
    <row r="276" spans="1:10" ht="18">
      <c r="A276" s="49">
        <v>2115</v>
      </c>
      <c r="B276" s="49" t="s">
        <v>509</v>
      </c>
      <c r="D276" s="49">
        <v>10.584</v>
      </c>
      <c r="E276" s="49">
        <v>18.901999999999997</v>
      </c>
      <c r="F276" s="49">
        <v>14.742999999999999</v>
      </c>
      <c r="G276" s="54">
        <v>1.76</v>
      </c>
      <c r="H276" s="56">
        <f t="shared" si="12"/>
        <v>18.627839999999999</v>
      </c>
      <c r="I276" s="57">
        <f t="shared" si="13"/>
        <v>25.947679999999998</v>
      </c>
      <c r="J276" s="56">
        <f t="shared" si="14"/>
        <v>33.267519999999998</v>
      </c>
    </row>
    <row r="277" spans="1:10" ht="18">
      <c r="A277" s="49">
        <v>2201</v>
      </c>
      <c r="B277" s="49" t="s">
        <v>510</v>
      </c>
      <c r="D277" s="49">
        <v>15.092000000000002</v>
      </c>
      <c r="E277" s="49">
        <v>28.842000000000002</v>
      </c>
      <c r="F277" s="49">
        <v>21.967000000000002</v>
      </c>
      <c r="G277" s="54">
        <v>4.63</v>
      </c>
      <c r="H277" s="56">
        <f t="shared" si="12"/>
        <v>69.875960000000006</v>
      </c>
      <c r="I277" s="57">
        <f t="shared" si="13"/>
        <v>101.70721</v>
      </c>
      <c r="J277" s="56">
        <f t="shared" si="14"/>
        <v>133.53846000000001</v>
      </c>
    </row>
    <row r="278" spans="1:10" ht="18">
      <c r="A278" s="49">
        <v>2204</v>
      </c>
      <c r="B278" s="49" t="s">
        <v>511</v>
      </c>
      <c r="D278" s="49">
        <v>9.6840000000000011</v>
      </c>
      <c r="E278" s="49">
        <v>17.887999999999998</v>
      </c>
      <c r="F278" s="49">
        <v>13.786</v>
      </c>
      <c r="G278" s="54">
        <v>10.36</v>
      </c>
      <c r="H278" s="56">
        <f t="shared" si="12"/>
        <v>100.32624</v>
      </c>
      <c r="I278" s="57">
        <f t="shared" si="13"/>
        <v>142.82295999999999</v>
      </c>
      <c r="J278" s="56">
        <f t="shared" si="14"/>
        <v>185.31967999999998</v>
      </c>
    </row>
    <row r="279" spans="1:10" ht="18">
      <c r="A279" s="49">
        <v>2206</v>
      </c>
      <c r="B279" s="49" t="s">
        <v>512</v>
      </c>
      <c r="D279" s="49">
        <v>8.9719999999999995</v>
      </c>
      <c r="E279" s="49">
        <v>25.033999999999999</v>
      </c>
      <c r="F279" s="49">
        <v>17.003</v>
      </c>
      <c r="G279" s="54">
        <v>7.95</v>
      </c>
      <c r="H279" s="56">
        <f t="shared" si="12"/>
        <v>71.327399999999997</v>
      </c>
      <c r="I279" s="57">
        <f t="shared" si="13"/>
        <v>135.17385000000002</v>
      </c>
      <c r="J279" s="56">
        <f t="shared" si="14"/>
        <v>199.02029999999999</v>
      </c>
    </row>
    <row r="280" spans="1:10" ht="18">
      <c r="A280" s="49">
        <v>2207</v>
      </c>
      <c r="B280" s="49" t="s">
        <v>513</v>
      </c>
      <c r="D280" s="49">
        <v>12.087999999999999</v>
      </c>
      <c r="E280" s="49">
        <v>27.440000000000005</v>
      </c>
      <c r="F280" s="49">
        <v>19.764000000000003</v>
      </c>
      <c r="G280" s="54">
        <v>40.85</v>
      </c>
      <c r="H280" s="56">
        <f t="shared" si="12"/>
        <v>493.79480000000001</v>
      </c>
      <c r="I280" s="57">
        <f t="shared" si="13"/>
        <v>807.35940000000016</v>
      </c>
      <c r="J280" s="56">
        <f t="shared" si="14"/>
        <v>1120.9240000000002</v>
      </c>
    </row>
    <row r="281" spans="1:10" ht="18">
      <c r="A281" s="49">
        <v>2208</v>
      </c>
      <c r="B281" s="49" t="s">
        <v>514</v>
      </c>
      <c r="D281" s="49">
        <v>13.144</v>
      </c>
      <c r="E281" s="49">
        <v>20.527999999999999</v>
      </c>
      <c r="F281" s="49">
        <v>16.835999999999999</v>
      </c>
      <c r="G281" s="54">
        <v>-4.32</v>
      </c>
      <c r="H281" s="56">
        <f t="shared" si="12"/>
        <v>-56.782080000000008</v>
      </c>
      <c r="I281" s="57">
        <f t="shared" si="13"/>
        <v>-72.731520000000003</v>
      </c>
      <c r="J281" s="56">
        <f t="shared" si="14"/>
        <v>-88.680959999999999</v>
      </c>
    </row>
    <row r="282" spans="1:10" ht="18">
      <c r="A282" s="49">
        <v>2211</v>
      </c>
      <c r="B282" s="49" t="s">
        <v>515</v>
      </c>
      <c r="D282" s="49">
        <v>0</v>
      </c>
      <c r="E282" s="49">
        <v>0</v>
      </c>
      <c r="F282" s="49">
        <v>0</v>
      </c>
      <c r="G282" s="54" t="s">
        <v>271</v>
      </c>
      <c r="H282" s="56" t="e">
        <f t="shared" si="12"/>
        <v>#VALUE!</v>
      </c>
      <c r="I282" s="57" t="e">
        <f t="shared" si="13"/>
        <v>#VALUE!</v>
      </c>
      <c r="J282" s="56" t="e">
        <f t="shared" si="14"/>
        <v>#VALUE!</v>
      </c>
    </row>
    <row r="283" spans="1:10" ht="18">
      <c r="A283" s="49">
        <v>2221</v>
      </c>
      <c r="B283" s="49" t="s">
        <v>1275</v>
      </c>
      <c r="D283" s="49">
        <v>8.76</v>
      </c>
      <c r="E283" s="49">
        <v>14.832000000000003</v>
      </c>
      <c r="F283" s="49">
        <v>11.796000000000001</v>
      </c>
      <c r="G283" s="54">
        <v>2.0499999999999998</v>
      </c>
      <c r="H283" s="56">
        <f t="shared" si="12"/>
        <v>17.957999999999998</v>
      </c>
      <c r="I283" s="57">
        <f t="shared" si="13"/>
        <v>24.181799999999999</v>
      </c>
      <c r="J283" s="56">
        <f t="shared" si="14"/>
        <v>30.405600000000003</v>
      </c>
    </row>
    <row r="284" spans="1:10" ht="18">
      <c r="A284" s="49">
        <v>2227</v>
      </c>
      <c r="B284" s="49" t="s">
        <v>516</v>
      </c>
      <c r="D284" s="49">
        <v>11.39</v>
      </c>
      <c r="E284" s="49">
        <v>20.305999999999997</v>
      </c>
      <c r="F284" s="49">
        <v>15.847999999999999</v>
      </c>
      <c r="G284" s="54">
        <v>3.87</v>
      </c>
      <c r="H284" s="56">
        <f t="shared" si="12"/>
        <v>44.079300000000003</v>
      </c>
      <c r="I284" s="57">
        <f t="shared" si="13"/>
        <v>61.331759999999996</v>
      </c>
      <c r="J284" s="56">
        <f t="shared" si="14"/>
        <v>78.584219999999988</v>
      </c>
    </row>
    <row r="285" spans="1:10" ht="18">
      <c r="A285" s="49">
        <v>2228</v>
      </c>
      <c r="B285" s="49" t="s">
        <v>517</v>
      </c>
      <c r="D285" s="49">
        <v>14.440000000000001</v>
      </c>
      <c r="E285" s="49">
        <v>23.25</v>
      </c>
      <c r="F285" s="49">
        <v>18.844999999999999</v>
      </c>
      <c r="G285" s="54">
        <v>6.78</v>
      </c>
      <c r="H285" s="56">
        <f t="shared" si="12"/>
        <v>97.903200000000012</v>
      </c>
      <c r="I285" s="57">
        <f t="shared" si="13"/>
        <v>127.76909999999999</v>
      </c>
      <c r="J285" s="56">
        <f t="shared" si="14"/>
        <v>157.63500000000002</v>
      </c>
    </row>
    <row r="286" spans="1:10" ht="18">
      <c r="A286" s="49">
        <v>2230</v>
      </c>
      <c r="B286" s="49" t="s">
        <v>1276</v>
      </c>
      <c r="D286" s="49">
        <v>0</v>
      </c>
      <c r="E286" s="49">
        <v>0</v>
      </c>
      <c r="F286" s="49">
        <v>0</v>
      </c>
      <c r="G286" s="54">
        <v>2.62</v>
      </c>
      <c r="H286" s="56">
        <f t="shared" si="12"/>
        <v>0</v>
      </c>
      <c r="I286" s="57">
        <f t="shared" si="13"/>
        <v>0</v>
      </c>
      <c r="J286" s="56">
        <f t="shared" si="14"/>
        <v>0</v>
      </c>
    </row>
    <row r="287" spans="1:10" ht="18">
      <c r="A287" s="49">
        <v>2231</v>
      </c>
      <c r="B287" s="49" t="s">
        <v>518</v>
      </c>
      <c r="D287" s="49">
        <v>18.010000000000002</v>
      </c>
      <c r="E287" s="49">
        <v>29.661999999999999</v>
      </c>
      <c r="F287" s="49">
        <v>23.835999999999999</v>
      </c>
      <c r="G287" s="54">
        <v>3.15</v>
      </c>
      <c r="H287" s="56">
        <f t="shared" si="12"/>
        <v>56.731500000000004</v>
      </c>
      <c r="I287" s="57">
        <f t="shared" si="13"/>
        <v>75.083399999999997</v>
      </c>
      <c r="J287" s="56">
        <f t="shared" si="14"/>
        <v>93.435299999999998</v>
      </c>
    </row>
    <row r="288" spans="1:10" ht="18">
      <c r="A288" s="49">
        <v>2233</v>
      </c>
      <c r="B288" s="49" t="s">
        <v>519</v>
      </c>
      <c r="D288" s="49">
        <v>10.446000000000002</v>
      </c>
      <c r="E288" s="49">
        <v>17.07</v>
      </c>
      <c r="F288" s="49">
        <v>13.758000000000001</v>
      </c>
      <c r="G288" s="54">
        <v>8.86</v>
      </c>
      <c r="H288" s="56">
        <f t="shared" si="12"/>
        <v>92.551560000000009</v>
      </c>
      <c r="I288" s="57">
        <f t="shared" si="13"/>
        <v>121.89588000000001</v>
      </c>
      <c r="J288" s="56">
        <f t="shared" si="14"/>
        <v>151.24019999999999</v>
      </c>
    </row>
    <row r="289" spans="1:10" ht="18">
      <c r="A289" s="49">
        <v>2235</v>
      </c>
      <c r="B289" s="49" t="s">
        <v>1277</v>
      </c>
      <c r="D289" s="49">
        <v>16.354000000000003</v>
      </c>
      <c r="E289" s="49">
        <v>24.573999999999998</v>
      </c>
      <c r="F289" s="49">
        <v>20.463999999999999</v>
      </c>
      <c r="G289" s="54">
        <v>2.42</v>
      </c>
      <c r="H289" s="56">
        <f t="shared" si="12"/>
        <v>39.576680000000003</v>
      </c>
      <c r="I289" s="57">
        <f t="shared" si="13"/>
        <v>49.522879999999994</v>
      </c>
      <c r="J289" s="56">
        <f t="shared" si="14"/>
        <v>59.469079999999991</v>
      </c>
    </row>
    <row r="290" spans="1:10" ht="18">
      <c r="A290" s="49">
        <v>2236</v>
      </c>
      <c r="B290" s="49" t="s">
        <v>520</v>
      </c>
      <c r="D290" s="49">
        <v>12.6</v>
      </c>
      <c r="E290" s="49">
        <v>20.371999999999996</v>
      </c>
      <c r="F290" s="49">
        <v>16.485999999999997</v>
      </c>
      <c r="G290" s="54">
        <v>2.99</v>
      </c>
      <c r="H290" s="56">
        <f t="shared" si="12"/>
        <v>37.673999999999999</v>
      </c>
      <c r="I290" s="57">
        <f t="shared" si="13"/>
        <v>49.293139999999994</v>
      </c>
      <c r="J290" s="56">
        <f t="shared" si="14"/>
        <v>60.912279999999996</v>
      </c>
    </row>
    <row r="291" spans="1:10" ht="18">
      <c r="A291" s="49">
        <v>2239</v>
      </c>
      <c r="B291" s="49" t="s">
        <v>521</v>
      </c>
      <c r="D291" s="49">
        <v>14.398000000000001</v>
      </c>
      <c r="E291" s="49">
        <v>26.423999999999999</v>
      </c>
      <c r="F291" s="49">
        <v>20.411000000000001</v>
      </c>
      <c r="G291" s="54">
        <v>1.41</v>
      </c>
      <c r="H291" s="56">
        <f t="shared" si="12"/>
        <v>20.301180000000002</v>
      </c>
      <c r="I291" s="57">
        <f t="shared" si="13"/>
        <v>28.779510000000002</v>
      </c>
      <c r="J291" s="56">
        <f t="shared" si="14"/>
        <v>37.257839999999995</v>
      </c>
    </row>
    <row r="292" spans="1:10" ht="18">
      <c r="A292" s="49">
        <v>2241</v>
      </c>
      <c r="B292" s="49" t="s">
        <v>522</v>
      </c>
      <c r="D292" s="49">
        <v>0</v>
      </c>
      <c r="E292" s="49">
        <v>0</v>
      </c>
      <c r="F292" s="49">
        <v>0</v>
      </c>
      <c r="G292" s="54" t="s">
        <v>271</v>
      </c>
      <c r="H292" s="56" t="e">
        <f t="shared" si="12"/>
        <v>#VALUE!</v>
      </c>
      <c r="I292" s="57" t="e">
        <f t="shared" si="13"/>
        <v>#VALUE!</v>
      </c>
      <c r="J292" s="56" t="e">
        <f t="shared" si="14"/>
        <v>#VALUE!</v>
      </c>
    </row>
    <row r="293" spans="1:10" ht="18">
      <c r="A293" s="49">
        <v>2243</v>
      </c>
      <c r="B293" s="49" t="s">
        <v>523</v>
      </c>
      <c r="D293" s="49">
        <v>0</v>
      </c>
      <c r="E293" s="49">
        <v>0</v>
      </c>
      <c r="F293" s="49">
        <v>0</v>
      </c>
      <c r="G293" s="54">
        <v>-2.21</v>
      </c>
      <c r="H293" s="56">
        <f t="shared" si="12"/>
        <v>0</v>
      </c>
      <c r="I293" s="57">
        <f t="shared" si="13"/>
        <v>0</v>
      </c>
      <c r="J293" s="56">
        <f t="shared" si="14"/>
        <v>0</v>
      </c>
    </row>
    <row r="294" spans="1:10" ht="18">
      <c r="A294" s="49">
        <v>2247</v>
      </c>
      <c r="B294" s="49" t="s">
        <v>524</v>
      </c>
      <c r="D294" s="49">
        <v>0</v>
      </c>
      <c r="E294" s="49">
        <v>0</v>
      </c>
      <c r="F294" s="49">
        <v>0</v>
      </c>
      <c r="G294" s="54" t="s">
        <v>271</v>
      </c>
      <c r="H294" s="56" t="e">
        <f t="shared" si="12"/>
        <v>#VALUE!</v>
      </c>
      <c r="I294" s="57" t="e">
        <f t="shared" si="13"/>
        <v>#VALUE!</v>
      </c>
      <c r="J294" s="56" t="e">
        <f t="shared" si="14"/>
        <v>#VALUE!</v>
      </c>
    </row>
    <row r="295" spans="1:10" ht="18">
      <c r="A295" s="49">
        <v>2250</v>
      </c>
      <c r="B295" s="49" t="s">
        <v>525</v>
      </c>
      <c r="D295" s="49">
        <v>0</v>
      </c>
      <c r="E295" s="49">
        <v>0</v>
      </c>
      <c r="F295" s="49">
        <v>0</v>
      </c>
      <c r="G295" s="54" t="s">
        <v>271</v>
      </c>
      <c r="H295" s="56" t="e">
        <f t="shared" si="12"/>
        <v>#VALUE!</v>
      </c>
      <c r="I295" s="57" t="e">
        <f t="shared" si="13"/>
        <v>#VALUE!</v>
      </c>
      <c r="J295" s="56" t="e">
        <f t="shared" si="14"/>
        <v>#VALUE!</v>
      </c>
    </row>
    <row r="296" spans="1:10" ht="18">
      <c r="A296" s="49">
        <v>2301</v>
      </c>
      <c r="B296" s="49" t="s">
        <v>526</v>
      </c>
      <c r="D296" s="49">
        <v>9.9239999999999995</v>
      </c>
      <c r="E296" s="49">
        <v>19.990000000000002</v>
      </c>
      <c r="F296" s="49">
        <v>14.957000000000001</v>
      </c>
      <c r="G296" s="54">
        <v>6.36</v>
      </c>
      <c r="H296" s="56">
        <f t="shared" si="12"/>
        <v>63.116639999999997</v>
      </c>
      <c r="I296" s="57">
        <f t="shared" si="13"/>
        <v>95.126520000000014</v>
      </c>
      <c r="J296" s="56">
        <f t="shared" si="14"/>
        <v>127.13640000000002</v>
      </c>
    </row>
    <row r="297" spans="1:10" ht="18">
      <c r="A297" s="49">
        <v>2302</v>
      </c>
      <c r="B297" s="49" t="s">
        <v>527</v>
      </c>
      <c r="D297" s="49">
        <v>20.838000000000001</v>
      </c>
      <c r="E297" s="49">
        <v>20.838000000000001</v>
      </c>
      <c r="F297" s="49">
        <v>20.838000000000001</v>
      </c>
      <c r="G297" s="54">
        <v>0.52</v>
      </c>
      <c r="H297" s="56">
        <f t="shared" si="12"/>
        <v>10.835760000000001</v>
      </c>
      <c r="I297" s="57">
        <f t="shared" si="13"/>
        <v>10.835760000000001</v>
      </c>
      <c r="J297" s="56">
        <f t="shared" si="14"/>
        <v>10.835760000000001</v>
      </c>
    </row>
    <row r="298" spans="1:10" ht="18">
      <c r="A298" s="49">
        <v>2303</v>
      </c>
      <c r="B298" s="49" t="s">
        <v>528</v>
      </c>
      <c r="D298" s="49">
        <v>9.1959999999999997</v>
      </c>
      <c r="E298" s="49">
        <v>24.823999999999998</v>
      </c>
      <c r="F298" s="49">
        <v>17.009999999999998</v>
      </c>
      <c r="G298" s="54">
        <v>4.93</v>
      </c>
      <c r="H298" s="56">
        <f t="shared" si="12"/>
        <v>45.336279999999995</v>
      </c>
      <c r="I298" s="57">
        <f t="shared" si="13"/>
        <v>83.85929999999999</v>
      </c>
      <c r="J298" s="56">
        <f t="shared" si="14"/>
        <v>122.38231999999998</v>
      </c>
    </row>
    <row r="299" spans="1:10" ht="18">
      <c r="A299" s="49">
        <v>2305</v>
      </c>
      <c r="B299" s="49" t="s">
        <v>529</v>
      </c>
      <c r="D299" s="49">
        <v>10.103999999999999</v>
      </c>
      <c r="E299" s="49">
        <v>13.878</v>
      </c>
      <c r="F299" s="49">
        <v>11.991</v>
      </c>
      <c r="G299" s="54">
        <v>0.03</v>
      </c>
      <c r="H299" s="56">
        <f t="shared" si="12"/>
        <v>0.30311999999999995</v>
      </c>
      <c r="I299" s="57">
        <f t="shared" si="13"/>
        <v>0.35972999999999999</v>
      </c>
      <c r="J299" s="56">
        <f t="shared" si="14"/>
        <v>0.41633999999999999</v>
      </c>
    </row>
    <row r="300" spans="1:10" ht="18">
      <c r="A300" s="49">
        <v>2308</v>
      </c>
      <c r="B300" s="49" t="s">
        <v>530</v>
      </c>
      <c r="D300" s="49">
        <v>15.306000000000001</v>
      </c>
      <c r="E300" s="49">
        <v>25.764000000000003</v>
      </c>
      <c r="F300" s="49">
        <v>20.535000000000004</v>
      </c>
      <c r="G300" s="54">
        <v>12.86</v>
      </c>
      <c r="H300" s="56">
        <f t="shared" si="12"/>
        <v>196.83516</v>
      </c>
      <c r="I300" s="57">
        <f t="shared" si="13"/>
        <v>264.08010000000002</v>
      </c>
      <c r="J300" s="56">
        <f t="shared" si="14"/>
        <v>331.32504</v>
      </c>
    </row>
    <row r="301" spans="1:10" ht="18">
      <c r="A301" s="49">
        <v>2312</v>
      </c>
      <c r="B301" s="49" t="s">
        <v>531</v>
      </c>
      <c r="D301" s="49">
        <v>12.724</v>
      </c>
      <c r="E301" s="49">
        <v>26.681999999999999</v>
      </c>
      <c r="F301" s="49">
        <v>19.702999999999999</v>
      </c>
      <c r="G301" s="54">
        <v>0.51</v>
      </c>
      <c r="H301" s="56">
        <f t="shared" si="12"/>
        <v>6.4892400000000006</v>
      </c>
      <c r="I301" s="57">
        <f t="shared" si="13"/>
        <v>10.04853</v>
      </c>
      <c r="J301" s="56">
        <f t="shared" si="14"/>
        <v>13.60782</v>
      </c>
    </row>
    <row r="302" spans="1:10" ht="18">
      <c r="A302" s="49">
        <v>2313</v>
      </c>
      <c r="B302" s="49" t="s">
        <v>532</v>
      </c>
      <c r="D302" s="49">
        <v>9.0659999999999989</v>
      </c>
      <c r="E302" s="49">
        <v>17.044000000000004</v>
      </c>
      <c r="F302" s="49">
        <v>13.055000000000001</v>
      </c>
      <c r="G302" s="54">
        <v>3.5</v>
      </c>
      <c r="H302" s="56">
        <f t="shared" si="12"/>
        <v>31.730999999999995</v>
      </c>
      <c r="I302" s="57">
        <f t="shared" si="13"/>
        <v>45.692500000000003</v>
      </c>
      <c r="J302" s="56">
        <f t="shared" si="14"/>
        <v>59.654000000000011</v>
      </c>
    </row>
    <row r="303" spans="1:10" ht="18">
      <c r="A303" s="49">
        <v>2314</v>
      </c>
      <c r="B303" s="49" t="s">
        <v>533</v>
      </c>
      <c r="D303" s="49">
        <v>0</v>
      </c>
      <c r="E303" s="49">
        <v>0</v>
      </c>
      <c r="F303" s="49">
        <v>0</v>
      </c>
      <c r="G303" s="54">
        <v>-2.6</v>
      </c>
      <c r="H303" s="56">
        <f t="shared" si="12"/>
        <v>0</v>
      </c>
      <c r="I303" s="57">
        <f t="shared" si="13"/>
        <v>0</v>
      </c>
      <c r="J303" s="56">
        <f t="shared" si="14"/>
        <v>0</v>
      </c>
    </row>
    <row r="304" spans="1:10" ht="18">
      <c r="A304" s="49">
        <v>2316</v>
      </c>
      <c r="B304" s="49" t="s">
        <v>534</v>
      </c>
      <c r="D304" s="49">
        <v>7.8280000000000003</v>
      </c>
      <c r="E304" s="49">
        <v>20.527999999999999</v>
      </c>
      <c r="F304" s="49">
        <v>14.177999999999999</v>
      </c>
      <c r="G304" s="54">
        <v>4.6100000000000003</v>
      </c>
      <c r="H304" s="56">
        <f t="shared" si="12"/>
        <v>36.087080000000007</v>
      </c>
      <c r="I304" s="57">
        <f t="shared" si="13"/>
        <v>65.360579999999999</v>
      </c>
      <c r="J304" s="56">
        <f t="shared" si="14"/>
        <v>94.634079999999997</v>
      </c>
    </row>
    <row r="305" spans="1:10" ht="18">
      <c r="A305" s="49">
        <v>2317</v>
      </c>
      <c r="B305" s="49" t="s">
        <v>535</v>
      </c>
      <c r="D305" s="49">
        <v>8.2860000000000014</v>
      </c>
      <c r="E305" s="49">
        <v>15.864000000000001</v>
      </c>
      <c r="F305" s="49">
        <v>12.075000000000001</v>
      </c>
      <c r="G305" s="54">
        <v>10.25</v>
      </c>
      <c r="H305" s="56">
        <f t="shared" si="12"/>
        <v>84.931500000000014</v>
      </c>
      <c r="I305" s="57">
        <f t="shared" si="13"/>
        <v>123.76875000000001</v>
      </c>
      <c r="J305" s="56">
        <f t="shared" si="14"/>
        <v>162.60599999999999</v>
      </c>
    </row>
    <row r="306" spans="1:10" ht="18">
      <c r="A306" s="49">
        <v>2321</v>
      </c>
      <c r="B306" s="49" t="s">
        <v>536</v>
      </c>
      <c r="D306" s="49">
        <v>0</v>
      </c>
      <c r="E306" s="49">
        <v>0</v>
      </c>
      <c r="F306" s="49">
        <v>0</v>
      </c>
      <c r="G306" s="54">
        <v>-2.6</v>
      </c>
      <c r="H306" s="56">
        <f t="shared" si="12"/>
        <v>0</v>
      </c>
      <c r="I306" s="57">
        <f t="shared" si="13"/>
        <v>0</v>
      </c>
      <c r="J306" s="56">
        <f t="shared" si="14"/>
        <v>0</v>
      </c>
    </row>
    <row r="307" spans="1:10" ht="18">
      <c r="A307" s="49">
        <v>2323</v>
      </c>
      <c r="B307" s="49" t="s">
        <v>537</v>
      </c>
      <c r="D307" s="49">
        <v>0</v>
      </c>
      <c r="E307" s="49">
        <v>0</v>
      </c>
      <c r="F307" s="49">
        <v>0</v>
      </c>
      <c r="G307" s="54">
        <v>1.61</v>
      </c>
      <c r="H307" s="56">
        <f t="shared" si="12"/>
        <v>0</v>
      </c>
      <c r="I307" s="57">
        <f t="shared" si="13"/>
        <v>0</v>
      </c>
      <c r="J307" s="56">
        <f t="shared" si="14"/>
        <v>0</v>
      </c>
    </row>
    <row r="308" spans="1:10" ht="18">
      <c r="A308" s="49">
        <v>2324</v>
      </c>
      <c r="B308" s="49" t="s">
        <v>538</v>
      </c>
      <c r="D308" s="49">
        <v>6.8819999999999997</v>
      </c>
      <c r="E308" s="49">
        <v>16.881999999999998</v>
      </c>
      <c r="F308" s="49">
        <v>11.881999999999998</v>
      </c>
      <c r="G308" s="54">
        <v>1.76</v>
      </c>
      <c r="H308" s="56">
        <f t="shared" si="12"/>
        <v>12.112319999999999</v>
      </c>
      <c r="I308" s="57">
        <f t="shared" si="13"/>
        <v>20.912319999999998</v>
      </c>
      <c r="J308" s="56">
        <f t="shared" si="14"/>
        <v>29.712319999999995</v>
      </c>
    </row>
    <row r="309" spans="1:10" ht="18">
      <c r="A309" s="49">
        <v>2327</v>
      </c>
      <c r="B309" s="49" t="s">
        <v>539</v>
      </c>
      <c r="D309" s="49">
        <v>7.354000000000001</v>
      </c>
      <c r="E309" s="49">
        <v>22.566000000000003</v>
      </c>
      <c r="F309" s="49">
        <v>14.96</v>
      </c>
      <c r="G309" s="54">
        <v>41.8</v>
      </c>
      <c r="H309" s="56">
        <f t="shared" si="12"/>
        <v>307.3972</v>
      </c>
      <c r="I309" s="57">
        <f t="shared" si="13"/>
        <v>625.32799999999997</v>
      </c>
      <c r="J309" s="56">
        <f t="shared" si="14"/>
        <v>943.25880000000006</v>
      </c>
    </row>
    <row r="310" spans="1:10" ht="18">
      <c r="A310" s="49">
        <v>2328</v>
      </c>
      <c r="B310" s="49" t="s">
        <v>540</v>
      </c>
      <c r="D310" s="49">
        <v>11.385999999999999</v>
      </c>
      <c r="E310" s="49">
        <v>29.348000000000003</v>
      </c>
      <c r="F310" s="49">
        <v>20.367000000000001</v>
      </c>
      <c r="G310" s="54">
        <v>2.42</v>
      </c>
      <c r="H310" s="56">
        <f t="shared" si="12"/>
        <v>27.554119999999998</v>
      </c>
      <c r="I310" s="57">
        <f t="shared" si="13"/>
        <v>49.288139999999999</v>
      </c>
      <c r="J310" s="56">
        <f t="shared" si="14"/>
        <v>71.02216</v>
      </c>
    </row>
    <row r="311" spans="1:10" ht="18">
      <c r="A311" s="49">
        <v>2329</v>
      </c>
      <c r="B311" s="49" t="s">
        <v>541</v>
      </c>
      <c r="D311" s="49">
        <v>12.302</v>
      </c>
      <c r="E311" s="49">
        <v>19.198</v>
      </c>
      <c r="F311" s="49">
        <v>15.75</v>
      </c>
      <c r="G311" s="54">
        <v>2.66</v>
      </c>
      <c r="H311" s="56">
        <f t="shared" si="12"/>
        <v>32.723320000000001</v>
      </c>
      <c r="I311" s="57">
        <f t="shared" si="13"/>
        <v>41.895000000000003</v>
      </c>
      <c r="J311" s="56">
        <f t="shared" si="14"/>
        <v>51.066680000000005</v>
      </c>
    </row>
    <row r="312" spans="1:10" ht="18">
      <c r="A312" s="49">
        <v>2330</v>
      </c>
      <c r="B312" s="49" t="s">
        <v>542</v>
      </c>
      <c r="D312" s="49">
        <v>12.007999999999999</v>
      </c>
      <c r="E312" s="49">
        <v>24.681999999999999</v>
      </c>
      <c r="F312" s="49">
        <v>18.344999999999999</v>
      </c>
      <c r="G312" s="54">
        <v>32.340000000000003</v>
      </c>
      <c r="H312" s="56">
        <f t="shared" si="12"/>
        <v>388.33872000000002</v>
      </c>
      <c r="I312" s="57">
        <f t="shared" si="13"/>
        <v>593.27730000000008</v>
      </c>
      <c r="J312" s="56">
        <f t="shared" si="14"/>
        <v>798.21588000000008</v>
      </c>
    </row>
    <row r="313" spans="1:10" ht="18">
      <c r="A313" s="49">
        <v>2331</v>
      </c>
      <c r="B313" s="49" t="s">
        <v>543</v>
      </c>
      <c r="D313" s="49">
        <v>8.2960000000000012</v>
      </c>
      <c r="E313" s="49">
        <v>19.595999999999997</v>
      </c>
      <c r="F313" s="49">
        <v>13.945999999999998</v>
      </c>
      <c r="G313" s="54">
        <v>1.82</v>
      </c>
      <c r="H313" s="56">
        <f t="shared" si="12"/>
        <v>15.098720000000002</v>
      </c>
      <c r="I313" s="57">
        <f t="shared" si="13"/>
        <v>25.381719999999998</v>
      </c>
      <c r="J313" s="56">
        <f t="shared" si="14"/>
        <v>35.664719999999996</v>
      </c>
    </row>
    <row r="314" spans="1:10" ht="18">
      <c r="A314" s="49">
        <v>2332</v>
      </c>
      <c r="B314" s="49" t="s">
        <v>544</v>
      </c>
      <c r="D314" s="49">
        <v>11.731999999999999</v>
      </c>
      <c r="E314" s="49">
        <v>24.467999999999996</v>
      </c>
      <c r="F314" s="49">
        <v>18.099999999999998</v>
      </c>
      <c r="G314" s="54">
        <v>0.95</v>
      </c>
      <c r="H314" s="56">
        <f t="shared" si="12"/>
        <v>11.145399999999999</v>
      </c>
      <c r="I314" s="57">
        <f t="shared" si="13"/>
        <v>17.194999999999997</v>
      </c>
      <c r="J314" s="56">
        <f t="shared" si="14"/>
        <v>23.244599999999995</v>
      </c>
    </row>
    <row r="315" spans="1:10" ht="18">
      <c r="A315" s="49">
        <v>2337</v>
      </c>
      <c r="B315" s="49" t="s">
        <v>545</v>
      </c>
      <c r="D315" s="49">
        <v>6.1820000000000004</v>
      </c>
      <c r="E315" s="49">
        <v>15.469999999999999</v>
      </c>
      <c r="F315" s="49">
        <v>10.826000000000001</v>
      </c>
      <c r="G315" s="54">
        <v>-0.92</v>
      </c>
      <c r="H315" s="56">
        <f t="shared" si="12"/>
        <v>-5.6874400000000005</v>
      </c>
      <c r="I315" s="57">
        <f t="shared" si="13"/>
        <v>-9.9599200000000003</v>
      </c>
      <c r="J315" s="56">
        <f t="shared" si="14"/>
        <v>-14.2324</v>
      </c>
    </row>
    <row r="316" spans="1:10" ht="18">
      <c r="A316" s="49">
        <v>2338</v>
      </c>
      <c r="B316" s="49" t="s">
        <v>546</v>
      </c>
      <c r="D316" s="49">
        <v>12.571999999999999</v>
      </c>
      <c r="E316" s="49">
        <v>27.389999999999997</v>
      </c>
      <c r="F316" s="49">
        <v>19.980999999999998</v>
      </c>
      <c r="G316" s="54">
        <v>1.75</v>
      </c>
      <c r="H316" s="56">
        <f t="shared" si="12"/>
        <v>22.000999999999998</v>
      </c>
      <c r="I316" s="57">
        <f t="shared" si="13"/>
        <v>34.966749999999998</v>
      </c>
      <c r="J316" s="56">
        <f t="shared" si="14"/>
        <v>47.932499999999997</v>
      </c>
    </row>
    <row r="317" spans="1:10" ht="18">
      <c r="A317" s="49">
        <v>2340</v>
      </c>
      <c r="B317" s="49" t="s">
        <v>547</v>
      </c>
      <c r="D317" s="49">
        <v>10.842000000000001</v>
      </c>
      <c r="E317" s="49">
        <v>24.524000000000001</v>
      </c>
      <c r="F317" s="49">
        <v>17.683</v>
      </c>
      <c r="G317" s="54">
        <v>0.7</v>
      </c>
      <c r="H317" s="56">
        <f t="shared" si="12"/>
        <v>7.5893999999999995</v>
      </c>
      <c r="I317" s="57">
        <f t="shared" si="13"/>
        <v>12.3781</v>
      </c>
      <c r="J317" s="56">
        <f t="shared" si="14"/>
        <v>17.166799999999999</v>
      </c>
    </row>
    <row r="318" spans="1:10" ht="18">
      <c r="A318" s="49">
        <v>2342</v>
      </c>
      <c r="B318" s="49" t="s">
        <v>548</v>
      </c>
      <c r="D318" s="49">
        <v>17.526</v>
      </c>
      <c r="E318" s="49">
        <v>17.526</v>
      </c>
      <c r="F318" s="49">
        <v>17.526</v>
      </c>
      <c r="G318" s="54">
        <v>-1.1200000000000001</v>
      </c>
      <c r="H318" s="56">
        <f t="shared" si="12"/>
        <v>-19.62912</v>
      </c>
      <c r="I318" s="57">
        <f t="shared" si="13"/>
        <v>-19.62912</v>
      </c>
      <c r="J318" s="56">
        <f t="shared" si="14"/>
        <v>-19.62912</v>
      </c>
    </row>
    <row r="319" spans="1:10" ht="18">
      <c r="A319" s="49">
        <v>2344</v>
      </c>
      <c r="B319" s="49" t="s">
        <v>549</v>
      </c>
      <c r="D319" s="49">
        <v>7.9260000000000002</v>
      </c>
      <c r="E319" s="49">
        <v>19.405999999999999</v>
      </c>
      <c r="F319" s="49">
        <v>13.666</v>
      </c>
      <c r="G319" s="54">
        <v>-0.28999999999999998</v>
      </c>
      <c r="H319" s="56">
        <f t="shared" si="12"/>
        <v>-2.29854</v>
      </c>
      <c r="I319" s="57">
        <f t="shared" si="13"/>
        <v>-3.9631399999999997</v>
      </c>
      <c r="J319" s="56">
        <f t="shared" si="14"/>
        <v>-5.6277399999999993</v>
      </c>
    </row>
    <row r="320" spans="1:10" ht="18">
      <c r="A320" s="49">
        <v>2345</v>
      </c>
      <c r="B320" s="49" t="s">
        <v>550</v>
      </c>
      <c r="D320" s="49">
        <v>11.238</v>
      </c>
      <c r="E320" s="49">
        <v>32.22</v>
      </c>
      <c r="F320" s="49">
        <v>21.728999999999999</v>
      </c>
      <c r="G320" s="54">
        <v>15.99</v>
      </c>
      <c r="H320" s="56">
        <f t="shared" si="12"/>
        <v>179.69561999999999</v>
      </c>
      <c r="I320" s="57">
        <f t="shared" si="13"/>
        <v>347.44671</v>
      </c>
      <c r="J320" s="56">
        <f t="shared" si="14"/>
        <v>515.19780000000003</v>
      </c>
    </row>
    <row r="321" spans="1:10" ht="18">
      <c r="A321" s="49">
        <v>2347</v>
      </c>
      <c r="B321" s="49" t="s">
        <v>551</v>
      </c>
      <c r="D321" s="49">
        <v>8.3239999999999998</v>
      </c>
      <c r="E321" s="49">
        <v>19.64</v>
      </c>
      <c r="F321" s="49">
        <v>13.981999999999999</v>
      </c>
      <c r="G321" s="54">
        <v>4.37</v>
      </c>
      <c r="H321" s="56">
        <f t="shared" si="12"/>
        <v>36.375880000000002</v>
      </c>
      <c r="I321" s="57">
        <f t="shared" si="13"/>
        <v>61.10134</v>
      </c>
      <c r="J321" s="56">
        <f t="shared" si="14"/>
        <v>85.826800000000006</v>
      </c>
    </row>
    <row r="322" spans="1:10" ht="18">
      <c r="A322" s="49">
        <v>2348</v>
      </c>
      <c r="B322" s="49" t="s">
        <v>552</v>
      </c>
      <c r="D322" s="49">
        <v>8.0119999999999987</v>
      </c>
      <c r="E322" s="49">
        <v>16.678000000000001</v>
      </c>
      <c r="F322" s="49">
        <v>12.344999999999999</v>
      </c>
      <c r="G322" s="54">
        <v>13.86</v>
      </c>
      <c r="H322" s="56">
        <f t="shared" si="12"/>
        <v>111.04631999999998</v>
      </c>
      <c r="I322" s="57">
        <f t="shared" si="13"/>
        <v>171.10169999999997</v>
      </c>
      <c r="J322" s="56">
        <f t="shared" si="14"/>
        <v>231.15708000000001</v>
      </c>
    </row>
    <row r="323" spans="1:10" ht="18">
      <c r="A323" s="49">
        <v>2349</v>
      </c>
      <c r="B323" s="49" t="s">
        <v>553</v>
      </c>
      <c r="D323" s="49">
        <v>0</v>
      </c>
      <c r="E323" s="49">
        <v>0</v>
      </c>
      <c r="F323" s="49">
        <v>0</v>
      </c>
      <c r="G323" s="54">
        <v>-0.44</v>
      </c>
      <c r="H323" s="56">
        <f t="shared" ref="H323:H386" si="15">G323*D323</f>
        <v>0</v>
      </c>
      <c r="I323" s="57">
        <f t="shared" ref="I323:I386" si="16">G323*F323</f>
        <v>0</v>
      </c>
      <c r="J323" s="56">
        <f t="shared" ref="J323:J386" si="17">G323*E323</f>
        <v>0</v>
      </c>
    </row>
    <row r="324" spans="1:10" ht="18">
      <c r="A324" s="49">
        <v>2351</v>
      </c>
      <c r="B324" s="49" t="s">
        <v>554</v>
      </c>
      <c r="D324" s="49">
        <v>8.4220000000000006</v>
      </c>
      <c r="E324" s="49">
        <v>20.491999999999997</v>
      </c>
      <c r="F324" s="49">
        <v>14.456999999999999</v>
      </c>
      <c r="G324" s="54">
        <v>4.08</v>
      </c>
      <c r="H324" s="56">
        <f t="shared" si="15"/>
        <v>34.361760000000004</v>
      </c>
      <c r="I324" s="57">
        <f t="shared" si="16"/>
        <v>58.984559999999995</v>
      </c>
      <c r="J324" s="56">
        <f t="shared" si="17"/>
        <v>83.607359999999986</v>
      </c>
    </row>
    <row r="325" spans="1:10" ht="18">
      <c r="A325" s="49">
        <v>2352</v>
      </c>
      <c r="B325" s="49" t="s">
        <v>555</v>
      </c>
      <c r="D325" s="49">
        <v>6.3659999999999997</v>
      </c>
      <c r="E325" s="49">
        <v>16.106000000000002</v>
      </c>
      <c r="F325" s="49">
        <v>11.236000000000001</v>
      </c>
      <c r="G325" s="54">
        <v>1.51</v>
      </c>
      <c r="H325" s="56">
        <f t="shared" si="15"/>
        <v>9.61266</v>
      </c>
      <c r="I325" s="57">
        <f t="shared" si="16"/>
        <v>16.966360000000002</v>
      </c>
      <c r="J325" s="56">
        <f t="shared" si="17"/>
        <v>24.320060000000002</v>
      </c>
    </row>
    <row r="326" spans="1:10" ht="18">
      <c r="A326" s="49">
        <v>2353</v>
      </c>
      <c r="B326" s="49" t="s">
        <v>556</v>
      </c>
      <c r="D326" s="49">
        <v>11.274000000000001</v>
      </c>
      <c r="E326" s="49">
        <v>26.544</v>
      </c>
      <c r="F326" s="49">
        <v>18.908999999999999</v>
      </c>
      <c r="G326" s="54">
        <v>1.64</v>
      </c>
      <c r="H326" s="56">
        <f t="shared" si="15"/>
        <v>18.489360000000001</v>
      </c>
      <c r="I326" s="57">
        <f t="shared" si="16"/>
        <v>31.010759999999998</v>
      </c>
      <c r="J326" s="56">
        <f t="shared" si="17"/>
        <v>43.532159999999998</v>
      </c>
    </row>
    <row r="327" spans="1:10" ht="18">
      <c r="A327" s="49">
        <v>2354</v>
      </c>
      <c r="B327" s="49" t="s">
        <v>557</v>
      </c>
      <c r="D327" s="49">
        <v>9.0239999999999991</v>
      </c>
      <c r="E327" s="49">
        <v>20.437999999999999</v>
      </c>
      <c r="F327" s="49">
        <v>14.730999999999998</v>
      </c>
      <c r="G327" s="54">
        <v>3.01</v>
      </c>
      <c r="H327" s="56">
        <f t="shared" si="15"/>
        <v>27.162239999999997</v>
      </c>
      <c r="I327" s="57">
        <f t="shared" si="16"/>
        <v>44.340309999999988</v>
      </c>
      <c r="J327" s="56">
        <f t="shared" si="17"/>
        <v>61.518379999999993</v>
      </c>
    </row>
    <row r="328" spans="1:10" ht="18">
      <c r="A328" s="49">
        <v>2355</v>
      </c>
      <c r="B328" s="49" t="s">
        <v>558</v>
      </c>
      <c r="D328" s="49">
        <v>7.2939999999999996</v>
      </c>
      <c r="E328" s="49">
        <v>26.106000000000002</v>
      </c>
      <c r="F328" s="49">
        <v>16.7</v>
      </c>
      <c r="G328" s="54">
        <v>1.92</v>
      </c>
      <c r="H328" s="56">
        <f t="shared" si="15"/>
        <v>14.004479999999999</v>
      </c>
      <c r="I328" s="57">
        <f t="shared" si="16"/>
        <v>32.064</v>
      </c>
      <c r="J328" s="56">
        <f t="shared" si="17"/>
        <v>50.123519999999999</v>
      </c>
    </row>
    <row r="329" spans="1:10" ht="18">
      <c r="A329" s="49">
        <v>2356</v>
      </c>
      <c r="B329" s="49" t="s">
        <v>559</v>
      </c>
      <c r="D329" s="49">
        <v>9.0940000000000012</v>
      </c>
      <c r="E329" s="49">
        <v>20.395999999999997</v>
      </c>
      <c r="F329" s="49">
        <v>14.744999999999999</v>
      </c>
      <c r="G329" s="54">
        <v>1.71</v>
      </c>
      <c r="H329" s="56">
        <f t="shared" si="15"/>
        <v>15.550740000000001</v>
      </c>
      <c r="I329" s="57">
        <f t="shared" si="16"/>
        <v>25.213949999999997</v>
      </c>
      <c r="J329" s="56">
        <f t="shared" si="17"/>
        <v>34.877159999999996</v>
      </c>
    </row>
    <row r="330" spans="1:10" ht="18">
      <c r="A330" s="49">
        <v>2357</v>
      </c>
      <c r="B330" s="49" t="s">
        <v>560</v>
      </c>
      <c r="D330" s="49">
        <v>7.5879999999999992</v>
      </c>
      <c r="E330" s="49">
        <v>15.542000000000002</v>
      </c>
      <c r="F330" s="49">
        <v>11.565000000000001</v>
      </c>
      <c r="G330" s="54">
        <v>21.44</v>
      </c>
      <c r="H330" s="56">
        <f t="shared" si="15"/>
        <v>162.68671999999998</v>
      </c>
      <c r="I330" s="57">
        <f t="shared" si="16"/>
        <v>247.95360000000005</v>
      </c>
      <c r="J330" s="56">
        <f t="shared" si="17"/>
        <v>333.22048000000007</v>
      </c>
    </row>
    <row r="331" spans="1:10" ht="18">
      <c r="A331" s="49">
        <v>2358</v>
      </c>
      <c r="B331" s="49" t="s">
        <v>561</v>
      </c>
      <c r="D331" s="49">
        <v>20.223999999999997</v>
      </c>
      <c r="E331" s="49">
        <v>20.223999999999997</v>
      </c>
      <c r="F331" s="49">
        <v>20.223999999999997</v>
      </c>
      <c r="G331" s="54">
        <v>-3.26</v>
      </c>
      <c r="H331" s="56">
        <f t="shared" si="15"/>
        <v>-65.930239999999984</v>
      </c>
      <c r="I331" s="57">
        <f t="shared" si="16"/>
        <v>-65.930239999999984</v>
      </c>
      <c r="J331" s="56">
        <f t="shared" si="17"/>
        <v>-65.930239999999984</v>
      </c>
    </row>
    <row r="332" spans="1:10" ht="18">
      <c r="A332" s="49">
        <v>2359</v>
      </c>
      <c r="B332" s="49" t="s">
        <v>562</v>
      </c>
      <c r="D332" s="49">
        <v>7.6199999999999992</v>
      </c>
      <c r="E332" s="49">
        <v>22.036000000000001</v>
      </c>
      <c r="F332" s="49">
        <v>14.827999999999999</v>
      </c>
      <c r="G332" s="54">
        <v>3.11</v>
      </c>
      <c r="H332" s="56">
        <f t="shared" si="15"/>
        <v>23.698199999999996</v>
      </c>
      <c r="I332" s="57">
        <f t="shared" si="16"/>
        <v>46.115079999999999</v>
      </c>
      <c r="J332" s="56">
        <f t="shared" si="17"/>
        <v>68.531959999999998</v>
      </c>
    </row>
    <row r="333" spans="1:10" ht="18">
      <c r="A333" s="49">
        <v>2360</v>
      </c>
      <c r="B333" s="49" t="s">
        <v>563</v>
      </c>
      <c r="D333" s="49">
        <v>12.943999999999999</v>
      </c>
      <c r="E333" s="49">
        <v>29.771999999999998</v>
      </c>
      <c r="F333" s="49">
        <v>21.357999999999997</v>
      </c>
      <c r="G333" s="54">
        <v>9.4499999999999993</v>
      </c>
      <c r="H333" s="56">
        <f t="shared" si="15"/>
        <v>122.32079999999998</v>
      </c>
      <c r="I333" s="57">
        <f t="shared" si="16"/>
        <v>201.83309999999994</v>
      </c>
      <c r="J333" s="56">
        <f t="shared" si="17"/>
        <v>281.34539999999998</v>
      </c>
    </row>
    <row r="334" spans="1:10" ht="18">
      <c r="A334" s="49">
        <v>2362</v>
      </c>
      <c r="B334" s="49" t="s">
        <v>564</v>
      </c>
      <c r="D334" s="49">
        <v>13.026</v>
      </c>
      <c r="E334" s="49">
        <v>28.548000000000002</v>
      </c>
      <c r="F334" s="49">
        <v>20.786999999999999</v>
      </c>
      <c r="G334" s="54">
        <v>1.81</v>
      </c>
      <c r="H334" s="56">
        <f t="shared" si="15"/>
        <v>23.577059999999999</v>
      </c>
      <c r="I334" s="57">
        <f t="shared" si="16"/>
        <v>37.624470000000002</v>
      </c>
      <c r="J334" s="56">
        <f t="shared" si="17"/>
        <v>51.671880000000002</v>
      </c>
    </row>
    <row r="335" spans="1:10" ht="18">
      <c r="A335" s="49">
        <v>2363</v>
      </c>
      <c r="B335" s="49" t="s">
        <v>565</v>
      </c>
      <c r="D335" s="49">
        <v>0</v>
      </c>
      <c r="E335" s="49">
        <v>0</v>
      </c>
      <c r="F335" s="49">
        <v>0</v>
      </c>
      <c r="G335" s="54">
        <v>0.76</v>
      </c>
      <c r="H335" s="56">
        <f t="shared" si="15"/>
        <v>0</v>
      </c>
      <c r="I335" s="57">
        <f t="shared" si="16"/>
        <v>0</v>
      </c>
      <c r="J335" s="56">
        <f t="shared" si="17"/>
        <v>0</v>
      </c>
    </row>
    <row r="336" spans="1:10" ht="18">
      <c r="A336" s="49">
        <v>2364</v>
      </c>
      <c r="B336" s="49" t="s">
        <v>566</v>
      </c>
      <c r="D336" s="49">
        <v>0</v>
      </c>
      <c r="E336" s="49">
        <v>0</v>
      </c>
      <c r="F336" s="49">
        <v>0</v>
      </c>
      <c r="G336" s="54">
        <v>3.36</v>
      </c>
      <c r="H336" s="56">
        <f t="shared" si="15"/>
        <v>0</v>
      </c>
      <c r="I336" s="57">
        <f t="shared" si="16"/>
        <v>0</v>
      </c>
      <c r="J336" s="56">
        <f t="shared" si="17"/>
        <v>0</v>
      </c>
    </row>
    <row r="337" spans="1:10" ht="18">
      <c r="A337" s="49">
        <v>2365</v>
      </c>
      <c r="B337" s="49" t="s">
        <v>567</v>
      </c>
      <c r="D337" s="49">
        <v>11.4</v>
      </c>
      <c r="E337" s="49">
        <v>23.907999999999998</v>
      </c>
      <c r="F337" s="49">
        <v>17.654</v>
      </c>
      <c r="G337" s="54">
        <v>0.33</v>
      </c>
      <c r="H337" s="56">
        <f t="shared" si="15"/>
        <v>3.7620000000000005</v>
      </c>
      <c r="I337" s="57">
        <f t="shared" si="16"/>
        <v>5.8258200000000002</v>
      </c>
      <c r="J337" s="56">
        <f t="shared" si="17"/>
        <v>7.88964</v>
      </c>
    </row>
    <row r="338" spans="1:10" ht="18">
      <c r="A338" s="49">
        <v>2367</v>
      </c>
      <c r="B338" s="49" t="s">
        <v>568</v>
      </c>
      <c r="D338" s="49">
        <v>8.4860000000000007</v>
      </c>
      <c r="E338" s="49">
        <v>20.124000000000002</v>
      </c>
      <c r="F338" s="49">
        <v>14.305000000000001</v>
      </c>
      <c r="G338" s="54">
        <v>-0.51</v>
      </c>
      <c r="H338" s="56">
        <f t="shared" si="15"/>
        <v>-4.3278600000000003</v>
      </c>
      <c r="I338" s="57">
        <f t="shared" si="16"/>
        <v>-7.2955500000000013</v>
      </c>
      <c r="J338" s="56">
        <f t="shared" si="17"/>
        <v>-10.263240000000001</v>
      </c>
    </row>
    <row r="339" spans="1:10" ht="18">
      <c r="A339" s="49">
        <v>2368</v>
      </c>
      <c r="B339" s="49" t="s">
        <v>569</v>
      </c>
      <c r="D339" s="49">
        <v>9.7279999999999998</v>
      </c>
      <c r="E339" s="49">
        <v>21.931999999999999</v>
      </c>
      <c r="F339" s="49">
        <v>15.829999999999998</v>
      </c>
      <c r="G339" s="54">
        <v>7.25</v>
      </c>
      <c r="H339" s="56">
        <f t="shared" si="15"/>
        <v>70.527999999999992</v>
      </c>
      <c r="I339" s="57">
        <f t="shared" si="16"/>
        <v>114.76749999999998</v>
      </c>
      <c r="J339" s="56">
        <f t="shared" si="17"/>
        <v>159.00699999999998</v>
      </c>
    </row>
    <row r="340" spans="1:10" ht="18">
      <c r="A340" s="49">
        <v>2369</v>
      </c>
      <c r="B340" s="49" t="s">
        <v>570</v>
      </c>
      <c r="D340" s="49">
        <v>10.693999999999999</v>
      </c>
      <c r="E340" s="49">
        <v>24.690000000000005</v>
      </c>
      <c r="F340" s="49">
        <v>17.692</v>
      </c>
      <c r="G340" s="54">
        <v>-0.42</v>
      </c>
      <c r="H340" s="56">
        <f t="shared" si="15"/>
        <v>-4.4914799999999993</v>
      </c>
      <c r="I340" s="57">
        <f t="shared" si="16"/>
        <v>-7.4306399999999995</v>
      </c>
      <c r="J340" s="56">
        <f t="shared" si="17"/>
        <v>-10.369800000000001</v>
      </c>
    </row>
    <row r="341" spans="1:10" ht="18">
      <c r="A341" s="49">
        <v>2371</v>
      </c>
      <c r="B341" s="49" t="s">
        <v>571</v>
      </c>
      <c r="D341" s="49">
        <v>0</v>
      </c>
      <c r="E341" s="49">
        <v>0</v>
      </c>
      <c r="F341" s="49">
        <v>0</v>
      </c>
      <c r="G341" s="54">
        <v>1.1299999999999999</v>
      </c>
      <c r="H341" s="56">
        <f t="shared" si="15"/>
        <v>0</v>
      </c>
      <c r="I341" s="57">
        <f t="shared" si="16"/>
        <v>0</v>
      </c>
      <c r="J341" s="56">
        <f t="shared" si="17"/>
        <v>0</v>
      </c>
    </row>
    <row r="342" spans="1:10" ht="18">
      <c r="A342" s="49">
        <v>2373</v>
      </c>
      <c r="B342" s="49" t="s">
        <v>572</v>
      </c>
      <c r="D342" s="49">
        <v>13.229999999999999</v>
      </c>
      <c r="E342" s="49">
        <v>20.202000000000002</v>
      </c>
      <c r="F342" s="49">
        <v>16.716000000000001</v>
      </c>
      <c r="G342" s="54">
        <v>4.8600000000000003</v>
      </c>
      <c r="H342" s="56">
        <f t="shared" si="15"/>
        <v>64.297799999999995</v>
      </c>
      <c r="I342" s="57">
        <f t="shared" si="16"/>
        <v>81.239760000000004</v>
      </c>
      <c r="J342" s="56">
        <f t="shared" si="17"/>
        <v>98.181720000000013</v>
      </c>
    </row>
    <row r="343" spans="1:10" ht="18">
      <c r="A343" s="49">
        <v>2374</v>
      </c>
      <c r="B343" s="49" t="s">
        <v>573</v>
      </c>
      <c r="D343" s="49">
        <v>8.2439999999999998</v>
      </c>
      <c r="E343" s="49">
        <v>19.122</v>
      </c>
      <c r="F343" s="49">
        <v>13.683</v>
      </c>
      <c r="G343" s="54">
        <v>0.96</v>
      </c>
      <c r="H343" s="56">
        <f t="shared" si="15"/>
        <v>7.9142399999999995</v>
      </c>
      <c r="I343" s="57">
        <f t="shared" si="16"/>
        <v>13.135679999999999</v>
      </c>
      <c r="J343" s="56">
        <f t="shared" si="17"/>
        <v>18.357119999999998</v>
      </c>
    </row>
    <row r="344" spans="1:10" ht="18">
      <c r="A344" s="49">
        <v>2375</v>
      </c>
      <c r="B344" s="49" t="s">
        <v>574</v>
      </c>
      <c r="D344" s="49">
        <v>6.4279999999999999</v>
      </c>
      <c r="E344" s="49">
        <v>24.271999999999998</v>
      </c>
      <c r="F344" s="49">
        <v>15.35</v>
      </c>
      <c r="G344" s="54">
        <v>2.44</v>
      </c>
      <c r="H344" s="56">
        <f t="shared" si="15"/>
        <v>15.68432</v>
      </c>
      <c r="I344" s="57">
        <f t="shared" si="16"/>
        <v>37.454000000000001</v>
      </c>
      <c r="J344" s="56">
        <f t="shared" si="17"/>
        <v>59.223679999999995</v>
      </c>
    </row>
    <row r="345" spans="1:10" ht="18">
      <c r="A345" s="49">
        <v>2376</v>
      </c>
      <c r="B345" s="49" t="s">
        <v>575</v>
      </c>
      <c r="D345" s="49">
        <v>7.4659999999999993</v>
      </c>
      <c r="E345" s="49">
        <v>19.984000000000002</v>
      </c>
      <c r="F345" s="49">
        <v>13.725000000000001</v>
      </c>
      <c r="G345" s="54">
        <v>7.46</v>
      </c>
      <c r="H345" s="56">
        <f t="shared" si="15"/>
        <v>55.696359999999991</v>
      </c>
      <c r="I345" s="57">
        <f t="shared" si="16"/>
        <v>102.38850000000001</v>
      </c>
      <c r="J345" s="56">
        <f t="shared" si="17"/>
        <v>149.08064000000002</v>
      </c>
    </row>
    <row r="346" spans="1:10" ht="18">
      <c r="A346" s="49">
        <v>2377</v>
      </c>
      <c r="B346" s="49" t="s">
        <v>576</v>
      </c>
      <c r="D346" s="49">
        <v>8.3759999999999994</v>
      </c>
      <c r="E346" s="49">
        <v>16.797999999999998</v>
      </c>
      <c r="F346" s="49">
        <v>12.587</v>
      </c>
      <c r="G346" s="54">
        <v>8.92</v>
      </c>
      <c r="H346" s="56">
        <f t="shared" si="15"/>
        <v>74.713919999999987</v>
      </c>
      <c r="I346" s="57">
        <f t="shared" si="16"/>
        <v>112.27603999999999</v>
      </c>
      <c r="J346" s="56">
        <f t="shared" si="17"/>
        <v>149.83815999999999</v>
      </c>
    </row>
    <row r="347" spans="1:10" ht="18">
      <c r="A347" s="49">
        <v>2379</v>
      </c>
      <c r="B347" s="49" t="s">
        <v>577</v>
      </c>
      <c r="D347" s="49">
        <v>13.034000000000001</v>
      </c>
      <c r="E347" s="49">
        <v>24.02</v>
      </c>
      <c r="F347" s="49">
        <v>18.527000000000001</v>
      </c>
      <c r="G347" s="54">
        <v>17.850000000000001</v>
      </c>
      <c r="H347" s="56">
        <f t="shared" si="15"/>
        <v>232.65690000000004</v>
      </c>
      <c r="I347" s="57">
        <f t="shared" si="16"/>
        <v>330.70695000000006</v>
      </c>
      <c r="J347" s="56">
        <f t="shared" si="17"/>
        <v>428.75700000000001</v>
      </c>
    </row>
    <row r="348" spans="1:10" ht="18">
      <c r="A348" s="49">
        <v>2380</v>
      </c>
      <c r="B348" s="49" t="s">
        <v>578</v>
      </c>
      <c r="D348" s="49">
        <v>0</v>
      </c>
      <c r="E348" s="49">
        <v>0</v>
      </c>
      <c r="F348" s="49">
        <v>0</v>
      </c>
      <c r="G348" s="54">
        <v>-1.88</v>
      </c>
      <c r="H348" s="56">
        <f t="shared" si="15"/>
        <v>0</v>
      </c>
      <c r="I348" s="57">
        <f t="shared" si="16"/>
        <v>0</v>
      </c>
      <c r="J348" s="56">
        <f t="shared" si="17"/>
        <v>0</v>
      </c>
    </row>
    <row r="349" spans="1:10" ht="18">
      <c r="A349" s="49">
        <v>2382</v>
      </c>
      <c r="B349" s="49" t="s">
        <v>579</v>
      </c>
      <c r="D349" s="49">
        <v>9.1479999999999997</v>
      </c>
      <c r="E349" s="49">
        <v>17.07</v>
      </c>
      <c r="F349" s="49">
        <v>13.109</v>
      </c>
      <c r="G349" s="54">
        <v>10.29</v>
      </c>
      <c r="H349" s="56">
        <f t="shared" si="15"/>
        <v>94.132919999999984</v>
      </c>
      <c r="I349" s="57">
        <f t="shared" si="16"/>
        <v>134.89160999999999</v>
      </c>
      <c r="J349" s="56">
        <f t="shared" si="17"/>
        <v>175.65029999999999</v>
      </c>
    </row>
    <row r="350" spans="1:10" ht="18">
      <c r="A350" s="49">
        <v>2383</v>
      </c>
      <c r="B350" s="49" t="s">
        <v>580</v>
      </c>
      <c r="D350" s="49">
        <v>6.7680000000000007</v>
      </c>
      <c r="E350" s="49">
        <v>18.106000000000002</v>
      </c>
      <c r="F350" s="49">
        <v>12.437000000000001</v>
      </c>
      <c r="G350" s="54">
        <v>16.350000000000001</v>
      </c>
      <c r="H350" s="56">
        <f t="shared" si="15"/>
        <v>110.65680000000002</v>
      </c>
      <c r="I350" s="57">
        <f t="shared" si="16"/>
        <v>203.34495000000004</v>
      </c>
      <c r="J350" s="56">
        <f t="shared" si="17"/>
        <v>296.03310000000005</v>
      </c>
    </row>
    <row r="351" spans="1:10" ht="18">
      <c r="A351" s="49">
        <v>2385</v>
      </c>
      <c r="B351" s="49" t="s">
        <v>581</v>
      </c>
      <c r="D351" s="49">
        <v>8.4599999999999991</v>
      </c>
      <c r="E351" s="49">
        <v>15.395999999999997</v>
      </c>
      <c r="F351" s="49">
        <v>11.927999999999997</v>
      </c>
      <c r="G351" s="54">
        <v>10.35</v>
      </c>
      <c r="H351" s="56">
        <f t="shared" si="15"/>
        <v>87.560999999999993</v>
      </c>
      <c r="I351" s="57">
        <f t="shared" si="16"/>
        <v>123.45479999999996</v>
      </c>
      <c r="J351" s="56">
        <f t="shared" si="17"/>
        <v>159.34859999999998</v>
      </c>
    </row>
    <row r="352" spans="1:10" ht="18">
      <c r="A352" s="49">
        <v>2387</v>
      </c>
      <c r="B352" s="49" t="s">
        <v>582</v>
      </c>
      <c r="D352" s="49">
        <v>6.2799999999999994</v>
      </c>
      <c r="E352" s="49">
        <v>14</v>
      </c>
      <c r="F352" s="49">
        <v>10.14</v>
      </c>
      <c r="G352" s="54">
        <v>6.5</v>
      </c>
      <c r="H352" s="56">
        <f t="shared" si="15"/>
        <v>40.819999999999993</v>
      </c>
      <c r="I352" s="57">
        <f t="shared" si="16"/>
        <v>65.91</v>
      </c>
      <c r="J352" s="56">
        <f t="shared" si="17"/>
        <v>91</v>
      </c>
    </row>
    <row r="353" spans="1:10" ht="18">
      <c r="A353" s="49">
        <v>2388</v>
      </c>
      <c r="B353" s="49" t="s">
        <v>583</v>
      </c>
      <c r="D353" s="49">
        <v>0</v>
      </c>
      <c r="E353" s="49">
        <v>0</v>
      </c>
      <c r="F353" s="49">
        <v>0</v>
      </c>
      <c r="G353" s="54">
        <v>0.82</v>
      </c>
      <c r="H353" s="56">
        <f t="shared" si="15"/>
        <v>0</v>
      </c>
      <c r="I353" s="57">
        <f t="shared" si="16"/>
        <v>0</v>
      </c>
      <c r="J353" s="56">
        <f t="shared" si="17"/>
        <v>0</v>
      </c>
    </row>
    <row r="354" spans="1:10" ht="18">
      <c r="A354" s="49">
        <v>2390</v>
      </c>
      <c r="B354" s="49" t="s">
        <v>584</v>
      </c>
      <c r="D354" s="49">
        <v>0</v>
      </c>
      <c r="E354" s="49">
        <v>0</v>
      </c>
      <c r="F354" s="49">
        <v>0</v>
      </c>
      <c r="G354" s="54">
        <v>-0.42</v>
      </c>
      <c r="H354" s="56">
        <f t="shared" si="15"/>
        <v>0</v>
      </c>
      <c r="I354" s="57">
        <f t="shared" si="16"/>
        <v>0</v>
      </c>
      <c r="J354" s="56">
        <f t="shared" si="17"/>
        <v>0</v>
      </c>
    </row>
    <row r="355" spans="1:10" ht="18">
      <c r="A355" s="49">
        <v>2392</v>
      </c>
      <c r="B355" s="49" t="s">
        <v>585</v>
      </c>
      <c r="D355" s="49">
        <v>9.7960000000000012</v>
      </c>
      <c r="E355" s="49">
        <v>26.71</v>
      </c>
      <c r="F355" s="49">
        <v>18.253</v>
      </c>
      <c r="G355" s="54">
        <v>3.09</v>
      </c>
      <c r="H355" s="56">
        <f t="shared" si="15"/>
        <v>30.269640000000003</v>
      </c>
      <c r="I355" s="57">
        <f t="shared" si="16"/>
        <v>56.401769999999999</v>
      </c>
      <c r="J355" s="56">
        <f t="shared" si="17"/>
        <v>82.533900000000003</v>
      </c>
    </row>
    <row r="356" spans="1:10" ht="18">
      <c r="A356" s="49">
        <v>2393</v>
      </c>
      <c r="B356" s="49" t="s">
        <v>586</v>
      </c>
      <c r="D356" s="49">
        <v>10.35</v>
      </c>
      <c r="E356" s="49">
        <v>26.318000000000001</v>
      </c>
      <c r="F356" s="49">
        <v>18.334</v>
      </c>
      <c r="G356" s="54">
        <v>3.32</v>
      </c>
      <c r="H356" s="56">
        <f t="shared" si="15"/>
        <v>34.361999999999995</v>
      </c>
      <c r="I356" s="57">
        <f t="shared" si="16"/>
        <v>60.868879999999997</v>
      </c>
      <c r="J356" s="56">
        <f t="shared" si="17"/>
        <v>87.37576</v>
      </c>
    </row>
    <row r="357" spans="1:10" ht="18">
      <c r="A357" s="49">
        <v>2395</v>
      </c>
      <c r="B357" s="49" t="s">
        <v>587</v>
      </c>
      <c r="D357" s="49">
        <v>14.091999999999999</v>
      </c>
      <c r="E357" s="49">
        <v>33.513999999999996</v>
      </c>
      <c r="F357" s="49">
        <v>23.802999999999997</v>
      </c>
      <c r="G357" s="54">
        <v>12.31</v>
      </c>
      <c r="H357" s="56">
        <f t="shared" si="15"/>
        <v>173.47252</v>
      </c>
      <c r="I357" s="57">
        <f t="shared" si="16"/>
        <v>293.01492999999999</v>
      </c>
      <c r="J357" s="56">
        <f t="shared" si="17"/>
        <v>412.55733999999995</v>
      </c>
    </row>
    <row r="358" spans="1:10" ht="18">
      <c r="A358" s="49">
        <v>2397</v>
      </c>
      <c r="B358" s="49" t="s">
        <v>588</v>
      </c>
      <c r="D358" s="49">
        <v>11.32</v>
      </c>
      <c r="E358" s="49">
        <v>18.934000000000001</v>
      </c>
      <c r="F358" s="49">
        <v>15.127000000000001</v>
      </c>
      <c r="G358" s="54">
        <v>3.16</v>
      </c>
      <c r="H358" s="56">
        <f t="shared" si="15"/>
        <v>35.7712</v>
      </c>
      <c r="I358" s="57">
        <f t="shared" si="16"/>
        <v>47.801320000000004</v>
      </c>
      <c r="J358" s="56">
        <f t="shared" si="17"/>
        <v>59.831440000000008</v>
      </c>
    </row>
    <row r="359" spans="1:10" ht="18">
      <c r="A359" s="49">
        <v>2399</v>
      </c>
      <c r="B359" s="49" t="s">
        <v>589</v>
      </c>
      <c r="D359" s="49">
        <v>8.6760000000000002</v>
      </c>
      <c r="E359" s="49">
        <v>20.110000000000003</v>
      </c>
      <c r="F359" s="49">
        <v>14.393000000000001</v>
      </c>
      <c r="G359" s="54">
        <v>-0.64</v>
      </c>
      <c r="H359" s="56">
        <f t="shared" si="15"/>
        <v>-5.5526400000000002</v>
      </c>
      <c r="I359" s="57">
        <f t="shared" si="16"/>
        <v>-9.2115200000000002</v>
      </c>
      <c r="J359" s="56">
        <f t="shared" si="17"/>
        <v>-12.870400000000002</v>
      </c>
    </row>
    <row r="360" spans="1:10" ht="18">
      <c r="A360" s="49">
        <v>2401</v>
      </c>
      <c r="B360" s="49" t="s">
        <v>590</v>
      </c>
      <c r="D360" s="49">
        <v>15.222</v>
      </c>
      <c r="E360" s="49">
        <v>21.216000000000001</v>
      </c>
      <c r="F360" s="49">
        <v>18.219000000000001</v>
      </c>
      <c r="G360" s="54">
        <v>-0.84</v>
      </c>
      <c r="H360" s="56">
        <f t="shared" si="15"/>
        <v>-12.786479999999999</v>
      </c>
      <c r="I360" s="57">
        <f t="shared" si="16"/>
        <v>-15.30396</v>
      </c>
      <c r="J360" s="56">
        <f t="shared" si="17"/>
        <v>-17.821439999999999</v>
      </c>
    </row>
    <row r="361" spans="1:10" ht="18">
      <c r="A361" s="49">
        <v>2402</v>
      </c>
      <c r="B361" s="49" t="s">
        <v>591</v>
      </c>
      <c r="D361" s="49">
        <v>14.524000000000001</v>
      </c>
      <c r="E361" s="49">
        <v>29.941999999999997</v>
      </c>
      <c r="F361" s="49">
        <v>22.232999999999997</v>
      </c>
      <c r="G361" s="54">
        <v>1.56</v>
      </c>
      <c r="H361" s="56">
        <f t="shared" si="15"/>
        <v>22.657440000000001</v>
      </c>
      <c r="I361" s="57">
        <f t="shared" si="16"/>
        <v>34.683479999999996</v>
      </c>
      <c r="J361" s="56">
        <f t="shared" si="17"/>
        <v>46.709519999999998</v>
      </c>
    </row>
    <row r="362" spans="1:10" ht="18">
      <c r="A362" s="49">
        <v>2404</v>
      </c>
      <c r="B362" s="49" t="s">
        <v>592</v>
      </c>
      <c r="D362" s="49">
        <v>7.0539999999999994</v>
      </c>
      <c r="E362" s="49">
        <v>14.459999999999999</v>
      </c>
      <c r="F362" s="49">
        <v>10.757</v>
      </c>
      <c r="G362" s="54">
        <v>24.82</v>
      </c>
      <c r="H362" s="56">
        <f t="shared" si="15"/>
        <v>175.08027999999999</v>
      </c>
      <c r="I362" s="57">
        <f t="shared" si="16"/>
        <v>266.98874000000001</v>
      </c>
      <c r="J362" s="56">
        <f t="shared" si="17"/>
        <v>358.8972</v>
      </c>
    </row>
    <row r="363" spans="1:10" ht="18">
      <c r="A363" s="49">
        <v>2405</v>
      </c>
      <c r="B363" s="49" t="s">
        <v>593</v>
      </c>
      <c r="D363" s="49">
        <v>0</v>
      </c>
      <c r="E363" s="49">
        <v>0</v>
      </c>
      <c r="F363" s="49">
        <v>0</v>
      </c>
      <c r="G363" s="54">
        <v>0.04</v>
      </c>
      <c r="H363" s="56">
        <f t="shared" si="15"/>
        <v>0</v>
      </c>
      <c r="I363" s="57">
        <f t="shared" si="16"/>
        <v>0</v>
      </c>
      <c r="J363" s="56">
        <f t="shared" si="17"/>
        <v>0</v>
      </c>
    </row>
    <row r="364" spans="1:10" ht="18">
      <c r="A364" s="49">
        <v>2406</v>
      </c>
      <c r="B364" s="49" t="s">
        <v>594</v>
      </c>
      <c r="D364" s="49">
        <v>20.91</v>
      </c>
      <c r="E364" s="49">
        <v>20.91</v>
      </c>
      <c r="F364" s="49">
        <v>20.91</v>
      </c>
      <c r="G364" s="54">
        <v>-0.99</v>
      </c>
      <c r="H364" s="56">
        <f t="shared" si="15"/>
        <v>-20.700900000000001</v>
      </c>
      <c r="I364" s="57">
        <f t="shared" si="16"/>
        <v>-20.700900000000001</v>
      </c>
      <c r="J364" s="56">
        <f t="shared" si="17"/>
        <v>-20.700900000000001</v>
      </c>
    </row>
    <row r="365" spans="1:10" ht="18">
      <c r="A365" s="49">
        <v>2408</v>
      </c>
      <c r="B365" s="49" t="s">
        <v>595</v>
      </c>
      <c r="D365" s="49">
        <v>5.74</v>
      </c>
      <c r="E365" s="49">
        <v>20.578000000000003</v>
      </c>
      <c r="F365" s="49">
        <v>13.159000000000002</v>
      </c>
      <c r="G365" s="54">
        <v>-2.4</v>
      </c>
      <c r="H365" s="56">
        <f t="shared" si="15"/>
        <v>-13.776</v>
      </c>
      <c r="I365" s="57">
        <f t="shared" si="16"/>
        <v>-31.581600000000005</v>
      </c>
      <c r="J365" s="56">
        <f t="shared" si="17"/>
        <v>-49.387200000000007</v>
      </c>
    </row>
    <row r="366" spans="1:10" ht="18">
      <c r="A366" s="49">
        <v>2409</v>
      </c>
      <c r="B366" s="49" t="s">
        <v>596</v>
      </c>
      <c r="D366" s="49">
        <v>4.5659999999999998</v>
      </c>
      <c r="E366" s="49">
        <v>13.863999999999999</v>
      </c>
      <c r="F366" s="49">
        <v>9.2149999999999999</v>
      </c>
      <c r="G366" s="54">
        <v>-2.37</v>
      </c>
      <c r="H366" s="56">
        <f t="shared" si="15"/>
        <v>-10.82142</v>
      </c>
      <c r="I366" s="57">
        <f t="shared" si="16"/>
        <v>-21.839549999999999</v>
      </c>
      <c r="J366" s="56">
        <f t="shared" si="17"/>
        <v>-32.857680000000002</v>
      </c>
    </row>
    <row r="367" spans="1:10" ht="18">
      <c r="A367" s="49">
        <v>2412</v>
      </c>
      <c r="B367" s="49" t="s">
        <v>597</v>
      </c>
      <c r="D367" s="49">
        <v>15.542000000000002</v>
      </c>
      <c r="E367" s="49">
        <v>25.276</v>
      </c>
      <c r="F367" s="49">
        <v>20.408999999999999</v>
      </c>
      <c r="G367" s="54">
        <v>4.76</v>
      </c>
      <c r="H367" s="56">
        <f t="shared" si="15"/>
        <v>73.979920000000007</v>
      </c>
      <c r="I367" s="57">
        <f t="shared" si="16"/>
        <v>97.146839999999997</v>
      </c>
      <c r="J367" s="56">
        <f t="shared" si="17"/>
        <v>120.31375999999999</v>
      </c>
    </row>
    <row r="368" spans="1:10" ht="18">
      <c r="A368" s="49">
        <v>2413</v>
      </c>
      <c r="B368" s="49" t="s">
        <v>598</v>
      </c>
      <c r="D368" s="49">
        <v>13.752000000000001</v>
      </c>
      <c r="E368" s="49">
        <v>15.24</v>
      </c>
      <c r="F368" s="49">
        <v>14.496</v>
      </c>
      <c r="G368" s="54">
        <v>0.84</v>
      </c>
      <c r="H368" s="56">
        <f t="shared" si="15"/>
        <v>11.551679999999999</v>
      </c>
      <c r="I368" s="57">
        <f t="shared" si="16"/>
        <v>12.176640000000001</v>
      </c>
      <c r="J368" s="56">
        <f t="shared" si="17"/>
        <v>12.801600000000001</v>
      </c>
    </row>
    <row r="369" spans="1:10" ht="18">
      <c r="A369" s="49">
        <v>2414</v>
      </c>
      <c r="B369" s="49" t="s">
        <v>599</v>
      </c>
      <c r="D369" s="49">
        <v>9.1519999999999992</v>
      </c>
      <c r="E369" s="49">
        <v>14.901999999999997</v>
      </c>
      <c r="F369" s="49">
        <v>12.026999999999997</v>
      </c>
      <c r="G369" s="54">
        <v>2.38</v>
      </c>
      <c r="H369" s="56">
        <f t="shared" si="15"/>
        <v>21.781759999999998</v>
      </c>
      <c r="I369" s="57">
        <f t="shared" si="16"/>
        <v>28.624259999999992</v>
      </c>
      <c r="J369" s="56">
        <f t="shared" si="17"/>
        <v>35.466759999999994</v>
      </c>
    </row>
    <row r="370" spans="1:10" ht="18">
      <c r="A370" s="49">
        <v>2415</v>
      </c>
      <c r="B370" s="49" t="s">
        <v>600</v>
      </c>
      <c r="D370" s="49">
        <v>8.9260000000000002</v>
      </c>
      <c r="E370" s="49">
        <v>25.654000000000003</v>
      </c>
      <c r="F370" s="49">
        <v>17.290000000000003</v>
      </c>
      <c r="G370" s="54">
        <v>-0.22</v>
      </c>
      <c r="H370" s="56">
        <f t="shared" si="15"/>
        <v>-1.9637200000000001</v>
      </c>
      <c r="I370" s="57">
        <f t="shared" si="16"/>
        <v>-3.8038000000000007</v>
      </c>
      <c r="J370" s="56">
        <f t="shared" si="17"/>
        <v>-5.6438800000000011</v>
      </c>
    </row>
    <row r="371" spans="1:10" ht="18">
      <c r="A371" s="49">
        <v>2417</v>
      </c>
      <c r="B371" s="49" t="s">
        <v>601</v>
      </c>
      <c r="D371" s="49">
        <v>8.6720000000000006</v>
      </c>
      <c r="E371" s="49">
        <v>11.948</v>
      </c>
      <c r="F371" s="49">
        <v>10.31</v>
      </c>
      <c r="G371" s="54">
        <v>0.01</v>
      </c>
      <c r="H371" s="56">
        <f t="shared" si="15"/>
        <v>8.6720000000000005E-2</v>
      </c>
      <c r="I371" s="57">
        <f t="shared" si="16"/>
        <v>0.10310000000000001</v>
      </c>
      <c r="J371" s="56">
        <f t="shared" si="17"/>
        <v>0.11948</v>
      </c>
    </row>
    <row r="372" spans="1:10" ht="18">
      <c r="A372" s="49">
        <v>2419</v>
      </c>
      <c r="B372" s="49" t="s">
        <v>602</v>
      </c>
      <c r="D372" s="49">
        <v>10.35</v>
      </c>
      <c r="E372" s="49">
        <v>26.236000000000001</v>
      </c>
      <c r="F372" s="49">
        <v>18.292999999999999</v>
      </c>
      <c r="G372" s="54">
        <v>0.02</v>
      </c>
      <c r="H372" s="56">
        <f t="shared" si="15"/>
        <v>0.20699999999999999</v>
      </c>
      <c r="I372" s="57">
        <f t="shared" si="16"/>
        <v>0.36586000000000002</v>
      </c>
      <c r="J372" s="56">
        <f t="shared" si="17"/>
        <v>0.52472000000000008</v>
      </c>
    </row>
    <row r="373" spans="1:10" ht="18">
      <c r="A373" s="49">
        <v>2420</v>
      </c>
      <c r="B373" s="49" t="s">
        <v>603</v>
      </c>
      <c r="D373" s="49">
        <v>8.5399999999999991</v>
      </c>
      <c r="E373" s="49">
        <v>17.544</v>
      </c>
      <c r="F373" s="49">
        <v>13.042</v>
      </c>
      <c r="G373" s="54">
        <v>3.55</v>
      </c>
      <c r="H373" s="56">
        <f t="shared" si="15"/>
        <v>30.316999999999997</v>
      </c>
      <c r="I373" s="57">
        <f t="shared" si="16"/>
        <v>46.299099999999996</v>
      </c>
      <c r="J373" s="56">
        <f t="shared" si="17"/>
        <v>62.281199999999998</v>
      </c>
    </row>
    <row r="374" spans="1:10" ht="18">
      <c r="A374" s="49">
        <v>2421</v>
      </c>
      <c r="B374" s="49" t="s">
        <v>604</v>
      </c>
      <c r="D374" s="49">
        <v>11.728</v>
      </c>
      <c r="E374" s="49">
        <v>24.044</v>
      </c>
      <c r="F374" s="49">
        <v>17.885999999999999</v>
      </c>
      <c r="G374" s="54">
        <v>5.16</v>
      </c>
      <c r="H374" s="56">
        <f t="shared" si="15"/>
        <v>60.516480000000001</v>
      </c>
      <c r="I374" s="57">
        <f t="shared" si="16"/>
        <v>92.291759999999996</v>
      </c>
      <c r="J374" s="56">
        <f t="shared" si="17"/>
        <v>124.06704000000001</v>
      </c>
    </row>
    <row r="375" spans="1:10" ht="18">
      <c r="A375" s="49">
        <v>2423</v>
      </c>
      <c r="B375" s="49" t="s">
        <v>605</v>
      </c>
      <c r="D375" s="49">
        <v>8.9860000000000007</v>
      </c>
      <c r="E375" s="49">
        <v>19.907999999999998</v>
      </c>
      <c r="F375" s="49">
        <v>14.446999999999999</v>
      </c>
      <c r="G375" s="54">
        <v>2.95</v>
      </c>
      <c r="H375" s="56">
        <f t="shared" si="15"/>
        <v>26.508700000000005</v>
      </c>
      <c r="I375" s="57">
        <f t="shared" si="16"/>
        <v>42.618650000000002</v>
      </c>
      <c r="J375" s="56">
        <f t="shared" si="17"/>
        <v>58.7286</v>
      </c>
    </row>
    <row r="376" spans="1:10" ht="18">
      <c r="A376" s="49">
        <v>2424</v>
      </c>
      <c r="B376" s="49" t="s">
        <v>606</v>
      </c>
      <c r="D376" s="49">
        <v>0</v>
      </c>
      <c r="E376" s="49">
        <v>0</v>
      </c>
      <c r="F376" s="49">
        <v>0</v>
      </c>
      <c r="G376" s="54">
        <v>-3.95</v>
      </c>
      <c r="H376" s="56">
        <f t="shared" si="15"/>
        <v>0</v>
      </c>
      <c r="I376" s="57">
        <f t="shared" si="16"/>
        <v>0</v>
      </c>
      <c r="J376" s="56">
        <f t="shared" si="17"/>
        <v>0</v>
      </c>
    </row>
    <row r="377" spans="1:10" ht="18">
      <c r="A377" s="49">
        <v>2425</v>
      </c>
      <c r="B377" s="49" t="s">
        <v>607</v>
      </c>
      <c r="D377" s="49">
        <v>12.442000000000002</v>
      </c>
      <c r="E377" s="49">
        <v>26.595999999999997</v>
      </c>
      <c r="F377" s="49">
        <v>19.518999999999998</v>
      </c>
      <c r="G377" s="54">
        <v>1.68</v>
      </c>
      <c r="H377" s="56">
        <f t="shared" si="15"/>
        <v>20.902560000000001</v>
      </c>
      <c r="I377" s="57">
        <f t="shared" si="16"/>
        <v>32.791919999999998</v>
      </c>
      <c r="J377" s="56">
        <f t="shared" si="17"/>
        <v>44.681279999999994</v>
      </c>
    </row>
    <row r="378" spans="1:10" ht="18">
      <c r="A378" s="49">
        <v>2426</v>
      </c>
      <c r="B378" s="49" t="s">
        <v>608</v>
      </c>
      <c r="D378" s="49">
        <v>11.78</v>
      </c>
      <c r="E378" s="49">
        <v>25.363999999999997</v>
      </c>
      <c r="F378" s="49">
        <v>18.571999999999999</v>
      </c>
      <c r="G378" s="54">
        <v>-0.44</v>
      </c>
      <c r="H378" s="56">
        <f t="shared" si="15"/>
        <v>-5.1831999999999994</v>
      </c>
      <c r="I378" s="57">
        <f t="shared" si="16"/>
        <v>-8.1716800000000003</v>
      </c>
      <c r="J378" s="56">
        <f t="shared" si="17"/>
        <v>-11.160159999999999</v>
      </c>
    </row>
    <row r="379" spans="1:10" ht="18">
      <c r="A379" s="49">
        <v>2427</v>
      </c>
      <c r="B379" s="49" t="s">
        <v>609</v>
      </c>
      <c r="D379" s="49">
        <v>16.506</v>
      </c>
      <c r="E379" s="49">
        <v>26.134000000000004</v>
      </c>
      <c r="F379" s="49">
        <v>21.32</v>
      </c>
      <c r="G379" s="54">
        <v>1.36</v>
      </c>
      <c r="H379" s="56">
        <f t="shared" si="15"/>
        <v>22.448160000000001</v>
      </c>
      <c r="I379" s="57">
        <f t="shared" si="16"/>
        <v>28.995200000000004</v>
      </c>
      <c r="J379" s="56">
        <f t="shared" si="17"/>
        <v>35.542240000000007</v>
      </c>
    </row>
    <row r="380" spans="1:10" ht="18">
      <c r="A380" s="49">
        <v>2428</v>
      </c>
      <c r="B380" s="49" t="s">
        <v>610</v>
      </c>
      <c r="D380" s="49">
        <v>8.2519999999999989</v>
      </c>
      <c r="E380" s="49">
        <v>15.010000000000002</v>
      </c>
      <c r="F380" s="49">
        <v>11.631</v>
      </c>
      <c r="G380" s="54">
        <v>10.210000000000001</v>
      </c>
      <c r="H380" s="56">
        <f t="shared" si="15"/>
        <v>84.252919999999989</v>
      </c>
      <c r="I380" s="57">
        <f t="shared" si="16"/>
        <v>118.75251000000002</v>
      </c>
      <c r="J380" s="56">
        <f t="shared" si="17"/>
        <v>153.25210000000004</v>
      </c>
    </row>
    <row r="381" spans="1:10" ht="18">
      <c r="A381" s="49">
        <v>2429</v>
      </c>
      <c r="B381" s="49" t="s">
        <v>611</v>
      </c>
      <c r="D381" s="49">
        <v>0</v>
      </c>
      <c r="E381" s="49">
        <v>0</v>
      </c>
      <c r="F381" s="49">
        <v>0</v>
      </c>
      <c r="G381" s="54">
        <v>-0.56000000000000005</v>
      </c>
      <c r="H381" s="56">
        <f t="shared" si="15"/>
        <v>0</v>
      </c>
      <c r="I381" s="57">
        <f t="shared" si="16"/>
        <v>0</v>
      </c>
      <c r="J381" s="56">
        <f t="shared" si="17"/>
        <v>0</v>
      </c>
    </row>
    <row r="382" spans="1:10" ht="18">
      <c r="A382" s="49">
        <v>2430</v>
      </c>
      <c r="B382" s="49" t="s">
        <v>612</v>
      </c>
      <c r="D382" s="49">
        <v>8.0939999999999994</v>
      </c>
      <c r="E382" s="49">
        <v>14.556000000000001</v>
      </c>
      <c r="F382" s="49">
        <v>11.324999999999999</v>
      </c>
      <c r="G382" s="54">
        <v>2.39</v>
      </c>
      <c r="H382" s="56">
        <f t="shared" si="15"/>
        <v>19.344660000000001</v>
      </c>
      <c r="I382" s="57">
        <f t="shared" si="16"/>
        <v>27.066749999999999</v>
      </c>
      <c r="J382" s="56">
        <f t="shared" si="17"/>
        <v>34.788840000000008</v>
      </c>
    </row>
    <row r="383" spans="1:10" ht="18">
      <c r="A383" s="49">
        <v>2431</v>
      </c>
      <c r="B383" s="49" t="s">
        <v>613</v>
      </c>
      <c r="D383" s="49">
        <v>17.268000000000001</v>
      </c>
      <c r="E383" s="49">
        <v>24.715999999999998</v>
      </c>
      <c r="F383" s="49">
        <v>20.991999999999997</v>
      </c>
      <c r="G383" s="54">
        <v>-0.85</v>
      </c>
      <c r="H383" s="56">
        <f t="shared" si="15"/>
        <v>-14.6778</v>
      </c>
      <c r="I383" s="57">
        <f t="shared" si="16"/>
        <v>-17.843199999999996</v>
      </c>
      <c r="J383" s="56">
        <f t="shared" si="17"/>
        <v>-21.008599999999998</v>
      </c>
    </row>
    <row r="384" spans="1:10" ht="18">
      <c r="A384" s="49">
        <v>2433</v>
      </c>
      <c r="B384" s="49" t="s">
        <v>614</v>
      </c>
      <c r="D384" s="49">
        <v>8.3740000000000006</v>
      </c>
      <c r="E384" s="49">
        <v>13.95</v>
      </c>
      <c r="F384" s="49">
        <v>11.161999999999999</v>
      </c>
      <c r="G384" s="54">
        <v>3.39</v>
      </c>
      <c r="H384" s="56">
        <f t="shared" si="15"/>
        <v>28.387860000000003</v>
      </c>
      <c r="I384" s="57">
        <f t="shared" si="16"/>
        <v>37.839179999999999</v>
      </c>
      <c r="J384" s="56">
        <f t="shared" si="17"/>
        <v>47.290500000000002</v>
      </c>
    </row>
    <row r="385" spans="1:10" ht="18">
      <c r="A385" s="49">
        <v>2434</v>
      </c>
      <c r="B385" s="49" t="s">
        <v>615</v>
      </c>
      <c r="D385" s="49">
        <v>0</v>
      </c>
      <c r="E385" s="49">
        <v>0</v>
      </c>
      <c r="F385" s="49">
        <v>0</v>
      </c>
      <c r="G385" s="54">
        <v>-0.98</v>
      </c>
      <c r="H385" s="56">
        <f t="shared" si="15"/>
        <v>0</v>
      </c>
      <c r="I385" s="57">
        <f t="shared" si="16"/>
        <v>0</v>
      </c>
      <c r="J385" s="56">
        <f t="shared" si="17"/>
        <v>0</v>
      </c>
    </row>
    <row r="386" spans="1:10" ht="18">
      <c r="A386" s="49">
        <v>2436</v>
      </c>
      <c r="B386" s="49" t="s">
        <v>616</v>
      </c>
      <c r="D386" s="49">
        <v>18.757999999999999</v>
      </c>
      <c r="E386" s="49">
        <v>35.011999999999993</v>
      </c>
      <c r="F386" s="49">
        <v>26.884999999999998</v>
      </c>
      <c r="G386" s="54">
        <v>1.18</v>
      </c>
      <c r="H386" s="56">
        <f t="shared" si="15"/>
        <v>22.134439999999998</v>
      </c>
      <c r="I386" s="57">
        <f t="shared" si="16"/>
        <v>31.724299999999996</v>
      </c>
      <c r="J386" s="56">
        <f t="shared" si="17"/>
        <v>41.314159999999987</v>
      </c>
    </row>
    <row r="387" spans="1:10" ht="18">
      <c r="A387" s="49">
        <v>2438</v>
      </c>
      <c r="B387" s="49" t="s">
        <v>617</v>
      </c>
      <c r="D387" s="49">
        <v>0</v>
      </c>
      <c r="E387" s="49">
        <v>0</v>
      </c>
      <c r="F387" s="49">
        <v>0</v>
      </c>
      <c r="G387" s="54">
        <v>-1</v>
      </c>
      <c r="H387" s="56">
        <f t="shared" ref="H387:H450" si="18">G387*D387</f>
        <v>0</v>
      </c>
      <c r="I387" s="57">
        <f t="shared" ref="I387:I450" si="19">G387*F387</f>
        <v>0</v>
      </c>
      <c r="J387" s="56">
        <f t="shared" ref="J387:J450" si="20">G387*E387</f>
        <v>0</v>
      </c>
    </row>
    <row r="388" spans="1:10" ht="18">
      <c r="A388" s="49">
        <v>2439</v>
      </c>
      <c r="B388" s="49" t="s">
        <v>618</v>
      </c>
      <c r="D388" s="49">
        <v>9.1560000000000006</v>
      </c>
      <c r="E388" s="49">
        <v>27.896000000000004</v>
      </c>
      <c r="F388" s="49">
        <v>18.526000000000003</v>
      </c>
      <c r="G388" s="54">
        <v>6.16</v>
      </c>
      <c r="H388" s="56">
        <f t="shared" si="18"/>
        <v>56.400960000000005</v>
      </c>
      <c r="I388" s="57">
        <f t="shared" si="19"/>
        <v>114.12016000000003</v>
      </c>
      <c r="J388" s="56">
        <f t="shared" si="20"/>
        <v>171.83936000000003</v>
      </c>
    </row>
    <row r="389" spans="1:10" ht="18">
      <c r="A389" s="49">
        <v>2440</v>
      </c>
      <c r="B389" s="49" t="s">
        <v>619</v>
      </c>
      <c r="D389" s="49">
        <v>18.443999999999999</v>
      </c>
      <c r="E389" s="49">
        <v>18.443999999999999</v>
      </c>
      <c r="F389" s="49">
        <v>18.443999999999999</v>
      </c>
      <c r="G389" s="54">
        <v>-0.99</v>
      </c>
      <c r="H389" s="56">
        <f t="shared" si="18"/>
        <v>-18.25956</v>
      </c>
      <c r="I389" s="57">
        <f t="shared" si="19"/>
        <v>-18.25956</v>
      </c>
      <c r="J389" s="56">
        <f t="shared" si="20"/>
        <v>-18.25956</v>
      </c>
    </row>
    <row r="390" spans="1:10" ht="18">
      <c r="A390" s="49">
        <v>2441</v>
      </c>
      <c r="B390" s="49" t="s">
        <v>620</v>
      </c>
      <c r="D390" s="49">
        <v>7.5400000000000009</v>
      </c>
      <c r="E390" s="49">
        <v>15.398000000000001</v>
      </c>
      <c r="F390" s="49">
        <v>11.469000000000001</v>
      </c>
      <c r="G390" s="54">
        <v>3.51</v>
      </c>
      <c r="H390" s="56">
        <f t="shared" si="18"/>
        <v>26.465400000000002</v>
      </c>
      <c r="I390" s="57">
        <f t="shared" si="19"/>
        <v>40.256190000000004</v>
      </c>
      <c r="J390" s="56">
        <f t="shared" si="20"/>
        <v>54.046980000000005</v>
      </c>
    </row>
    <row r="391" spans="1:10" ht="18">
      <c r="A391" s="49">
        <v>2442</v>
      </c>
      <c r="B391" s="49" t="s">
        <v>621</v>
      </c>
      <c r="D391" s="49">
        <v>6.4340000000000002</v>
      </c>
      <c r="E391" s="49">
        <v>18.920000000000002</v>
      </c>
      <c r="F391" s="49">
        <v>12.677000000000001</v>
      </c>
      <c r="G391" s="54">
        <v>1.67</v>
      </c>
      <c r="H391" s="56">
        <f t="shared" si="18"/>
        <v>10.74478</v>
      </c>
      <c r="I391" s="57">
        <f t="shared" si="19"/>
        <v>21.170590000000001</v>
      </c>
      <c r="J391" s="56">
        <f t="shared" si="20"/>
        <v>31.596400000000003</v>
      </c>
    </row>
    <row r="392" spans="1:10" ht="18">
      <c r="A392" s="49">
        <v>2443</v>
      </c>
      <c r="B392" s="49" t="s">
        <v>622</v>
      </c>
      <c r="D392" s="49">
        <v>0</v>
      </c>
      <c r="E392" s="49">
        <v>0</v>
      </c>
      <c r="F392" s="49">
        <v>0</v>
      </c>
      <c r="G392" s="54">
        <v>0.23</v>
      </c>
      <c r="H392" s="56">
        <f t="shared" si="18"/>
        <v>0</v>
      </c>
      <c r="I392" s="57">
        <f t="shared" si="19"/>
        <v>0</v>
      </c>
      <c r="J392" s="56">
        <f t="shared" si="20"/>
        <v>0</v>
      </c>
    </row>
    <row r="393" spans="1:10" ht="18">
      <c r="A393" s="49">
        <v>2444</v>
      </c>
      <c r="B393" s="49" t="s">
        <v>623</v>
      </c>
      <c r="D393" s="49">
        <v>0</v>
      </c>
      <c r="E393" s="49">
        <v>0</v>
      </c>
      <c r="F393" s="49">
        <v>0</v>
      </c>
      <c r="G393" s="54">
        <v>-0.16</v>
      </c>
      <c r="H393" s="56">
        <f t="shared" si="18"/>
        <v>0</v>
      </c>
      <c r="I393" s="57">
        <f t="shared" si="19"/>
        <v>0</v>
      </c>
      <c r="J393" s="56">
        <f t="shared" si="20"/>
        <v>0</v>
      </c>
    </row>
    <row r="394" spans="1:10" ht="18">
      <c r="A394" s="49">
        <v>2449</v>
      </c>
      <c r="B394" s="49" t="s">
        <v>624</v>
      </c>
      <c r="D394" s="49">
        <v>8.4860000000000007</v>
      </c>
      <c r="E394" s="49">
        <v>17.513999999999999</v>
      </c>
      <c r="F394" s="49">
        <v>13</v>
      </c>
      <c r="G394" s="54">
        <v>4.78</v>
      </c>
      <c r="H394" s="56">
        <f t="shared" si="18"/>
        <v>40.563080000000006</v>
      </c>
      <c r="I394" s="57">
        <f t="shared" si="19"/>
        <v>62.14</v>
      </c>
      <c r="J394" s="56">
        <f t="shared" si="20"/>
        <v>83.716920000000002</v>
      </c>
    </row>
    <row r="395" spans="1:10" ht="18">
      <c r="A395" s="49">
        <v>2450</v>
      </c>
      <c r="B395" s="49" t="s">
        <v>625</v>
      </c>
      <c r="D395" s="49">
        <v>10.885999999999999</v>
      </c>
      <c r="E395" s="49">
        <v>20.798000000000002</v>
      </c>
      <c r="F395" s="49">
        <v>15.842000000000001</v>
      </c>
      <c r="G395" s="54">
        <v>2.73</v>
      </c>
      <c r="H395" s="56">
        <f t="shared" si="18"/>
        <v>29.718779999999999</v>
      </c>
      <c r="I395" s="57">
        <f t="shared" si="19"/>
        <v>43.248660000000001</v>
      </c>
      <c r="J395" s="56">
        <f t="shared" si="20"/>
        <v>56.778540000000007</v>
      </c>
    </row>
    <row r="396" spans="1:10" ht="18">
      <c r="A396" s="49">
        <v>2451</v>
      </c>
      <c r="B396" s="49" t="s">
        <v>626</v>
      </c>
      <c r="D396" s="49">
        <v>11.125999999999999</v>
      </c>
      <c r="E396" s="49">
        <v>18.266000000000002</v>
      </c>
      <c r="F396" s="49">
        <v>14.696000000000002</v>
      </c>
      <c r="G396" s="54">
        <v>4.63</v>
      </c>
      <c r="H396" s="56">
        <f t="shared" si="18"/>
        <v>51.513379999999998</v>
      </c>
      <c r="I396" s="57">
        <f t="shared" si="19"/>
        <v>68.042480000000012</v>
      </c>
      <c r="J396" s="56">
        <f t="shared" si="20"/>
        <v>84.571580000000012</v>
      </c>
    </row>
    <row r="397" spans="1:10" ht="18">
      <c r="A397" s="49">
        <v>2453</v>
      </c>
      <c r="B397" s="49" t="s">
        <v>627</v>
      </c>
      <c r="D397" s="49">
        <v>13.232000000000003</v>
      </c>
      <c r="E397" s="49">
        <v>25.848000000000003</v>
      </c>
      <c r="F397" s="49">
        <v>19.540000000000003</v>
      </c>
      <c r="G397" s="54">
        <v>2.78</v>
      </c>
      <c r="H397" s="56">
        <f t="shared" si="18"/>
        <v>36.784960000000005</v>
      </c>
      <c r="I397" s="57">
        <f t="shared" si="19"/>
        <v>54.321200000000005</v>
      </c>
      <c r="J397" s="56">
        <f t="shared" si="20"/>
        <v>71.857439999999997</v>
      </c>
    </row>
    <row r="398" spans="1:10" ht="18">
      <c r="A398" s="49">
        <v>2454</v>
      </c>
      <c r="B398" s="49" t="s">
        <v>628</v>
      </c>
      <c r="D398" s="49">
        <v>11.216000000000001</v>
      </c>
      <c r="E398" s="49">
        <v>30.304000000000002</v>
      </c>
      <c r="F398" s="49">
        <v>20.76</v>
      </c>
      <c r="G398" s="54">
        <v>48.51</v>
      </c>
      <c r="H398" s="56">
        <f t="shared" si="18"/>
        <v>544.08816000000002</v>
      </c>
      <c r="I398" s="57">
        <f t="shared" si="19"/>
        <v>1007.0676000000001</v>
      </c>
      <c r="J398" s="56">
        <f t="shared" si="20"/>
        <v>1470.0470400000002</v>
      </c>
    </row>
    <row r="399" spans="1:10" ht="18">
      <c r="A399" s="49">
        <v>2455</v>
      </c>
      <c r="B399" s="49" t="s">
        <v>629</v>
      </c>
      <c r="D399" s="49">
        <v>16.73</v>
      </c>
      <c r="E399" s="49">
        <v>26.060000000000002</v>
      </c>
      <c r="F399" s="49">
        <v>21.395000000000003</v>
      </c>
      <c r="G399" s="54">
        <v>2.4300000000000002</v>
      </c>
      <c r="H399" s="56">
        <f t="shared" si="18"/>
        <v>40.653900000000007</v>
      </c>
      <c r="I399" s="57">
        <f t="shared" si="19"/>
        <v>51.989850000000011</v>
      </c>
      <c r="J399" s="56">
        <f t="shared" si="20"/>
        <v>63.325800000000008</v>
      </c>
    </row>
    <row r="400" spans="1:10" ht="18">
      <c r="A400" s="49">
        <v>2457</v>
      </c>
      <c r="B400" s="49" t="s">
        <v>630</v>
      </c>
      <c r="D400" s="49">
        <v>8.984</v>
      </c>
      <c r="E400" s="49">
        <v>16.178000000000001</v>
      </c>
      <c r="F400" s="49">
        <v>12.581</v>
      </c>
      <c r="G400" s="54">
        <v>0.68</v>
      </c>
      <c r="H400" s="56">
        <f t="shared" si="18"/>
        <v>6.1091200000000008</v>
      </c>
      <c r="I400" s="57">
        <f t="shared" si="19"/>
        <v>8.5550800000000002</v>
      </c>
      <c r="J400" s="56">
        <f t="shared" si="20"/>
        <v>11.001040000000001</v>
      </c>
    </row>
    <row r="401" spans="1:10" ht="18">
      <c r="A401" s="49">
        <v>2458</v>
      </c>
      <c r="B401" s="49" t="s">
        <v>631</v>
      </c>
      <c r="D401" s="49">
        <v>11.065999999999999</v>
      </c>
      <c r="E401" s="49">
        <v>25.356000000000002</v>
      </c>
      <c r="F401" s="49">
        <v>18.210999999999999</v>
      </c>
      <c r="G401" s="54">
        <v>7.53</v>
      </c>
      <c r="H401" s="56">
        <f t="shared" si="18"/>
        <v>83.326979999999992</v>
      </c>
      <c r="I401" s="57">
        <f t="shared" si="19"/>
        <v>137.12882999999999</v>
      </c>
      <c r="J401" s="56">
        <f t="shared" si="20"/>
        <v>190.93068000000002</v>
      </c>
    </row>
    <row r="402" spans="1:10" ht="18">
      <c r="A402" s="49">
        <v>2459</v>
      </c>
      <c r="B402" s="49" t="s">
        <v>632</v>
      </c>
      <c r="D402" s="49">
        <v>7.7219999999999995</v>
      </c>
      <c r="E402" s="49">
        <v>12.25</v>
      </c>
      <c r="F402" s="49">
        <v>9.9860000000000007</v>
      </c>
      <c r="G402" s="54">
        <v>5.46</v>
      </c>
      <c r="H402" s="56">
        <f t="shared" si="18"/>
        <v>42.162119999999994</v>
      </c>
      <c r="I402" s="57">
        <f t="shared" si="19"/>
        <v>54.523560000000003</v>
      </c>
      <c r="J402" s="56">
        <f t="shared" si="20"/>
        <v>66.885000000000005</v>
      </c>
    </row>
    <row r="403" spans="1:10" ht="18">
      <c r="A403" s="49">
        <v>2460</v>
      </c>
      <c r="B403" s="49" t="s">
        <v>633</v>
      </c>
      <c r="D403" s="49">
        <v>10.662000000000001</v>
      </c>
      <c r="E403" s="49">
        <v>20.92</v>
      </c>
      <c r="F403" s="49">
        <v>15.791</v>
      </c>
      <c r="G403" s="54">
        <v>-1.05</v>
      </c>
      <c r="H403" s="56">
        <f t="shared" si="18"/>
        <v>-11.195100000000002</v>
      </c>
      <c r="I403" s="57">
        <f t="shared" si="19"/>
        <v>-16.580550000000002</v>
      </c>
      <c r="J403" s="56">
        <f t="shared" si="20"/>
        <v>-21.966000000000001</v>
      </c>
    </row>
    <row r="404" spans="1:10" ht="18">
      <c r="A404" s="49">
        <v>2461</v>
      </c>
      <c r="B404" s="49" t="s">
        <v>634</v>
      </c>
      <c r="D404" s="49">
        <v>9.2919999999999998</v>
      </c>
      <c r="E404" s="49">
        <v>21.130000000000003</v>
      </c>
      <c r="F404" s="49">
        <v>15.211000000000002</v>
      </c>
      <c r="G404" s="54">
        <v>0.66</v>
      </c>
      <c r="H404" s="56">
        <f t="shared" si="18"/>
        <v>6.1327199999999999</v>
      </c>
      <c r="I404" s="57">
        <f t="shared" si="19"/>
        <v>10.039260000000002</v>
      </c>
      <c r="J404" s="56">
        <f t="shared" si="20"/>
        <v>13.945800000000002</v>
      </c>
    </row>
    <row r="405" spans="1:10" ht="18">
      <c r="A405" s="49">
        <v>2462</v>
      </c>
      <c r="B405" s="49" t="s">
        <v>635</v>
      </c>
      <c r="D405" s="49">
        <v>8.3019999999999996</v>
      </c>
      <c r="E405" s="49">
        <v>29.308000000000003</v>
      </c>
      <c r="F405" s="49">
        <v>18.805</v>
      </c>
      <c r="G405" s="54">
        <v>1.85</v>
      </c>
      <c r="H405" s="56">
        <f t="shared" si="18"/>
        <v>15.358700000000001</v>
      </c>
      <c r="I405" s="57">
        <f t="shared" si="19"/>
        <v>34.789250000000003</v>
      </c>
      <c r="J405" s="56">
        <f t="shared" si="20"/>
        <v>54.219800000000006</v>
      </c>
    </row>
    <row r="406" spans="1:10" ht="18">
      <c r="A406" s="49">
        <v>2464</v>
      </c>
      <c r="B406" s="49" t="s">
        <v>636</v>
      </c>
      <c r="D406" s="49">
        <v>8.2319999999999993</v>
      </c>
      <c r="E406" s="49">
        <v>20.332000000000001</v>
      </c>
      <c r="F406" s="49">
        <v>14.282</v>
      </c>
      <c r="G406" s="54">
        <v>0.89</v>
      </c>
      <c r="H406" s="56">
        <f t="shared" si="18"/>
        <v>7.3264799999999992</v>
      </c>
      <c r="I406" s="57">
        <f t="shared" si="19"/>
        <v>12.710980000000001</v>
      </c>
      <c r="J406" s="56">
        <f t="shared" si="20"/>
        <v>18.095480000000002</v>
      </c>
    </row>
    <row r="407" spans="1:10" ht="18">
      <c r="A407" s="49">
        <v>2465</v>
      </c>
      <c r="B407" s="49" t="s">
        <v>637</v>
      </c>
      <c r="D407" s="49">
        <v>0</v>
      </c>
      <c r="E407" s="49">
        <v>0</v>
      </c>
      <c r="F407" s="49">
        <v>0</v>
      </c>
      <c r="G407" s="54">
        <v>-2.5299999999999998</v>
      </c>
      <c r="H407" s="56">
        <f t="shared" si="18"/>
        <v>0</v>
      </c>
      <c r="I407" s="57">
        <f t="shared" si="19"/>
        <v>0</v>
      </c>
      <c r="J407" s="56">
        <f t="shared" si="20"/>
        <v>0</v>
      </c>
    </row>
    <row r="408" spans="1:10" ht="18">
      <c r="A408" s="49">
        <v>2466</v>
      </c>
      <c r="B408" s="49" t="s">
        <v>638</v>
      </c>
      <c r="D408" s="49">
        <v>0</v>
      </c>
      <c r="E408" s="49">
        <v>0</v>
      </c>
      <c r="F408" s="49">
        <v>0</v>
      </c>
      <c r="G408" s="54">
        <v>0.18</v>
      </c>
      <c r="H408" s="56">
        <f t="shared" si="18"/>
        <v>0</v>
      </c>
      <c r="I408" s="57">
        <f t="shared" si="19"/>
        <v>0</v>
      </c>
      <c r="J408" s="56">
        <f t="shared" si="20"/>
        <v>0</v>
      </c>
    </row>
    <row r="409" spans="1:10" ht="18">
      <c r="A409" s="49">
        <v>2467</v>
      </c>
      <c r="B409" s="49" t="s">
        <v>639</v>
      </c>
      <c r="D409" s="49">
        <v>7.4879999999999995</v>
      </c>
      <c r="E409" s="49">
        <v>20.124000000000002</v>
      </c>
      <c r="F409" s="49">
        <v>13.806000000000001</v>
      </c>
      <c r="G409" s="54">
        <v>3.12</v>
      </c>
      <c r="H409" s="56">
        <f t="shared" si="18"/>
        <v>23.362559999999998</v>
      </c>
      <c r="I409" s="57">
        <f t="shared" si="19"/>
        <v>43.074720000000006</v>
      </c>
      <c r="J409" s="56">
        <f t="shared" si="20"/>
        <v>62.786880000000011</v>
      </c>
    </row>
    <row r="410" spans="1:10" ht="18">
      <c r="A410" s="49">
        <v>2468</v>
      </c>
      <c r="B410" s="49" t="s">
        <v>640</v>
      </c>
      <c r="D410" s="49">
        <v>11.314</v>
      </c>
      <c r="E410" s="49">
        <v>26.377999999999997</v>
      </c>
      <c r="F410" s="49">
        <v>18.845999999999997</v>
      </c>
      <c r="G410" s="54">
        <v>1.1200000000000001</v>
      </c>
      <c r="H410" s="56">
        <f t="shared" si="18"/>
        <v>12.671680000000002</v>
      </c>
      <c r="I410" s="57">
        <f t="shared" si="19"/>
        <v>21.107519999999997</v>
      </c>
      <c r="J410" s="56">
        <f t="shared" si="20"/>
        <v>29.54336</v>
      </c>
    </row>
    <row r="411" spans="1:10" ht="18">
      <c r="A411" s="49">
        <v>2471</v>
      </c>
      <c r="B411" s="49" t="s">
        <v>641</v>
      </c>
      <c r="D411" s="49">
        <v>9.5779999999999994</v>
      </c>
      <c r="E411" s="49">
        <v>19.748000000000001</v>
      </c>
      <c r="F411" s="49">
        <v>14.663</v>
      </c>
      <c r="G411" s="54">
        <v>3.66</v>
      </c>
      <c r="H411" s="56">
        <f t="shared" si="18"/>
        <v>35.055479999999996</v>
      </c>
      <c r="I411" s="57">
        <f t="shared" si="19"/>
        <v>53.666580000000003</v>
      </c>
      <c r="J411" s="56">
        <f t="shared" si="20"/>
        <v>72.277680000000004</v>
      </c>
    </row>
    <row r="412" spans="1:10" ht="18">
      <c r="A412" s="49">
        <v>2472</v>
      </c>
      <c r="B412" s="49" t="s">
        <v>642</v>
      </c>
      <c r="D412" s="49">
        <v>8.7159999999999993</v>
      </c>
      <c r="E412" s="49">
        <v>17.573999999999998</v>
      </c>
      <c r="F412" s="49">
        <v>13.145</v>
      </c>
      <c r="G412" s="54">
        <v>5.6</v>
      </c>
      <c r="H412" s="56">
        <f t="shared" si="18"/>
        <v>48.809599999999996</v>
      </c>
      <c r="I412" s="57">
        <f t="shared" si="19"/>
        <v>73.611999999999995</v>
      </c>
      <c r="J412" s="56">
        <f t="shared" si="20"/>
        <v>98.414399999999986</v>
      </c>
    </row>
    <row r="413" spans="1:10" ht="18">
      <c r="A413" s="49">
        <v>2474</v>
      </c>
      <c r="B413" s="49" t="s">
        <v>643</v>
      </c>
      <c r="D413" s="49">
        <v>7.104000000000001</v>
      </c>
      <c r="E413" s="49">
        <v>15.948000000000002</v>
      </c>
      <c r="F413" s="49">
        <v>11.526000000000002</v>
      </c>
      <c r="G413" s="54">
        <v>13.33</v>
      </c>
      <c r="H413" s="56">
        <f t="shared" si="18"/>
        <v>94.696320000000014</v>
      </c>
      <c r="I413" s="57">
        <f t="shared" si="19"/>
        <v>153.64158000000003</v>
      </c>
      <c r="J413" s="56">
        <f t="shared" si="20"/>
        <v>212.58684000000002</v>
      </c>
    </row>
    <row r="414" spans="1:10" ht="18">
      <c r="A414" s="49">
        <v>2476</v>
      </c>
      <c r="B414" s="49" t="s">
        <v>644</v>
      </c>
      <c r="D414" s="49">
        <v>9.6499999999999986</v>
      </c>
      <c r="E414" s="49">
        <v>18.684000000000005</v>
      </c>
      <c r="F414" s="49">
        <v>14.167000000000002</v>
      </c>
      <c r="G414" s="54">
        <v>3.54</v>
      </c>
      <c r="H414" s="56">
        <f t="shared" si="18"/>
        <v>34.160999999999994</v>
      </c>
      <c r="I414" s="57">
        <f t="shared" si="19"/>
        <v>50.151180000000004</v>
      </c>
      <c r="J414" s="56">
        <f t="shared" si="20"/>
        <v>66.14136000000002</v>
      </c>
    </row>
    <row r="415" spans="1:10" ht="18">
      <c r="A415" s="49">
        <v>2477</v>
      </c>
      <c r="B415" s="49" t="s">
        <v>645</v>
      </c>
      <c r="D415" s="49">
        <v>8.42</v>
      </c>
      <c r="E415" s="49">
        <v>20.321999999999996</v>
      </c>
      <c r="F415" s="49">
        <v>14.370999999999999</v>
      </c>
      <c r="G415" s="54">
        <v>0.24</v>
      </c>
      <c r="H415" s="56">
        <f t="shared" si="18"/>
        <v>2.0207999999999999</v>
      </c>
      <c r="I415" s="57">
        <f t="shared" si="19"/>
        <v>3.4490399999999997</v>
      </c>
      <c r="J415" s="56">
        <f t="shared" si="20"/>
        <v>4.8772799999999989</v>
      </c>
    </row>
    <row r="416" spans="1:10" ht="18">
      <c r="A416" s="49">
        <v>2478</v>
      </c>
      <c r="B416" s="49" t="s">
        <v>646</v>
      </c>
      <c r="D416" s="49">
        <v>10.146000000000001</v>
      </c>
      <c r="E416" s="49">
        <v>30.47</v>
      </c>
      <c r="F416" s="49">
        <v>20.308</v>
      </c>
      <c r="G416" s="54">
        <v>2.56</v>
      </c>
      <c r="H416" s="56">
        <f t="shared" si="18"/>
        <v>25.973760000000002</v>
      </c>
      <c r="I416" s="57">
        <f t="shared" si="19"/>
        <v>51.988480000000003</v>
      </c>
      <c r="J416" s="56">
        <f t="shared" si="20"/>
        <v>78.003199999999993</v>
      </c>
    </row>
    <row r="417" spans="1:10" ht="18">
      <c r="A417" s="49">
        <v>2480</v>
      </c>
      <c r="B417" s="49" t="s">
        <v>647</v>
      </c>
      <c r="D417" s="49">
        <v>10.006</v>
      </c>
      <c r="E417" s="49">
        <v>16.524000000000001</v>
      </c>
      <c r="F417" s="49">
        <v>13.265000000000001</v>
      </c>
      <c r="G417" s="54">
        <v>7.36</v>
      </c>
      <c r="H417" s="56">
        <f t="shared" si="18"/>
        <v>73.644159999999999</v>
      </c>
      <c r="I417" s="57">
        <f t="shared" si="19"/>
        <v>97.630400000000009</v>
      </c>
      <c r="J417" s="56">
        <f t="shared" si="20"/>
        <v>121.61664000000002</v>
      </c>
    </row>
    <row r="418" spans="1:10" ht="18">
      <c r="A418" s="49">
        <v>2481</v>
      </c>
      <c r="B418" s="49" t="s">
        <v>648</v>
      </c>
      <c r="D418" s="49">
        <v>11.055999999999999</v>
      </c>
      <c r="E418" s="49">
        <v>23.167999999999999</v>
      </c>
      <c r="F418" s="49">
        <v>17.111999999999998</v>
      </c>
      <c r="G418" s="54">
        <v>2.15</v>
      </c>
      <c r="H418" s="56">
        <f t="shared" si="18"/>
        <v>23.770399999999999</v>
      </c>
      <c r="I418" s="57">
        <f t="shared" si="19"/>
        <v>36.790799999999997</v>
      </c>
      <c r="J418" s="56">
        <f t="shared" si="20"/>
        <v>49.811199999999999</v>
      </c>
    </row>
    <row r="419" spans="1:10" ht="18">
      <c r="A419" s="49">
        <v>2482</v>
      </c>
      <c r="B419" s="49" t="s">
        <v>649</v>
      </c>
      <c r="D419" s="49">
        <v>15.14</v>
      </c>
      <c r="E419" s="49">
        <v>20.419999999999998</v>
      </c>
      <c r="F419" s="49">
        <v>17.78</v>
      </c>
      <c r="G419" s="54">
        <v>2.4</v>
      </c>
      <c r="H419" s="56">
        <f t="shared" si="18"/>
        <v>36.335999999999999</v>
      </c>
      <c r="I419" s="57">
        <f t="shared" si="19"/>
        <v>42.672000000000004</v>
      </c>
      <c r="J419" s="56">
        <f t="shared" si="20"/>
        <v>49.007999999999996</v>
      </c>
    </row>
    <row r="420" spans="1:10" ht="18">
      <c r="A420" s="49">
        <v>2483</v>
      </c>
      <c r="B420" s="49" t="s">
        <v>650</v>
      </c>
      <c r="D420" s="49">
        <v>10.872</v>
      </c>
      <c r="E420" s="49">
        <v>25.792000000000002</v>
      </c>
      <c r="F420" s="49">
        <v>18.332000000000001</v>
      </c>
      <c r="G420" s="54">
        <v>0.32</v>
      </c>
      <c r="H420" s="56">
        <f t="shared" si="18"/>
        <v>3.4790399999999999</v>
      </c>
      <c r="I420" s="57">
        <f t="shared" si="19"/>
        <v>5.8662400000000003</v>
      </c>
      <c r="J420" s="56">
        <f t="shared" si="20"/>
        <v>8.2534400000000012</v>
      </c>
    </row>
    <row r="421" spans="1:10" ht="18">
      <c r="A421" s="49">
        <v>2484</v>
      </c>
      <c r="B421" s="49" t="s">
        <v>651</v>
      </c>
      <c r="D421" s="49">
        <v>9.5</v>
      </c>
      <c r="E421" s="49">
        <v>19.241999999999997</v>
      </c>
      <c r="F421" s="49">
        <v>14.370999999999999</v>
      </c>
      <c r="G421" s="54">
        <v>1.64</v>
      </c>
      <c r="H421" s="56">
        <f t="shared" si="18"/>
        <v>15.579999999999998</v>
      </c>
      <c r="I421" s="57">
        <f t="shared" si="19"/>
        <v>23.568439999999995</v>
      </c>
      <c r="J421" s="56">
        <f t="shared" si="20"/>
        <v>31.556879999999992</v>
      </c>
    </row>
    <row r="422" spans="1:10" ht="18">
      <c r="A422" s="49">
        <v>2485</v>
      </c>
      <c r="B422" s="49" t="s">
        <v>652</v>
      </c>
      <c r="D422" s="49">
        <v>12.372</v>
      </c>
      <c r="E422" s="49">
        <v>18.157999999999998</v>
      </c>
      <c r="F422" s="49">
        <v>15.264999999999999</v>
      </c>
      <c r="G422" s="54">
        <v>-0.23</v>
      </c>
      <c r="H422" s="56">
        <f t="shared" si="18"/>
        <v>-2.8455600000000003</v>
      </c>
      <c r="I422" s="57">
        <f t="shared" si="19"/>
        <v>-3.5109499999999998</v>
      </c>
      <c r="J422" s="56">
        <f t="shared" si="20"/>
        <v>-4.1763399999999997</v>
      </c>
    </row>
    <row r="423" spans="1:10" ht="18">
      <c r="A423" s="49">
        <v>2486</v>
      </c>
      <c r="B423" s="49" t="s">
        <v>653</v>
      </c>
      <c r="D423" s="49">
        <v>13.808000000000002</v>
      </c>
      <c r="E423" s="49">
        <v>26.088000000000001</v>
      </c>
      <c r="F423" s="49">
        <v>19.948</v>
      </c>
      <c r="G423" s="54">
        <v>0.92</v>
      </c>
      <c r="H423" s="56">
        <f t="shared" si="18"/>
        <v>12.703360000000002</v>
      </c>
      <c r="I423" s="57">
        <f t="shared" si="19"/>
        <v>18.352160000000001</v>
      </c>
      <c r="J423" s="56">
        <f t="shared" si="20"/>
        <v>24.000960000000003</v>
      </c>
    </row>
    <row r="424" spans="1:10" ht="18">
      <c r="A424" s="49">
        <v>2488</v>
      </c>
      <c r="B424" s="49" t="s">
        <v>654</v>
      </c>
      <c r="D424" s="49">
        <v>7.4879999999999995</v>
      </c>
      <c r="E424" s="49">
        <v>15.540000000000001</v>
      </c>
      <c r="F424" s="49">
        <v>11.513999999999999</v>
      </c>
      <c r="G424" s="54">
        <v>4.3899999999999997</v>
      </c>
      <c r="H424" s="56">
        <f t="shared" si="18"/>
        <v>32.872319999999995</v>
      </c>
      <c r="I424" s="57">
        <f t="shared" si="19"/>
        <v>50.546459999999996</v>
      </c>
      <c r="J424" s="56">
        <f t="shared" si="20"/>
        <v>68.220600000000005</v>
      </c>
    </row>
    <row r="425" spans="1:10" ht="18">
      <c r="A425" s="49">
        <v>2489</v>
      </c>
      <c r="B425" s="49" t="s">
        <v>655</v>
      </c>
      <c r="D425" s="49">
        <v>6.8920000000000003</v>
      </c>
      <c r="E425" s="49">
        <v>17.934000000000001</v>
      </c>
      <c r="F425" s="49">
        <v>12.413</v>
      </c>
      <c r="G425" s="54">
        <v>0.57999999999999996</v>
      </c>
      <c r="H425" s="56">
        <f t="shared" si="18"/>
        <v>3.99736</v>
      </c>
      <c r="I425" s="57">
        <f t="shared" si="19"/>
        <v>7.1995399999999998</v>
      </c>
      <c r="J425" s="56">
        <f t="shared" si="20"/>
        <v>10.401719999999999</v>
      </c>
    </row>
    <row r="426" spans="1:10" ht="18">
      <c r="A426" s="49">
        <v>2491</v>
      </c>
      <c r="B426" s="49" t="s">
        <v>656</v>
      </c>
      <c r="D426" s="49">
        <v>8.6999999999999993</v>
      </c>
      <c r="E426" s="49">
        <v>8.6999999999999993</v>
      </c>
      <c r="F426" s="49">
        <v>8.6999999999999993</v>
      </c>
      <c r="G426" s="54">
        <v>0.45</v>
      </c>
      <c r="H426" s="56">
        <f t="shared" si="18"/>
        <v>3.9149999999999996</v>
      </c>
      <c r="I426" s="57">
        <f t="shared" si="19"/>
        <v>3.9149999999999996</v>
      </c>
      <c r="J426" s="56">
        <f t="shared" si="20"/>
        <v>3.9149999999999996</v>
      </c>
    </row>
    <row r="427" spans="1:10" ht="18">
      <c r="A427" s="49">
        <v>2492</v>
      </c>
      <c r="B427" s="49" t="s">
        <v>657</v>
      </c>
      <c r="D427" s="49">
        <v>8.4019999999999992</v>
      </c>
      <c r="E427" s="49">
        <v>25.428000000000004</v>
      </c>
      <c r="F427" s="49">
        <v>16.915000000000003</v>
      </c>
      <c r="G427" s="54">
        <v>4.09</v>
      </c>
      <c r="H427" s="56">
        <f t="shared" si="18"/>
        <v>34.364179999999998</v>
      </c>
      <c r="I427" s="57">
        <f t="shared" si="19"/>
        <v>69.182350000000014</v>
      </c>
      <c r="J427" s="56">
        <f t="shared" si="20"/>
        <v>104.00052000000001</v>
      </c>
    </row>
    <row r="428" spans="1:10" ht="18">
      <c r="A428" s="49">
        <v>2493</v>
      </c>
      <c r="B428" s="49" t="s">
        <v>658</v>
      </c>
      <c r="D428" s="49">
        <v>7.8419999999999987</v>
      </c>
      <c r="E428" s="49">
        <v>13.652000000000001</v>
      </c>
      <c r="F428" s="49">
        <v>10.747</v>
      </c>
      <c r="G428" s="54">
        <v>6.03</v>
      </c>
      <c r="H428" s="56">
        <f t="shared" si="18"/>
        <v>47.287259999999996</v>
      </c>
      <c r="I428" s="57">
        <f t="shared" si="19"/>
        <v>64.804410000000004</v>
      </c>
      <c r="J428" s="56">
        <f t="shared" si="20"/>
        <v>82.321560000000005</v>
      </c>
    </row>
    <row r="429" spans="1:10" ht="18">
      <c r="A429" s="49">
        <v>2495</v>
      </c>
      <c r="B429" s="49" t="s">
        <v>659</v>
      </c>
      <c r="D429" s="49">
        <v>12.084</v>
      </c>
      <c r="E429" s="49">
        <v>25.830000000000002</v>
      </c>
      <c r="F429" s="49">
        <v>18.957000000000001</v>
      </c>
      <c r="G429" s="54">
        <v>0.88</v>
      </c>
      <c r="H429" s="56">
        <f t="shared" si="18"/>
        <v>10.63392</v>
      </c>
      <c r="I429" s="57">
        <f t="shared" si="19"/>
        <v>16.68216</v>
      </c>
      <c r="J429" s="56">
        <f t="shared" si="20"/>
        <v>22.730400000000003</v>
      </c>
    </row>
    <row r="430" spans="1:10" ht="18">
      <c r="A430" s="49">
        <v>2496</v>
      </c>
      <c r="B430" s="49" t="s">
        <v>660</v>
      </c>
      <c r="D430" s="49">
        <v>12.95</v>
      </c>
      <c r="E430" s="49">
        <v>15.224</v>
      </c>
      <c r="F430" s="49">
        <v>14.087</v>
      </c>
      <c r="G430" s="54">
        <v>5.48</v>
      </c>
      <c r="H430" s="56">
        <f t="shared" si="18"/>
        <v>70.966000000000008</v>
      </c>
      <c r="I430" s="57">
        <f t="shared" si="19"/>
        <v>77.196759999999998</v>
      </c>
      <c r="J430" s="56">
        <f t="shared" si="20"/>
        <v>83.427520000000001</v>
      </c>
    </row>
    <row r="431" spans="1:10" ht="18">
      <c r="A431" s="49">
        <v>2497</v>
      </c>
      <c r="B431" s="49" t="s">
        <v>661</v>
      </c>
      <c r="D431" s="49">
        <v>16.145999999999997</v>
      </c>
      <c r="E431" s="49">
        <v>22.364000000000001</v>
      </c>
      <c r="F431" s="49">
        <v>19.254999999999999</v>
      </c>
      <c r="G431" s="54">
        <v>1.89</v>
      </c>
      <c r="H431" s="56">
        <f t="shared" si="18"/>
        <v>30.515939999999993</v>
      </c>
      <c r="I431" s="57">
        <f t="shared" si="19"/>
        <v>36.391949999999994</v>
      </c>
      <c r="J431" s="56">
        <f t="shared" si="20"/>
        <v>42.267960000000002</v>
      </c>
    </row>
    <row r="432" spans="1:10" ht="18">
      <c r="A432" s="49">
        <v>2498</v>
      </c>
      <c r="B432" s="49" t="s">
        <v>662</v>
      </c>
      <c r="D432" s="49">
        <v>8.0120000000000005</v>
      </c>
      <c r="E432" s="49">
        <v>13.3</v>
      </c>
      <c r="F432" s="49">
        <v>10.656000000000001</v>
      </c>
      <c r="G432" s="54">
        <v>-4.09</v>
      </c>
      <c r="H432" s="56">
        <f t="shared" si="18"/>
        <v>-32.769080000000002</v>
      </c>
      <c r="I432" s="57">
        <f t="shared" si="19"/>
        <v>-43.583040000000004</v>
      </c>
      <c r="J432" s="56">
        <f t="shared" si="20"/>
        <v>-54.396999999999998</v>
      </c>
    </row>
    <row r="433" spans="1:10" ht="18">
      <c r="A433" s="49">
        <v>2501</v>
      </c>
      <c r="B433" s="49" t="s">
        <v>663</v>
      </c>
      <c r="D433" s="49">
        <v>7.3159999999999998</v>
      </c>
      <c r="E433" s="49">
        <v>23.422000000000004</v>
      </c>
      <c r="F433" s="49">
        <v>15.369000000000002</v>
      </c>
      <c r="G433" s="54">
        <v>1.87</v>
      </c>
      <c r="H433" s="56">
        <f t="shared" si="18"/>
        <v>13.68092</v>
      </c>
      <c r="I433" s="57">
        <f t="shared" si="19"/>
        <v>28.740030000000004</v>
      </c>
      <c r="J433" s="56">
        <f t="shared" si="20"/>
        <v>43.799140000000008</v>
      </c>
    </row>
    <row r="434" spans="1:10" ht="18">
      <c r="A434" s="49">
        <v>2504</v>
      </c>
      <c r="B434" s="49" t="s">
        <v>664</v>
      </c>
      <c r="D434" s="49">
        <v>10.992000000000001</v>
      </c>
      <c r="E434" s="49">
        <v>26.203999999999997</v>
      </c>
      <c r="F434" s="49">
        <v>18.597999999999999</v>
      </c>
      <c r="G434" s="54">
        <v>3</v>
      </c>
      <c r="H434" s="56">
        <f t="shared" si="18"/>
        <v>32.975999999999999</v>
      </c>
      <c r="I434" s="57">
        <f t="shared" si="19"/>
        <v>55.793999999999997</v>
      </c>
      <c r="J434" s="56">
        <f t="shared" si="20"/>
        <v>78.611999999999995</v>
      </c>
    </row>
    <row r="435" spans="1:10" ht="18">
      <c r="A435" s="49">
        <v>2505</v>
      </c>
      <c r="B435" s="49" t="s">
        <v>665</v>
      </c>
      <c r="D435" s="49">
        <v>6.5620000000000003</v>
      </c>
      <c r="E435" s="49">
        <v>18.240000000000002</v>
      </c>
      <c r="F435" s="49">
        <v>12.401000000000002</v>
      </c>
      <c r="G435" s="54">
        <v>0.8</v>
      </c>
      <c r="H435" s="56">
        <f t="shared" si="18"/>
        <v>5.2496000000000009</v>
      </c>
      <c r="I435" s="57">
        <f t="shared" si="19"/>
        <v>9.9208000000000016</v>
      </c>
      <c r="J435" s="56">
        <f t="shared" si="20"/>
        <v>14.592000000000002</v>
      </c>
    </row>
    <row r="436" spans="1:10" ht="18">
      <c r="A436" s="49">
        <v>2506</v>
      </c>
      <c r="B436" s="49" t="s">
        <v>666</v>
      </c>
      <c r="D436" s="49">
        <v>6.1599999999999993</v>
      </c>
      <c r="E436" s="49">
        <v>20.417999999999999</v>
      </c>
      <c r="F436" s="49">
        <v>13.289</v>
      </c>
      <c r="G436" s="54">
        <v>0.12</v>
      </c>
      <c r="H436" s="56">
        <f t="shared" si="18"/>
        <v>0.73919999999999986</v>
      </c>
      <c r="I436" s="57">
        <f t="shared" si="19"/>
        <v>1.5946799999999999</v>
      </c>
      <c r="J436" s="56">
        <f t="shared" si="20"/>
        <v>2.4501599999999999</v>
      </c>
    </row>
    <row r="437" spans="1:10" ht="18">
      <c r="A437" s="49">
        <v>2509</v>
      </c>
      <c r="B437" s="49" t="s">
        <v>667</v>
      </c>
      <c r="D437" s="49">
        <v>4.9020000000000001</v>
      </c>
      <c r="E437" s="49">
        <v>19.808</v>
      </c>
      <c r="F437" s="49">
        <v>12.355</v>
      </c>
      <c r="G437" s="54">
        <v>-1.0900000000000001</v>
      </c>
      <c r="H437" s="56">
        <f t="shared" si="18"/>
        <v>-5.3431800000000003</v>
      </c>
      <c r="I437" s="57">
        <f t="shared" si="19"/>
        <v>-13.466950000000001</v>
      </c>
      <c r="J437" s="56">
        <f t="shared" si="20"/>
        <v>-21.590720000000001</v>
      </c>
    </row>
    <row r="438" spans="1:10" ht="18">
      <c r="A438" s="49">
        <v>2511</v>
      </c>
      <c r="B438" s="49" t="s">
        <v>668</v>
      </c>
      <c r="D438" s="49">
        <v>8.4599999999999991</v>
      </c>
      <c r="E438" s="49">
        <v>26.79</v>
      </c>
      <c r="F438" s="49">
        <v>17.625</v>
      </c>
      <c r="G438" s="54">
        <v>0.37</v>
      </c>
      <c r="H438" s="56">
        <f t="shared" si="18"/>
        <v>3.1301999999999994</v>
      </c>
      <c r="I438" s="57">
        <f t="shared" si="19"/>
        <v>6.5212500000000002</v>
      </c>
      <c r="J438" s="56">
        <f t="shared" si="20"/>
        <v>9.9123000000000001</v>
      </c>
    </row>
    <row r="439" spans="1:10" ht="18">
      <c r="A439" s="49">
        <v>2514</v>
      </c>
      <c r="B439" s="49" t="s">
        <v>669</v>
      </c>
      <c r="D439" s="49">
        <v>6.1539999999999999</v>
      </c>
      <c r="E439" s="49">
        <v>21.096</v>
      </c>
      <c r="F439" s="49">
        <v>13.625</v>
      </c>
      <c r="G439" s="54">
        <v>2.44</v>
      </c>
      <c r="H439" s="56">
        <f t="shared" si="18"/>
        <v>15.01576</v>
      </c>
      <c r="I439" s="57">
        <f t="shared" si="19"/>
        <v>33.244999999999997</v>
      </c>
      <c r="J439" s="56">
        <f t="shared" si="20"/>
        <v>51.474240000000002</v>
      </c>
    </row>
    <row r="440" spans="1:10" ht="18">
      <c r="A440" s="49">
        <v>2515</v>
      </c>
      <c r="B440" s="49" t="s">
        <v>670</v>
      </c>
      <c r="D440" s="49">
        <v>13.584</v>
      </c>
      <c r="E440" s="49">
        <v>28.706</v>
      </c>
      <c r="F440" s="49">
        <v>21.145</v>
      </c>
      <c r="G440" s="54">
        <v>0.41</v>
      </c>
      <c r="H440" s="56">
        <f t="shared" si="18"/>
        <v>5.5694399999999993</v>
      </c>
      <c r="I440" s="57">
        <f t="shared" si="19"/>
        <v>8.6694499999999994</v>
      </c>
      <c r="J440" s="56">
        <f t="shared" si="20"/>
        <v>11.769459999999999</v>
      </c>
    </row>
    <row r="441" spans="1:10" ht="18">
      <c r="A441" s="49">
        <v>2516</v>
      </c>
      <c r="B441" s="49" t="s">
        <v>671</v>
      </c>
      <c r="D441" s="49">
        <v>8</v>
      </c>
      <c r="E441" s="49">
        <v>15.568000000000001</v>
      </c>
      <c r="F441" s="49">
        <v>11.784000000000001</v>
      </c>
      <c r="G441" s="54">
        <v>0.77</v>
      </c>
      <c r="H441" s="56">
        <f t="shared" si="18"/>
        <v>6.16</v>
      </c>
      <c r="I441" s="57">
        <f t="shared" si="19"/>
        <v>9.0736800000000013</v>
      </c>
      <c r="J441" s="56">
        <f t="shared" si="20"/>
        <v>11.987360000000001</v>
      </c>
    </row>
    <row r="442" spans="1:10" ht="18">
      <c r="A442" s="49">
        <v>2520</v>
      </c>
      <c r="B442" s="49" t="s">
        <v>672</v>
      </c>
      <c r="D442" s="49">
        <v>5.3040000000000003</v>
      </c>
      <c r="E442" s="49">
        <v>17.017999999999997</v>
      </c>
      <c r="F442" s="49">
        <v>11.160999999999998</v>
      </c>
      <c r="G442" s="54">
        <v>4.42</v>
      </c>
      <c r="H442" s="56">
        <f t="shared" si="18"/>
        <v>23.443680000000001</v>
      </c>
      <c r="I442" s="57">
        <f t="shared" si="19"/>
        <v>49.331619999999987</v>
      </c>
      <c r="J442" s="56">
        <f t="shared" si="20"/>
        <v>75.219559999999987</v>
      </c>
    </row>
    <row r="443" spans="1:10" ht="18">
      <c r="A443" s="49">
        <v>2524</v>
      </c>
      <c r="B443" s="49" t="s">
        <v>673</v>
      </c>
      <c r="D443" s="49">
        <v>7.0400000000000009</v>
      </c>
      <c r="E443" s="49">
        <v>20.517999999999997</v>
      </c>
      <c r="F443" s="49">
        <v>13.779</v>
      </c>
      <c r="G443" s="54">
        <v>1.2</v>
      </c>
      <c r="H443" s="56">
        <f t="shared" si="18"/>
        <v>8.4480000000000004</v>
      </c>
      <c r="I443" s="57">
        <f t="shared" si="19"/>
        <v>16.534800000000001</v>
      </c>
      <c r="J443" s="56">
        <f t="shared" si="20"/>
        <v>24.621599999999997</v>
      </c>
    </row>
    <row r="444" spans="1:10" ht="18">
      <c r="A444" s="49">
        <v>2527</v>
      </c>
      <c r="B444" s="49" t="s">
        <v>674</v>
      </c>
      <c r="D444" s="49">
        <v>5.8779999999999992</v>
      </c>
      <c r="E444" s="49">
        <v>18.797999999999998</v>
      </c>
      <c r="F444" s="49">
        <v>12.337999999999999</v>
      </c>
      <c r="G444" s="54">
        <v>2.2200000000000002</v>
      </c>
      <c r="H444" s="56">
        <f t="shared" si="18"/>
        <v>13.049159999999999</v>
      </c>
      <c r="I444" s="57">
        <f t="shared" si="19"/>
        <v>27.390360000000001</v>
      </c>
      <c r="J444" s="56">
        <f t="shared" si="20"/>
        <v>41.731560000000002</v>
      </c>
    </row>
    <row r="445" spans="1:10" ht="18">
      <c r="A445" s="49">
        <v>2528</v>
      </c>
      <c r="B445" s="49" t="s">
        <v>675</v>
      </c>
      <c r="D445" s="49">
        <v>18.824000000000002</v>
      </c>
      <c r="E445" s="49">
        <v>25.137999999999998</v>
      </c>
      <c r="F445" s="49">
        <v>21.981000000000002</v>
      </c>
      <c r="G445" s="54">
        <v>0.64</v>
      </c>
      <c r="H445" s="56">
        <f t="shared" si="18"/>
        <v>12.047360000000001</v>
      </c>
      <c r="I445" s="57">
        <f t="shared" si="19"/>
        <v>14.067840000000002</v>
      </c>
      <c r="J445" s="56">
        <f t="shared" si="20"/>
        <v>16.08832</v>
      </c>
    </row>
    <row r="446" spans="1:10" ht="18">
      <c r="A446" s="49">
        <v>2530</v>
      </c>
      <c r="B446" s="49" t="s">
        <v>676</v>
      </c>
      <c r="D446" s="49">
        <v>0</v>
      </c>
      <c r="E446" s="49">
        <v>0</v>
      </c>
      <c r="F446" s="49">
        <v>0</v>
      </c>
      <c r="G446" s="54">
        <v>0.61</v>
      </c>
      <c r="H446" s="56">
        <f t="shared" si="18"/>
        <v>0</v>
      </c>
      <c r="I446" s="57">
        <f t="shared" si="19"/>
        <v>0</v>
      </c>
      <c r="J446" s="56">
        <f t="shared" si="20"/>
        <v>0</v>
      </c>
    </row>
    <row r="447" spans="1:10" ht="18">
      <c r="A447" s="49">
        <v>2534</v>
      </c>
      <c r="B447" s="49" t="s">
        <v>677</v>
      </c>
      <c r="D447" s="49">
        <v>5.5680000000000005</v>
      </c>
      <c r="E447" s="49">
        <v>20.851999999999997</v>
      </c>
      <c r="F447" s="49">
        <v>13.209999999999999</v>
      </c>
      <c r="G447" s="54">
        <v>1.1000000000000001</v>
      </c>
      <c r="H447" s="56">
        <f t="shared" si="18"/>
        <v>6.1248000000000014</v>
      </c>
      <c r="I447" s="57">
        <f t="shared" si="19"/>
        <v>14.531000000000001</v>
      </c>
      <c r="J447" s="56">
        <f t="shared" si="20"/>
        <v>22.937199999999997</v>
      </c>
    </row>
    <row r="448" spans="1:10" ht="18">
      <c r="A448" s="49">
        <v>2535</v>
      </c>
      <c r="B448" s="49" t="s">
        <v>678</v>
      </c>
      <c r="D448" s="49">
        <v>7.2939999999999996</v>
      </c>
      <c r="E448" s="49">
        <v>13.882</v>
      </c>
      <c r="F448" s="49">
        <v>10.587999999999999</v>
      </c>
      <c r="G448" s="54">
        <v>3.77</v>
      </c>
      <c r="H448" s="56">
        <f t="shared" si="18"/>
        <v>27.498379999999997</v>
      </c>
      <c r="I448" s="57">
        <f t="shared" si="19"/>
        <v>39.916759999999996</v>
      </c>
      <c r="J448" s="56">
        <f t="shared" si="20"/>
        <v>52.335139999999996</v>
      </c>
    </row>
    <row r="449" spans="1:10" ht="18">
      <c r="A449" s="49">
        <v>2536</v>
      </c>
      <c r="B449" s="49" t="s">
        <v>679</v>
      </c>
      <c r="D449" s="49">
        <v>4.8719999999999999</v>
      </c>
      <c r="E449" s="49">
        <v>13.138</v>
      </c>
      <c r="F449" s="49">
        <v>9.004999999999999</v>
      </c>
      <c r="G449" s="54">
        <v>0.69</v>
      </c>
      <c r="H449" s="56">
        <f t="shared" si="18"/>
        <v>3.3616799999999998</v>
      </c>
      <c r="I449" s="57">
        <f t="shared" si="19"/>
        <v>6.213449999999999</v>
      </c>
      <c r="J449" s="56">
        <f t="shared" si="20"/>
        <v>9.0652200000000001</v>
      </c>
    </row>
    <row r="450" spans="1:10" ht="18">
      <c r="A450" s="49">
        <v>2537</v>
      </c>
      <c r="B450" s="49" t="s">
        <v>680</v>
      </c>
      <c r="D450" s="49">
        <v>5.766</v>
      </c>
      <c r="E450" s="49">
        <v>14.343999999999999</v>
      </c>
      <c r="F450" s="49">
        <v>10.055</v>
      </c>
      <c r="G450" s="54">
        <v>-0.2</v>
      </c>
      <c r="H450" s="56">
        <f t="shared" si="18"/>
        <v>-1.1532</v>
      </c>
      <c r="I450" s="57">
        <f t="shared" si="19"/>
        <v>-2.0110000000000001</v>
      </c>
      <c r="J450" s="56">
        <f t="shared" si="20"/>
        <v>-2.8688000000000002</v>
      </c>
    </row>
    <row r="451" spans="1:10" ht="18">
      <c r="A451" s="49">
        <v>2538</v>
      </c>
      <c r="B451" s="49" t="s">
        <v>681</v>
      </c>
      <c r="D451" s="49">
        <v>5.6820000000000004</v>
      </c>
      <c r="E451" s="49">
        <v>16.28</v>
      </c>
      <c r="F451" s="49">
        <v>10.981000000000002</v>
      </c>
      <c r="G451" s="54">
        <v>0.94</v>
      </c>
      <c r="H451" s="56">
        <f t="shared" ref="H451:H514" si="21">G451*D451</f>
        <v>5.3410799999999998</v>
      </c>
      <c r="I451" s="57">
        <f t="shared" ref="I451:I514" si="22">G451*F451</f>
        <v>10.322140000000001</v>
      </c>
      <c r="J451" s="56">
        <f t="shared" ref="J451:J514" si="23">G451*E451</f>
        <v>15.3032</v>
      </c>
    </row>
    <row r="452" spans="1:10" ht="18">
      <c r="A452" s="49">
        <v>2539</v>
      </c>
      <c r="B452" s="49" t="s">
        <v>682</v>
      </c>
      <c r="D452" s="49">
        <v>7.7859999999999987</v>
      </c>
      <c r="E452" s="49">
        <v>21.065999999999999</v>
      </c>
      <c r="F452" s="49">
        <v>14.425999999999998</v>
      </c>
      <c r="G452" s="54">
        <v>2.15</v>
      </c>
      <c r="H452" s="56">
        <f t="shared" si="21"/>
        <v>16.739899999999995</v>
      </c>
      <c r="I452" s="57">
        <f t="shared" si="22"/>
        <v>31.015899999999995</v>
      </c>
      <c r="J452" s="56">
        <f t="shared" si="23"/>
        <v>45.291899999999998</v>
      </c>
    </row>
    <row r="453" spans="1:10" ht="18">
      <c r="A453" s="49">
        <v>2540</v>
      </c>
      <c r="B453" s="49" t="s">
        <v>683</v>
      </c>
      <c r="D453" s="49">
        <v>7.8840000000000003</v>
      </c>
      <c r="E453" s="49">
        <v>20.857999999999997</v>
      </c>
      <c r="F453" s="49">
        <v>14.370999999999999</v>
      </c>
      <c r="G453" s="54">
        <v>3.77</v>
      </c>
      <c r="H453" s="56">
        <f t="shared" si="21"/>
        <v>29.72268</v>
      </c>
      <c r="I453" s="57">
        <f t="shared" si="22"/>
        <v>54.178669999999997</v>
      </c>
      <c r="J453" s="56">
        <f t="shared" si="23"/>
        <v>78.634659999999982</v>
      </c>
    </row>
    <row r="454" spans="1:10" ht="18">
      <c r="A454" s="49">
        <v>2542</v>
      </c>
      <c r="B454" s="49" t="s">
        <v>684</v>
      </c>
      <c r="D454" s="49">
        <v>4.7620000000000005</v>
      </c>
      <c r="E454" s="49">
        <v>17.768000000000001</v>
      </c>
      <c r="F454" s="49">
        <v>11.265000000000001</v>
      </c>
      <c r="G454" s="54">
        <v>1.27</v>
      </c>
      <c r="H454" s="56">
        <f t="shared" si="21"/>
        <v>6.047740000000001</v>
      </c>
      <c r="I454" s="57">
        <f t="shared" si="22"/>
        <v>14.306550000000001</v>
      </c>
      <c r="J454" s="56">
        <f t="shared" si="23"/>
        <v>22.565360000000002</v>
      </c>
    </row>
    <row r="455" spans="1:10" ht="18">
      <c r="A455" s="49">
        <v>2543</v>
      </c>
      <c r="B455" s="49" t="s">
        <v>685</v>
      </c>
      <c r="D455" s="49">
        <v>7.104000000000001</v>
      </c>
      <c r="E455" s="49">
        <v>27.451999999999998</v>
      </c>
      <c r="F455" s="49">
        <v>17.277999999999999</v>
      </c>
      <c r="G455" s="54">
        <v>2.15</v>
      </c>
      <c r="H455" s="56">
        <f t="shared" si="21"/>
        <v>15.273600000000002</v>
      </c>
      <c r="I455" s="57">
        <f t="shared" si="22"/>
        <v>37.147699999999993</v>
      </c>
      <c r="J455" s="56">
        <f t="shared" si="23"/>
        <v>59.021799999999992</v>
      </c>
    </row>
    <row r="456" spans="1:10" ht="18">
      <c r="A456" s="49">
        <v>2545</v>
      </c>
      <c r="B456" s="49" t="s">
        <v>686</v>
      </c>
      <c r="D456" s="49">
        <v>4.55</v>
      </c>
      <c r="E456" s="49">
        <v>20.545999999999999</v>
      </c>
      <c r="F456" s="49">
        <v>12.548</v>
      </c>
      <c r="G456" s="54">
        <v>2.3199999999999998</v>
      </c>
      <c r="H456" s="56">
        <f t="shared" si="21"/>
        <v>10.555999999999999</v>
      </c>
      <c r="I456" s="57">
        <f t="shared" si="22"/>
        <v>29.111359999999998</v>
      </c>
      <c r="J456" s="56">
        <f t="shared" si="23"/>
        <v>47.666719999999998</v>
      </c>
    </row>
    <row r="457" spans="1:10" ht="18">
      <c r="A457" s="49">
        <v>2546</v>
      </c>
      <c r="B457" s="49" t="s">
        <v>687</v>
      </c>
      <c r="D457" s="49">
        <v>7.7520000000000007</v>
      </c>
      <c r="E457" s="49">
        <v>15.231999999999999</v>
      </c>
      <c r="F457" s="49">
        <v>11.492000000000001</v>
      </c>
      <c r="G457" s="54">
        <v>8.16</v>
      </c>
      <c r="H457" s="56">
        <f t="shared" si="21"/>
        <v>63.256320000000009</v>
      </c>
      <c r="I457" s="57">
        <f t="shared" si="22"/>
        <v>93.774720000000002</v>
      </c>
      <c r="J457" s="56">
        <f t="shared" si="23"/>
        <v>124.29312</v>
      </c>
    </row>
    <row r="458" spans="1:10" ht="18">
      <c r="A458" s="49">
        <v>2547</v>
      </c>
      <c r="B458" s="49" t="s">
        <v>688</v>
      </c>
      <c r="D458" s="49">
        <v>5.3040000000000003</v>
      </c>
      <c r="E458" s="49">
        <v>20.425999999999998</v>
      </c>
      <c r="F458" s="49">
        <v>12.864999999999998</v>
      </c>
      <c r="G458" s="54">
        <v>-0.11</v>
      </c>
      <c r="H458" s="56">
        <f t="shared" si="21"/>
        <v>-0.58344000000000007</v>
      </c>
      <c r="I458" s="57">
        <f t="shared" si="22"/>
        <v>-1.4151499999999999</v>
      </c>
      <c r="J458" s="56">
        <f t="shared" si="23"/>
        <v>-2.2468599999999999</v>
      </c>
    </row>
    <row r="459" spans="1:10" ht="18">
      <c r="A459" s="49">
        <v>2548</v>
      </c>
      <c r="B459" s="49" t="s">
        <v>689</v>
      </c>
      <c r="D459" s="49">
        <v>4.6120000000000001</v>
      </c>
      <c r="E459" s="49">
        <v>17.059999999999999</v>
      </c>
      <c r="F459" s="49">
        <v>10.835999999999999</v>
      </c>
      <c r="G459" s="54">
        <v>12.95</v>
      </c>
      <c r="H459" s="56">
        <f t="shared" si="21"/>
        <v>59.7254</v>
      </c>
      <c r="I459" s="57">
        <f t="shared" si="22"/>
        <v>140.32619999999997</v>
      </c>
      <c r="J459" s="56">
        <f t="shared" si="23"/>
        <v>220.92699999999996</v>
      </c>
    </row>
    <row r="460" spans="1:10" ht="18">
      <c r="A460" s="49">
        <v>2596</v>
      </c>
      <c r="B460" s="49" t="s">
        <v>1278</v>
      </c>
      <c r="D460" s="49">
        <v>5.7519999999999998</v>
      </c>
      <c r="E460" s="49">
        <v>13.724</v>
      </c>
      <c r="F460" s="49">
        <v>9.7379999999999995</v>
      </c>
      <c r="G460" s="54">
        <v>0.7</v>
      </c>
      <c r="H460" s="56">
        <f t="shared" si="21"/>
        <v>4.0263999999999998</v>
      </c>
      <c r="I460" s="57">
        <f t="shared" si="22"/>
        <v>6.8165999999999993</v>
      </c>
      <c r="J460" s="56">
        <f t="shared" si="23"/>
        <v>9.6067999999999998</v>
      </c>
    </row>
    <row r="461" spans="1:10" ht="18">
      <c r="A461" s="49">
        <v>2597</v>
      </c>
      <c r="B461" s="49" t="s">
        <v>690</v>
      </c>
      <c r="D461" s="49">
        <v>8.4599999999999991</v>
      </c>
      <c r="E461" s="49">
        <v>12.972</v>
      </c>
      <c r="F461" s="49">
        <v>10.715999999999999</v>
      </c>
      <c r="G461" s="54">
        <v>10.28</v>
      </c>
      <c r="H461" s="56">
        <f t="shared" si="21"/>
        <v>86.968799999999987</v>
      </c>
      <c r="I461" s="57">
        <f t="shared" si="22"/>
        <v>110.16047999999999</v>
      </c>
      <c r="J461" s="56">
        <f t="shared" si="23"/>
        <v>133.35216</v>
      </c>
    </row>
    <row r="462" spans="1:10" ht="18">
      <c r="A462" s="49">
        <v>2601</v>
      </c>
      <c r="B462" s="49" t="s">
        <v>691</v>
      </c>
      <c r="D462" s="49">
        <v>9.8180000000000014</v>
      </c>
      <c r="E462" s="49">
        <v>22.336000000000002</v>
      </c>
      <c r="F462" s="49">
        <v>16.077000000000002</v>
      </c>
      <c r="G462" s="54">
        <v>-2.02</v>
      </c>
      <c r="H462" s="56">
        <f t="shared" si="21"/>
        <v>-19.832360000000001</v>
      </c>
      <c r="I462" s="57">
        <f t="shared" si="22"/>
        <v>-32.475540000000002</v>
      </c>
      <c r="J462" s="56">
        <f t="shared" si="23"/>
        <v>-45.118720000000003</v>
      </c>
    </row>
    <row r="463" spans="1:10" ht="18">
      <c r="A463" s="49">
        <v>2603</v>
      </c>
      <c r="B463" s="49" t="s">
        <v>692</v>
      </c>
      <c r="D463" s="49">
        <v>5.9179999999999993</v>
      </c>
      <c r="E463" s="49">
        <v>13.032</v>
      </c>
      <c r="F463" s="49">
        <v>9.4749999999999996</v>
      </c>
      <c r="G463" s="54">
        <v>16.7</v>
      </c>
      <c r="H463" s="56">
        <f t="shared" si="21"/>
        <v>98.83059999999999</v>
      </c>
      <c r="I463" s="57">
        <f t="shared" si="22"/>
        <v>158.23249999999999</v>
      </c>
      <c r="J463" s="56">
        <f t="shared" si="23"/>
        <v>217.6344</v>
      </c>
    </row>
    <row r="464" spans="1:10" ht="18">
      <c r="A464" s="49">
        <v>2605</v>
      </c>
      <c r="B464" s="49" t="s">
        <v>693</v>
      </c>
      <c r="D464" s="49">
        <v>7.6659999999999995</v>
      </c>
      <c r="E464" s="49">
        <v>20.124000000000002</v>
      </c>
      <c r="F464" s="49">
        <v>13.895000000000001</v>
      </c>
      <c r="G464" s="54">
        <v>0.76</v>
      </c>
      <c r="H464" s="56">
        <f t="shared" si="21"/>
        <v>5.8261599999999998</v>
      </c>
      <c r="I464" s="57">
        <f t="shared" si="22"/>
        <v>10.560200000000002</v>
      </c>
      <c r="J464" s="56">
        <f t="shared" si="23"/>
        <v>15.294240000000002</v>
      </c>
    </row>
    <row r="465" spans="1:10" ht="18">
      <c r="A465" s="49">
        <v>2606</v>
      </c>
      <c r="B465" s="49" t="s">
        <v>694</v>
      </c>
      <c r="D465" s="49">
        <v>7.418000000000001</v>
      </c>
      <c r="E465" s="49">
        <v>26.410000000000004</v>
      </c>
      <c r="F465" s="49">
        <v>16.914000000000001</v>
      </c>
      <c r="G465" s="54">
        <v>3.24</v>
      </c>
      <c r="H465" s="56">
        <f t="shared" si="21"/>
        <v>24.034320000000005</v>
      </c>
      <c r="I465" s="57">
        <f t="shared" si="22"/>
        <v>54.80136000000001</v>
      </c>
      <c r="J465" s="56">
        <f t="shared" si="23"/>
        <v>85.568400000000011</v>
      </c>
    </row>
    <row r="466" spans="1:10" ht="18">
      <c r="A466" s="49">
        <v>2607</v>
      </c>
      <c r="B466" s="49" t="s">
        <v>695</v>
      </c>
      <c r="D466" s="49">
        <v>13.824000000000002</v>
      </c>
      <c r="E466" s="49">
        <v>35.238</v>
      </c>
      <c r="F466" s="49">
        <v>24.530999999999999</v>
      </c>
      <c r="G466" s="54">
        <v>2.5499999999999998</v>
      </c>
      <c r="H466" s="56">
        <f t="shared" si="21"/>
        <v>35.251200000000004</v>
      </c>
      <c r="I466" s="57">
        <f t="shared" si="22"/>
        <v>62.554049999999989</v>
      </c>
      <c r="J466" s="56">
        <f t="shared" si="23"/>
        <v>89.856899999999996</v>
      </c>
    </row>
    <row r="467" spans="1:10" ht="18">
      <c r="A467" s="49">
        <v>2608</v>
      </c>
      <c r="B467" s="49" t="s">
        <v>696</v>
      </c>
      <c r="D467" s="49">
        <v>13.203999999999999</v>
      </c>
      <c r="E467" s="49">
        <v>24.910000000000004</v>
      </c>
      <c r="F467" s="49">
        <v>19.057000000000002</v>
      </c>
      <c r="G467" s="54">
        <v>3.63</v>
      </c>
      <c r="H467" s="56">
        <f t="shared" si="21"/>
        <v>47.930519999999994</v>
      </c>
      <c r="I467" s="57">
        <f t="shared" si="22"/>
        <v>69.176910000000007</v>
      </c>
      <c r="J467" s="56">
        <f t="shared" si="23"/>
        <v>90.423300000000012</v>
      </c>
    </row>
    <row r="468" spans="1:10" ht="18">
      <c r="A468" s="49">
        <v>2609</v>
      </c>
      <c r="B468" s="49" t="s">
        <v>697</v>
      </c>
      <c r="D468" s="49">
        <v>6.6280000000000001</v>
      </c>
      <c r="E468" s="49">
        <v>15.941999999999998</v>
      </c>
      <c r="F468" s="49">
        <v>11.285</v>
      </c>
      <c r="G468" s="54">
        <v>1.37</v>
      </c>
      <c r="H468" s="56">
        <f t="shared" si="21"/>
        <v>9.0803600000000007</v>
      </c>
      <c r="I468" s="57">
        <f t="shared" si="22"/>
        <v>15.460450000000002</v>
      </c>
      <c r="J468" s="56">
        <f t="shared" si="23"/>
        <v>21.840540000000001</v>
      </c>
    </row>
    <row r="469" spans="1:10" ht="18">
      <c r="A469" s="49">
        <v>2610</v>
      </c>
      <c r="B469" s="49" t="s">
        <v>698</v>
      </c>
      <c r="D469" s="49">
        <v>14.168000000000001</v>
      </c>
      <c r="E469" s="49">
        <v>17.094000000000001</v>
      </c>
      <c r="F469" s="49">
        <v>15.631</v>
      </c>
      <c r="G469" s="54">
        <v>1.1299999999999999</v>
      </c>
      <c r="H469" s="56">
        <f t="shared" si="21"/>
        <v>16.009840000000001</v>
      </c>
      <c r="I469" s="57">
        <f t="shared" si="22"/>
        <v>17.663029999999999</v>
      </c>
      <c r="J469" s="56">
        <f t="shared" si="23"/>
        <v>19.316220000000001</v>
      </c>
    </row>
    <row r="470" spans="1:10" ht="18">
      <c r="A470" s="49">
        <v>2611</v>
      </c>
      <c r="B470" s="49" t="s">
        <v>699</v>
      </c>
      <c r="D470" s="49">
        <v>9.1639999999999997</v>
      </c>
      <c r="E470" s="49">
        <v>18.089999999999996</v>
      </c>
      <c r="F470" s="49">
        <v>13.626999999999999</v>
      </c>
      <c r="G470" s="54">
        <v>2.48</v>
      </c>
      <c r="H470" s="56">
        <f t="shared" si="21"/>
        <v>22.72672</v>
      </c>
      <c r="I470" s="57">
        <f t="shared" si="22"/>
        <v>33.794959999999996</v>
      </c>
      <c r="J470" s="56">
        <f t="shared" si="23"/>
        <v>44.863199999999992</v>
      </c>
    </row>
    <row r="471" spans="1:10" ht="18">
      <c r="A471" s="49">
        <v>2612</v>
      </c>
      <c r="B471" s="49" t="s">
        <v>700</v>
      </c>
      <c r="D471" s="49">
        <v>7.5720000000000001</v>
      </c>
      <c r="E471" s="49">
        <v>22.234000000000002</v>
      </c>
      <c r="F471" s="49">
        <v>14.903</v>
      </c>
      <c r="G471" s="54">
        <v>1.66</v>
      </c>
      <c r="H471" s="56">
        <f t="shared" si="21"/>
        <v>12.569519999999999</v>
      </c>
      <c r="I471" s="57">
        <f t="shared" si="22"/>
        <v>24.738979999999998</v>
      </c>
      <c r="J471" s="56">
        <f t="shared" si="23"/>
        <v>36.908439999999999</v>
      </c>
    </row>
    <row r="472" spans="1:10" ht="18">
      <c r="A472" s="49">
        <v>2613</v>
      </c>
      <c r="B472" s="49" t="s">
        <v>701</v>
      </c>
      <c r="D472" s="49">
        <v>11.776000000000002</v>
      </c>
      <c r="E472" s="49">
        <v>30.743999999999993</v>
      </c>
      <c r="F472" s="49">
        <v>21.259999999999998</v>
      </c>
      <c r="G472" s="54">
        <v>0.71</v>
      </c>
      <c r="H472" s="56">
        <f t="shared" si="21"/>
        <v>8.3609600000000004</v>
      </c>
      <c r="I472" s="57">
        <f t="shared" si="22"/>
        <v>15.094599999999998</v>
      </c>
      <c r="J472" s="56">
        <f t="shared" si="23"/>
        <v>21.828239999999994</v>
      </c>
    </row>
    <row r="473" spans="1:10" ht="18">
      <c r="A473" s="49">
        <v>2614</v>
      </c>
      <c r="B473" s="49" t="s">
        <v>702</v>
      </c>
      <c r="D473" s="49">
        <v>11.424000000000001</v>
      </c>
      <c r="E473" s="49">
        <v>11.424000000000001</v>
      </c>
      <c r="F473" s="49">
        <v>11.424000000000001</v>
      </c>
      <c r="G473" s="54">
        <v>-0.85</v>
      </c>
      <c r="H473" s="56">
        <f t="shared" si="21"/>
        <v>-9.7104000000000017</v>
      </c>
      <c r="I473" s="57">
        <f t="shared" si="22"/>
        <v>-9.7104000000000017</v>
      </c>
      <c r="J473" s="56">
        <f t="shared" si="23"/>
        <v>-9.7104000000000017</v>
      </c>
    </row>
    <row r="474" spans="1:10" ht="18">
      <c r="A474" s="49">
        <v>2615</v>
      </c>
      <c r="B474" s="49" t="s">
        <v>703</v>
      </c>
      <c r="D474" s="49">
        <v>6.8239999999999998</v>
      </c>
      <c r="E474" s="49">
        <v>23.273999999999997</v>
      </c>
      <c r="F474" s="49">
        <v>15.048999999999999</v>
      </c>
      <c r="G474" s="54">
        <v>-2.0699999999999998</v>
      </c>
      <c r="H474" s="56">
        <f t="shared" si="21"/>
        <v>-14.125679999999999</v>
      </c>
      <c r="I474" s="57">
        <f t="shared" si="22"/>
        <v>-31.151429999999998</v>
      </c>
      <c r="J474" s="56">
        <f t="shared" si="23"/>
        <v>-48.177179999999993</v>
      </c>
    </row>
    <row r="475" spans="1:10" ht="18">
      <c r="A475" s="49">
        <v>2616</v>
      </c>
      <c r="B475" s="49" t="s">
        <v>704</v>
      </c>
      <c r="D475" s="49">
        <v>8.5039999999999996</v>
      </c>
      <c r="E475" s="49">
        <v>17.93</v>
      </c>
      <c r="F475" s="49">
        <v>13.216999999999999</v>
      </c>
      <c r="G475" s="54">
        <v>0.48</v>
      </c>
      <c r="H475" s="56">
        <f t="shared" si="21"/>
        <v>4.0819199999999993</v>
      </c>
      <c r="I475" s="57">
        <f t="shared" si="22"/>
        <v>6.3441599999999996</v>
      </c>
      <c r="J475" s="56">
        <f t="shared" si="23"/>
        <v>8.6063999999999989</v>
      </c>
    </row>
    <row r="476" spans="1:10" ht="18">
      <c r="A476" s="49">
        <v>2617</v>
      </c>
      <c r="B476" s="49" t="s">
        <v>705</v>
      </c>
      <c r="D476" s="49">
        <v>7.016</v>
      </c>
      <c r="E476" s="49">
        <v>23.059999999999995</v>
      </c>
      <c r="F476" s="49">
        <v>15.037999999999997</v>
      </c>
      <c r="G476" s="54">
        <v>3.98</v>
      </c>
      <c r="H476" s="56">
        <f t="shared" si="21"/>
        <v>27.923680000000001</v>
      </c>
      <c r="I476" s="57">
        <f t="shared" si="22"/>
        <v>59.85123999999999</v>
      </c>
      <c r="J476" s="56">
        <f t="shared" si="23"/>
        <v>91.778799999999976</v>
      </c>
    </row>
    <row r="477" spans="1:10" ht="18">
      <c r="A477" s="49">
        <v>2618</v>
      </c>
      <c r="B477" s="49" t="s">
        <v>706</v>
      </c>
      <c r="D477" s="49">
        <v>10.508000000000001</v>
      </c>
      <c r="E477" s="49">
        <v>16.61</v>
      </c>
      <c r="F477" s="49">
        <v>13.559000000000001</v>
      </c>
      <c r="G477" s="54">
        <v>4.01</v>
      </c>
      <c r="H477" s="56">
        <f t="shared" si="21"/>
        <v>42.137080000000005</v>
      </c>
      <c r="I477" s="57">
        <f t="shared" si="22"/>
        <v>54.371590000000005</v>
      </c>
      <c r="J477" s="56">
        <f t="shared" si="23"/>
        <v>66.606099999999998</v>
      </c>
    </row>
    <row r="478" spans="1:10" ht="18">
      <c r="A478" s="49">
        <v>2630</v>
      </c>
      <c r="B478" s="49" t="s">
        <v>707</v>
      </c>
      <c r="D478" s="49">
        <v>0</v>
      </c>
      <c r="E478" s="49">
        <v>0</v>
      </c>
      <c r="F478" s="49">
        <v>0</v>
      </c>
      <c r="G478" s="54">
        <v>0.31</v>
      </c>
      <c r="H478" s="56">
        <f t="shared" si="21"/>
        <v>0</v>
      </c>
      <c r="I478" s="57">
        <f t="shared" si="22"/>
        <v>0</v>
      </c>
      <c r="J478" s="56">
        <f t="shared" si="23"/>
        <v>0</v>
      </c>
    </row>
    <row r="479" spans="1:10" ht="18">
      <c r="A479" s="49">
        <v>2633</v>
      </c>
      <c r="B479" s="49" t="s">
        <v>708</v>
      </c>
      <c r="D479" s="49">
        <v>20.008000000000003</v>
      </c>
      <c r="E479" s="49">
        <v>28.93</v>
      </c>
      <c r="F479" s="49">
        <v>24.469000000000001</v>
      </c>
      <c r="G479" s="54">
        <v>1.39</v>
      </c>
      <c r="H479" s="56">
        <f t="shared" si="21"/>
        <v>27.811120000000003</v>
      </c>
      <c r="I479" s="57">
        <f t="shared" si="22"/>
        <v>34.01191</v>
      </c>
      <c r="J479" s="56">
        <f t="shared" si="23"/>
        <v>40.212699999999998</v>
      </c>
    </row>
    <row r="480" spans="1:10" ht="18">
      <c r="A480" s="49">
        <v>2634</v>
      </c>
      <c r="B480" s="49" t="s">
        <v>709</v>
      </c>
      <c r="D480" s="49">
        <v>16.961999999999996</v>
      </c>
      <c r="E480" s="49">
        <v>26.348000000000003</v>
      </c>
      <c r="F480" s="49">
        <v>21.655000000000001</v>
      </c>
      <c r="G480" s="54">
        <v>2.36</v>
      </c>
      <c r="H480" s="56">
        <f t="shared" si="21"/>
        <v>40.030319999999989</v>
      </c>
      <c r="I480" s="57">
        <f t="shared" si="22"/>
        <v>51.105800000000002</v>
      </c>
      <c r="J480" s="56">
        <f t="shared" si="23"/>
        <v>62.181280000000001</v>
      </c>
    </row>
    <row r="481" spans="1:10" ht="18">
      <c r="A481" s="49">
        <v>2636</v>
      </c>
      <c r="B481" s="49" t="s">
        <v>710</v>
      </c>
      <c r="D481" s="49">
        <v>7.15</v>
      </c>
      <c r="E481" s="49">
        <v>16.731999999999999</v>
      </c>
      <c r="F481" s="49">
        <v>11.940999999999999</v>
      </c>
      <c r="G481" s="54">
        <v>10.76</v>
      </c>
      <c r="H481" s="56">
        <f t="shared" si="21"/>
        <v>76.933999999999997</v>
      </c>
      <c r="I481" s="57">
        <f t="shared" si="22"/>
        <v>128.48515999999998</v>
      </c>
      <c r="J481" s="56">
        <f t="shared" si="23"/>
        <v>180.03631999999999</v>
      </c>
    </row>
    <row r="482" spans="1:10" ht="18">
      <c r="A482" s="49">
        <v>2637</v>
      </c>
      <c r="B482" s="49" t="s">
        <v>711</v>
      </c>
      <c r="D482" s="49">
        <v>6.7</v>
      </c>
      <c r="E482" s="49">
        <v>15.172000000000001</v>
      </c>
      <c r="F482" s="49">
        <v>10.936</v>
      </c>
      <c r="G482" s="54">
        <v>4.38</v>
      </c>
      <c r="H482" s="56">
        <f t="shared" si="21"/>
        <v>29.346</v>
      </c>
      <c r="I482" s="57">
        <f t="shared" si="22"/>
        <v>47.899679999999996</v>
      </c>
      <c r="J482" s="56">
        <f t="shared" si="23"/>
        <v>66.453360000000004</v>
      </c>
    </row>
    <row r="483" spans="1:10" ht="18">
      <c r="A483" s="49">
        <v>2640</v>
      </c>
      <c r="B483" s="49" t="s">
        <v>1279</v>
      </c>
      <c r="D483" s="49">
        <v>14.113999999999999</v>
      </c>
      <c r="E483" s="49">
        <v>21.757999999999999</v>
      </c>
      <c r="F483" s="49">
        <v>17.936</v>
      </c>
      <c r="G483" s="54">
        <v>7.08</v>
      </c>
      <c r="H483" s="56">
        <f t="shared" si="21"/>
        <v>99.927119999999988</v>
      </c>
      <c r="I483" s="57">
        <f t="shared" si="22"/>
        <v>126.98688</v>
      </c>
      <c r="J483" s="56">
        <f t="shared" si="23"/>
        <v>154.04664</v>
      </c>
    </row>
    <row r="484" spans="1:10" ht="18">
      <c r="A484" s="49">
        <v>2641</v>
      </c>
      <c r="B484" s="49" t="s">
        <v>1280</v>
      </c>
      <c r="D484" s="49">
        <v>13.497999999999999</v>
      </c>
      <c r="E484" s="49">
        <v>21.088000000000001</v>
      </c>
      <c r="F484" s="49">
        <v>17.292999999999999</v>
      </c>
      <c r="G484" s="54">
        <v>1.69</v>
      </c>
      <c r="H484" s="56">
        <f t="shared" si="21"/>
        <v>22.811619999999998</v>
      </c>
      <c r="I484" s="57">
        <f t="shared" si="22"/>
        <v>29.225169999999999</v>
      </c>
      <c r="J484" s="56">
        <f t="shared" si="23"/>
        <v>35.638719999999999</v>
      </c>
    </row>
    <row r="485" spans="1:10" ht="18">
      <c r="A485" s="49">
        <v>2642</v>
      </c>
      <c r="B485" s="49" t="s">
        <v>712</v>
      </c>
      <c r="D485" s="49">
        <v>19.776</v>
      </c>
      <c r="E485" s="49">
        <v>30.536000000000001</v>
      </c>
      <c r="F485" s="49">
        <v>25.155999999999999</v>
      </c>
      <c r="G485" s="54">
        <v>0.99</v>
      </c>
      <c r="H485" s="56">
        <f t="shared" si="21"/>
        <v>19.578240000000001</v>
      </c>
      <c r="I485" s="57">
        <f t="shared" si="22"/>
        <v>24.904439999999997</v>
      </c>
      <c r="J485" s="56">
        <f t="shared" si="23"/>
        <v>30.230640000000001</v>
      </c>
    </row>
    <row r="486" spans="1:10" ht="18">
      <c r="A486" s="49">
        <v>2643</v>
      </c>
      <c r="B486" s="49" t="s">
        <v>1281</v>
      </c>
      <c r="D486" s="49">
        <v>8.6219999999999999</v>
      </c>
      <c r="E486" s="49">
        <v>11.459999999999999</v>
      </c>
      <c r="F486" s="49">
        <v>10.041</v>
      </c>
      <c r="G486" s="54">
        <v>7.53</v>
      </c>
      <c r="H486" s="56">
        <f t="shared" si="21"/>
        <v>64.923659999999998</v>
      </c>
      <c r="I486" s="57">
        <f t="shared" si="22"/>
        <v>75.608730000000008</v>
      </c>
      <c r="J486" s="56">
        <f t="shared" si="23"/>
        <v>86.29379999999999</v>
      </c>
    </row>
    <row r="487" spans="1:10" ht="18">
      <c r="A487" s="49">
        <v>2701</v>
      </c>
      <c r="B487" s="49" t="s">
        <v>713</v>
      </c>
      <c r="D487" s="49">
        <v>15.16</v>
      </c>
      <c r="E487" s="49">
        <v>27.15</v>
      </c>
      <c r="F487" s="49">
        <v>21.155000000000001</v>
      </c>
      <c r="G487" s="54">
        <v>0.53</v>
      </c>
      <c r="H487" s="56">
        <f t="shared" si="21"/>
        <v>8.0348000000000006</v>
      </c>
      <c r="I487" s="57">
        <f t="shared" si="22"/>
        <v>11.212150000000001</v>
      </c>
      <c r="J487" s="56">
        <f t="shared" si="23"/>
        <v>14.3895</v>
      </c>
    </row>
    <row r="488" spans="1:10" ht="18">
      <c r="A488" s="49">
        <v>2702</v>
      </c>
      <c r="B488" s="49" t="s">
        <v>714</v>
      </c>
      <c r="D488" s="49">
        <v>14.526000000000002</v>
      </c>
      <c r="E488" s="49">
        <v>34.158000000000001</v>
      </c>
      <c r="F488" s="49">
        <v>24.342000000000002</v>
      </c>
      <c r="G488" s="54">
        <v>0.17</v>
      </c>
      <c r="H488" s="56">
        <f t="shared" si="21"/>
        <v>2.4694200000000004</v>
      </c>
      <c r="I488" s="57">
        <f t="shared" si="22"/>
        <v>4.1381400000000008</v>
      </c>
      <c r="J488" s="56">
        <f t="shared" si="23"/>
        <v>5.8068600000000004</v>
      </c>
    </row>
    <row r="489" spans="1:10" ht="18">
      <c r="A489" s="49">
        <v>2704</v>
      </c>
      <c r="B489" s="49" t="s">
        <v>715</v>
      </c>
      <c r="D489" s="49">
        <v>18.777999999999999</v>
      </c>
      <c r="E489" s="49">
        <v>31.984000000000002</v>
      </c>
      <c r="F489" s="49">
        <v>25.381</v>
      </c>
      <c r="G489" s="54">
        <v>1.34</v>
      </c>
      <c r="H489" s="56">
        <f t="shared" si="21"/>
        <v>25.162520000000001</v>
      </c>
      <c r="I489" s="57">
        <f t="shared" si="22"/>
        <v>34.010539999999999</v>
      </c>
      <c r="J489" s="56">
        <f t="shared" si="23"/>
        <v>42.858560000000004</v>
      </c>
    </row>
    <row r="490" spans="1:10" ht="18">
      <c r="A490" s="49">
        <v>2705</v>
      </c>
      <c r="B490" s="49" t="s">
        <v>716</v>
      </c>
      <c r="D490" s="49">
        <v>0</v>
      </c>
      <c r="E490" s="49">
        <v>0</v>
      </c>
      <c r="F490" s="49">
        <v>0</v>
      </c>
      <c r="G490" s="54">
        <v>-0.51</v>
      </c>
      <c r="H490" s="56">
        <f t="shared" si="21"/>
        <v>0</v>
      </c>
      <c r="I490" s="57">
        <f t="shared" si="22"/>
        <v>0</v>
      </c>
      <c r="J490" s="56">
        <f t="shared" si="23"/>
        <v>0</v>
      </c>
    </row>
    <row r="491" spans="1:10" ht="18">
      <c r="A491" s="49">
        <v>2706</v>
      </c>
      <c r="B491" s="49" t="s">
        <v>717</v>
      </c>
      <c r="D491" s="49">
        <v>14.24</v>
      </c>
      <c r="E491" s="49">
        <v>28.827999999999996</v>
      </c>
      <c r="F491" s="49">
        <v>21.533999999999999</v>
      </c>
      <c r="G491" s="54">
        <v>0.6</v>
      </c>
      <c r="H491" s="56">
        <f t="shared" si="21"/>
        <v>8.5440000000000005</v>
      </c>
      <c r="I491" s="57">
        <f t="shared" si="22"/>
        <v>12.920399999999999</v>
      </c>
      <c r="J491" s="56">
        <f t="shared" si="23"/>
        <v>17.296799999999998</v>
      </c>
    </row>
    <row r="492" spans="1:10" ht="18">
      <c r="A492" s="49">
        <v>2707</v>
      </c>
      <c r="B492" s="49" t="s">
        <v>718</v>
      </c>
      <c r="D492" s="49">
        <v>15.581999999999999</v>
      </c>
      <c r="E492" s="49">
        <v>35.248000000000005</v>
      </c>
      <c r="F492" s="49">
        <v>25.415000000000003</v>
      </c>
      <c r="G492" s="54">
        <v>11.11</v>
      </c>
      <c r="H492" s="56">
        <f t="shared" si="21"/>
        <v>173.11601999999999</v>
      </c>
      <c r="I492" s="57">
        <f t="shared" si="22"/>
        <v>282.36065000000002</v>
      </c>
      <c r="J492" s="56">
        <f t="shared" si="23"/>
        <v>391.60528000000005</v>
      </c>
    </row>
    <row r="493" spans="1:10" ht="18">
      <c r="A493" s="49">
        <v>2712</v>
      </c>
      <c r="B493" s="49" t="s">
        <v>719</v>
      </c>
      <c r="D493" s="49">
        <v>0</v>
      </c>
      <c r="E493" s="49">
        <v>0</v>
      </c>
      <c r="F493" s="49">
        <v>0</v>
      </c>
      <c r="G493" s="54">
        <v>0.47</v>
      </c>
      <c r="H493" s="56">
        <f t="shared" si="21"/>
        <v>0</v>
      </c>
      <c r="I493" s="57">
        <f t="shared" si="22"/>
        <v>0</v>
      </c>
      <c r="J493" s="56">
        <f t="shared" si="23"/>
        <v>0</v>
      </c>
    </row>
    <row r="494" spans="1:10" ht="18">
      <c r="A494" s="49">
        <v>2718</v>
      </c>
      <c r="B494" s="49" t="s">
        <v>1282</v>
      </c>
      <c r="D494" s="49">
        <v>25.457999999999998</v>
      </c>
      <c r="E494" s="49">
        <v>31.671999999999997</v>
      </c>
      <c r="F494" s="49">
        <v>28.564999999999998</v>
      </c>
      <c r="G494" s="54">
        <v>7.9</v>
      </c>
      <c r="H494" s="56">
        <f t="shared" si="21"/>
        <v>201.1182</v>
      </c>
      <c r="I494" s="57">
        <f t="shared" si="22"/>
        <v>225.6635</v>
      </c>
      <c r="J494" s="56">
        <f t="shared" si="23"/>
        <v>250.2088</v>
      </c>
    </row>
    <row r="495" spans="1:10" ht="18">
      <c r="A495" s="49">
        <v>2719</v>
      </c>
      <c r="B495" s="49" t="s">
        <v>1283</v>
      </c>
      <c r="D495" s="49">
        <v>0</v>
      </c>
      <c r="E495" s="49">
        <v>0</v>
      </c>
      <c r="F495" s="49">
        <v>0</v>
      </c>
      <c r="G495" s="54">
        <v>1.53</v>
      </c>
      <c r="H495" s="56">
        <f t="shared" si="21"/>
        <v>0</v>
      </c>
      <c r="I495" s="57">
        <f t="shared" si="22"/>
        <v>0</v>
      </c>
      <c r="J495" s="56">
        <f t="shared" si="23"/>
        <v>0</v>
      </c>
    </row>
    <row r="496" spans="1:10" ht="18">
      <c r="A496" s="49">
        <v>2722</v>
      </c>
      <c r="B496" s="49" t="s">
        <v>720</v>
      </c>
      <c r="D496" s="49">
        <v>24.417999999999999</v>
      </c>
      <c r="E496" s="49">
        <v>25.942</v>
      </c>
      <c r="F496" s="49">
        <v>25.18</v>
      </c>
      <c r="G496" s="54">
        <v>0.68</v>
      </c>
      <c r="H496" s="56">
        <f t="shared" si="21"/>
        <v>16.604240000000001</v>
      </c>
      <c r="I496" s="57">
        <f t="shared" si="22"/>
        <v>17.122400000000003</v>
      </c>
      <c r="J496" s="56">
        <f t="shared" si="23"/>
        <v>17.640560000000001</v>
      </c>
    </row>
    <row r="497" spans="1:10" ht="18">
      <c r="A497" s="49">
        <v>2723</v>
      </c>
      <c r="B497" s="49" t="s">
        <v>721</v>
      </c>
      <c r="D497" s="49">
        <v>19.957999999999998</v>
      </c>
      <c r="E497" s="49">
        <v>29.751999999999999</v>
      </c>
      <c r="F497" s="49">
        <v>24.854999999999997</v>
      </c>
      <c r="G497" s="54">
        <v>4.2</v>
      </c>
      <c r="H497" s="56">
        <f t="shared" si="21"/>
        <v>83.823599999999999</v>
      </c>
      <c r="I497" s="57">
        <f t="shared" si="22"/>
        <v>104.39099999999999</v>
      </c>
      <c r="J497" s="56">
        <f t="shared" si="23"/>
        <v>124.9584</v>
      </c>
    </row>
    <row r="498" spans="1:10" ht="18">
      <c r="A498" s="49">
        <v>2724</v>
      </c>
      <c r="B498" s="49" t="s">
        <v>1284</v>
      </c>
      <c r="D498" s="49">
        <v>0</v>
      </c>
      <c r="E498" s="49">
        <v>0</v>
      </c>
      <c r="F498" s="49">
        <v>0</v>
      </c>
      <c r="G498" s="54">
        <v>-0.09</v>
      </c>
      <c r="H498" s="56">
        <f t="shared" si="21"/>
        <v>0</v>
      </c>
      <c r="I498" s="57">
        <f t="shared" si="22"/>
        <v>0</v>
      </c>
      <c r="J498" s="56">
        <f t="shared" si="23"/>
        <v>0</v>
      </c>
    </row>
    <row r="499" spans="1:10" ht="18">
      <c r="A499" s="49">
        <v>2726</v>
      </c>
      <c r="B499" s="49" t="s">
        <v>1285</v>
      </c>
      <c r="D499" s="49">
        <v>16.533999999999999</v>
      </c>
      <c r="E499" s="49">
        <v>19.143999999999998</v>
      </c>
      <c r="F499" s="49">
        <v>17.838999999999999</v>
      </c>
      <c r="G499" s="54">
        <v>-4.0599999999999996</v>
      </c>
      <c r="H499" s="56">
        <f t="shared" si="21"/>
        <v>-67.128039999999984</v>
      </c>
      <c r="I499" s="57">
        <f t="shared" si="22"/>
        <v>-72.426339999999982</v>
      </c>
      <c r="J499" s="56">
        <f t="shared" si="23"/>
        <v>-77.72463999999998</v>
      </c>
    </row>
    <row r="500" spans="1:10" ht="18">
      <c r="A500" s="49">
        <v>2727</v>
      </c>
      <c r="B500" s="49" t="s">
        <v>722</v>
      </c>
      <c r="D500" s="49">
        <v>20.064</v>
      </c>
      <c r="E500" s="49">
        <v>31.32</v>
      </c>
      <c r="F500" s="49">
        <v>25.692</v>
      </c>
      <c r="G500" s="54">
        <v>16.329999999999998</v>
      </c>
      <c r="H500" s="56">
        <f t="shared" si="21"/>
        <v>327.64511999999996</v>
      </c>
      <c r="I500" s="57">
        <f t="shared" si="22"/>
        <v>419.55035999999996</v>
      </c>
      <c r="J500" s="56">
        <f t="shared" si="23"/>
        <v>511.45559999999995</v>
      </c>
    </row>
    <row r="501" spans="1:10" ht="18">
      <c r="A501" s="49">
        <v>2729</v>
      </c>
      <c r="B501" s="49" t="s">
        <v>1286</v>
      </c>
      <c r="D501" s="49">
        <v>16.79</v>
      </c>
      <c r="E501" s="49">
        <v>27.757999999999999</v>
      </c>
      <c r="F501" s="49">
        <v>22.274000000000001</v>
      </c>
      <c r="G501" s="54">
        <v>12.37</v>
      </c>
      <c r="H501" s="56">
        <f t="shared" si="21"/>
        <v>207.69229999999999</v>
      </c>
      <c r="I501" s="57">
        <f t="shared" si="22"/>
        <v>275.52938</v>
      </c>
      <c r="J501" s="56">
        <f t="shared" si="23"/>
        <v>343.36645999999996</v>
      </c>
    </row>
    <row r="502" spans="1:10" ht="18">
      <c r="A502" s="49">
        <v>2731</v>
      </c>
      <c r="B502" s="49" t="s">
        <v>723</v>
      </c>
      <c r="D502" s="49">
        <v>18.285999999999998</v>
      </c>
      <c r="E502" s="49">
        <v>28.494</v>
      </c>
      <c r="F502" s="49">
        <v>23.39</v>
      </c>
      <c r="G502" s="54">
        <v>15.21</v>
      </c>
      <c r="H502" s="56">
        <f t="shared" si="21"/>
        <v>278.13005999999996</v>
      </c>
      <c r="I502" s="57">
        <f t="shared" si="22"/>
        <v>355.76190000000003</v>
      </c>
      <c r="J502" s="56">
        <f t="shared" si="23"/>
        <v>433.39374000000004</v>
      </c>
    </row>
    <row r="503" spans="1:10" ht="18">
      <c r="A503" s="49">
        <v>2732</v>
      </c>
      <c r="B503" s="49" t="s">
        <v>1287</v>
      </c>
      <c r="D503" s="49">
        <v>16.728000000000002</v>
      </c>
      <c r="E503" s="49">
        <v>25.55</v>
      </c>
      <c r="F503" s="49">
        <v>21.139000000000003</v>
      </c>
      <c r="G503" s="54">
        <v>6.42</v>
      </c>
      <c r="H503" s="56">
        <f t="shared" si="21"/>
        <v>107.39376000000001</v>
      </c>
      <c r="I503" s="57">
        <f t="shared" si="22"/>
        <v>135.71238000000002</v>
      </c>
      <c r="J503" s="56">
        <f t="shared" si="23"/>
        <v>164.03100000000001</v>
      </c>
    </row>
    <row r="504" spans="1:10" ht="18">
      <c r="A504" s="49">
        <v>2734</v>
      </c>
      <c r="B504" s="49" t="s">
        <v>1288</v>
      </c>
      <c r="D504" s="49">
        <v>0</v>
      </c>
      <c r="E504" s="49">
        <v>0</v>
      </c>
      <c r="F504" s="49">
        <v>0</v>
      </c>
      <c r="G504" s="54">
        <v>0.56000000000000005</v>
      </c>
      <c r="H504" s="56">
        <f t="shared" si="21"/>
        <v>0</v>
      </c>
      <c r="I504" s="57">
        <f t="shared" si="22"/>
        <v>0</v>
      </c>
      <c r="J504" s="56">
        <f t="shared" si="23"/>
        <v>0</v>
      </c>
    </row>
    <row r="505" spans="1:10" ht="18">
      <c r="A505" s="49">
        <v>2736</v>
      </c>
      <c r="B505" s="49" t="s">
        <v>1289</v>
      </c>
      <c r="D505" s="49">
        <v>0</v>
      </c>
      <c r="E505" s="49">
        <v>0</v>
      </c>
      <c r="F505" s="49">
        <v>0</v>
      </c>
      <c r="G505" s="54">
        <v>-0.42</v>
      </c>
      <c r="H505" s="56">
        <f t="shared" si="21"/>
        <v>0</v>
      </c>
      <c r="I505" s="57">
        <f t="shared" si="22"/>
        <v>0</v>
      </c>
      <c r="J505" s="56">
        <f t="shared" si="23"/>
        <v>0</v>
      </c>
    </row>
    <row r="506" spans="1:10" ht="18">
      <c r="A506" s="49">
        <v>2739</v>
      </c>
      <c r="B506" s="49" t="s">
        <v>724</v>
      </c>
      <c r="D506" s="49">
        <v>24.815999999999995</v>
      </c>
      <c r="E506" s="49">
        <v>24.815999999999995</v>
      </c>
      <c r="F506" s="49">
        <v>24.815999999999995</v>
      </c>
      <c r="G506" s="54">
        <v>4.5199999999999996</v>
      </c>
      <c r="H506" s="56">
        <f t="shared" si="21"/>
        <v>112.16831999999997</v>
      </c>
      <c r="I506" s="57">
        <f t="shared" si="22"/>
        <v>112.16831999999997</v>
      </c>
      <c r="J506" s="56">
        <f t="shared" si="23"/>
        <v>112.16831999999997</v>
      </c>
    </row>
    <row r="507" spans="1:10" ht="18">
      <c r="A507" s="49">
        <v>2740</v>
      </c>
      <c r="B507" s="49" t="s">
        <v>1290</v>
      </c>
      <c r="D507" s="49">
        <v>0</v>
      </c>
      <c r="E507" s="49">
        <v>0</v>
      </c>
      <c r="F507" s="49">
        <v>0</v>
      </c>
      <c r="G507" s="54">
        <v>-2.15</v>
      </c>
      <c r="H507" s="56">
        <f t="shared" si="21"/>
        <v>0</v>
      </c>
      <c r="I507" s="57">
        <f t="shared" si="22"/>
        <v>0</v>
      </c>
      <c r="J507" s="56">
        <f t="shared" si="23"/>
        <v>0</v>
      </c>
    </row>
    <row r="508" spans="1:10" ht="18">
      <c r="A508" s="49">
        <v>2743</v>
      </c>
      <c r="B508" s="49" t="s">
        <v>1291</v>
      </c>
      <c r="D508" s="49">
        <v>0</v>
      </c>
      <c r="E508" s="49">
        <v>0</v>
      </c>
      <c r="F508" s="49">
        <v>0</v>
      </c>
      <c r="G508" s="54" t="s">
        <v>271</v>
      </c>
      <c r="H508" s="56" t="e">
        <f t="shared" si="21"/>
        <v>#VALUE!</v>
      </c>
      <c r="I508" s="57" t="e">
        <f t="shared" si="22"/>
        <v>#VALUE!</v>
      </c>
      <c r="J508" s="56" t="e">
        <f t="shared" si="23"/>
        <v>#VALUE!</v>
      </c>
    </row>
    <row r="509" spans="1:10" ht="18">
      <c r="A509" s="49">
        <v>2745</v>
      </c>
      <c r="B509" s="49" t="s">
        <v>1292</v>
      </c>
      <c r="D509" s="49">
        <v>0</v>
      </c>
      <c r="E509" s="49">
        <v>0</v>
      </c>
      <c r="F509" s="49">
        <v>0</v>
      </c>
      <c r="G509" s="54">
        <v>7.87</v>
      </c>
      <c r="H509" s="56">
        <f t="shared" si="21"/>
        <v>0</v>
      </c>
      <c r="I509" s="57">
        <f t="shared" si="22"/>
        <v>0</v>
      </c>
      <c r="J509" s="56">
        <f t="shared" si="23"/>
        <v>0</v>
      </c>
    </row>
    <row r="510" spans="1:10" ht="18">
      <c r="A510" s="49">
        <v>2748</v>
      </c>
      <c r="B510" s="49" t="s">
        <v>725</v>
      </c>
      <c r="D510" s="49">
        <v>20.712</v>
      </c>
      <c r="E510" s="49">
        <v>27.631999999999998</v>
      </c>
      <c r="F510" s="49">
        <v>24.171999999999997</v>
      </c>
      <c r="G510" s="54">
        <v>2.76</v>
      </c>
      <c r="H510" s="56">
        <f t="shared" si="21"/>
        <v>57.165119999999995</v>
      </c>
      <c r="I510" s="57">
        <f t="shared" si="22"/>
        <v>66.714719999999986</v>
      </c>
      <c r="J510" s="56">
        <f t="shared" si="23"/>
        <v>76.264319999999984</v>
      </c>
    </row>
    <row r="511" spans="1:10" ht="18">
      <c r="A511" s="49">
        <v>2752</v>
      </c>
      <c r="B511" s="49" t="s">
        <v>1293</v>
      </c>
      <c r="D511" s="49">
        <v>20.596</v>
      </c>
      <c r="E511" s="49">
        <v>20.596</v>
      </c>
      <c r="F511" s="49">
        <v>20.596</v>
      </c>
      <c r="G511" s="54">
        <v>3.9</v>
      </c>
      <c r="H511" s="56">
        <f t="shared" si="21"/>
        <v>80.324399999999997</v>
      </c>
      <c r="I511" s="57">
        <f t="shared" si="22"/>
        <v>80.324399999999997</v>
      </c>
      <c r="J511" s="56">
        <f t="shared" si="23"/>
        <v>80.324399999999997</v>
      </c>
    </row>
    <row r="512" spans="1:10" ht="18">
      <c r="A512" s="49">
        <v>2753</v>
      </c>
      <c r="B512" s="49" t="s">
        <v>726</v>
      </c>
      <c r="D512" s="49">
        <v>0</v>
      </c>
      <c r="E512" s="49">
        <v>0</v>
      </c>
      <c r="F512" s="49">
        <v>0</v>
      </c>
      <c r="G512" s="54" t="s">
        <v>271</v>
      </c>
      <c r="H512" s="56" t="e">
        <f t="shared" si="21"/>
        <v>#VALUE!</v>
      </c>
      <c r="I512" s="57" t="e">
        <f t="shared" si="22"/>
        <v>#VALUE!</v>
      </c>
      <c r="J512" s="56" t="e">
        <f t="shared" si="23"/>
        <v>#VALUE!</v>
      </c>
    </row>
    <row r="513" spans="1:10" ht="18">
      <c r="A513" s="49">
        <v>2754</v>
      </c>
      <c r="B513" s="49" t="s">
        <v>1294</v>
      </c>
      <c r="D513" s="49">
        <v>0</v>
      </c>
      <c r="E513" s="49">
        <v>0</v>
      </c>
      <c r="F513" s="49">
        <v>0</v>
      </c>
      <c r="G513" s="54" t="s">
        <v>271</v>
      </c>
      <c r="H513" s="56" t="e">
        <f t="shared" si="21"/>
        <v>#VALUE!</v>
      </c>
      <c r="I513" s="57" t="e">
        <f t="shared" si="22"/>
        <v>#VALUE!</v>
      </c>
      <c r="J513" s="56" t="e">
        <f t="shared" si="23"/>
        <v>#VALUE!</v>
      </c>
    </row>
    <row r="514" spans="1:10" ht="18">
      <c r="A514" s="49">
        <v>2755</v>
      </c>
      <c r="B514" s="49" t="s">
        <v>1295</v>
      </c>
      <c r="D514" s="49">
        <v>0</v>
      </c>
      <c r="E514" s="49">
        <v>0</v>
      </c>
      <c r="F514" s="49">
        <v>0</v>
      </c>
      <c r="G514" s="54" t="s">
        <v>271</v>
      </c>
      <c r="H514" s="56" t="e">
        <f t="shared" si="21"/>
        <v>#VALUE!</v>
      </c>
      <c r="I514" s="57" t="e">
        <f t="shared" si="22"/>
        <v>#VALUE!</v>
      </c>
      <c r="J514" s="56" t="e">
        <f t="shared" si="23"/>
        <v>#VALUE!</v>
      </c>
    </row>
    <row r="515" spans="1:10" ht="18">
      <c r="A515" s="49">
        <v>2756</v>
      </c>
      <c r="B515" s="49" t="s">
        <v>1296</v>
      </c>
      <c r="D515" s="49">
        <v>0</v>
      </c>
      <c r="E515" s="49">
        <v>0</v>
      </c>
      <c r="F515" s="49">
        <v>0</v>
      </c>
      <c r="G515" s="54" t="s">
        <v>271</v>
      </c>
      <c r="H515" s="56" t="e">
        <f t="shared" ref="H515:H578" si="24">G515*D515</f>
        <v>#VALUE!</v>
      </c>
      <c r="I515" s="57" t="e">
        <f t="shared" ref="I515:I578" si="25">G515*F515</f>
        <v>#VALUE!</v>
      </c>
      <c r="J515" s="56" t="e">
        <f t="shared" ref="J515:J578" si="26">G515*E515</f>
        <v>#VALUE!</v>
      </c>
    </row>
    <row r="516" spans="1:10" ht="18">
      <c r="A516" s="49">
        <v>2801</v>
      </c>
      <c r="B516" s="49" t="s">
        <v>727</v>
      </c>
      <c r="D516" s="49">
        <v>10.958</v>
      </c>
      <c r="E516" s="49">
        <v>22.641999999999999</v>
      </c>
      <c r="F516" s="49">
        <v>16.8</v>
      </c>
      <c r="G516" s="54">
        <v>1.19</v>
      </c>
      <c r="H516" s="56">
        <f t="shared" si="24"/>
        <v>13.04002</v>
      </c>
      <c r="I516" s="57">
        <f t="shared" si="25"/>
        <v>19.992000000000001</v>
      </c>
      <c r="J516" s="56">
        <f t="shared" si="26"/>
        <v>26.94398</v>
      </c>
    </row>
    <row r="517" spans="1:10" ht="18">
      <c r="A517" s="49">
        <v>2809</v>
      </c>
      <c r="B517" s="49" t="s">
        <v>728</v>
      </c>
      <c r="D517" s="49">
        <v>6.7819999999999991</v>
      </c>
      <c r="E517" s="49">
        <v>13.74</v>
      </c>
      <c r="F517" s="49">
        <v>10.260999999999999</v>
      </c>
      <c r="G517" s="54">
        <v>5.59</v>
      </c>
      <c r="H517" s="56">
        <f t="shared" si="24"/>
        <v>37.911379999999994</v>
      </c>
      <c r="I517" s="57">
        <f t="shared" si="25"/>
        <v>57.358989999999991</v>
      </c>
      <c r="J517" s="56">
        <f t="shared" si="26"/>
        <v>76.806600000000003</v>
      </c>
    </row>
    <row r="518" spans="1:10" ht="18">
      <c r="A518" s="49">
        <v>2812</v>
      </c>
      <c r="B518" s="49" t="s">
        <v>729</v>
      </c>
      <c r="D518" s="49">
        <v>8.4719999999999995</v>
      </c>
      <c r="E518" s="49">
        <v>14.62</v>
      </c>
      <c r="F518" s="49">
        <v>11.545999999999999</v>
      </c>
      <c r="G518" s="54">
        <v>1.3</v>
      </c>
      <c r="H518" s="56">
        <f t="shared" si="24"/>
        <v>11.0136</v>
      </c>
      <c r="I518" s="57">
        <f t="shared" si="25"/>
        <v>15.0098</v>
      </c>
      <c r="J518" s="56">
        <f t="shared" si="26"/>
        <v>19.006</v>
      </c>
    </row>
    <row r="519" spans="1:10" ht="18">
      <c r="A519" s="49">
        <v>2816</v>
      </c>
      <c r="B519" s="49" t="s">
        <v>730</v>
      </c>
      <c r="D519" s="49">
        <v>7.1100000000000012</v>
      </c>
      <c r="E519" s="49">
        <v>13.821999999999999</v>
      </c>
      <c r="F519" s="49">
        <v>10.466000000000001</v>
      </c>
      <c r="G519" s="54">
        <v>5.37</v>
      </c>
      <c r="H519" s="56">
        <f t="shared" si="24"/>
        <v>38.180700000000009</v>
      </c>
      <c r="I519" s="57">
        <f t="shared" si="25"/>
        <v>56.202420000000004</v>
      </c>
      <c r="J519" s="56">
        <f t="shared" si="26"/>
        <v>74.224139999999991</v>
      </c>
    </row>
    <row r="520" spans="1:10" ht="18">
      <c r="A520" s="49">
        <v>2820</v>
      </c>
      <c r="B520" s="49" t="s">
        <v>731</v>
      </c>
      <c r="D520" s="49">
        <v>8.1660000000000004</v>
      </c>
      <c r="E520" s="49">
        <v>15.314000000000002</v>
      </c>
      <c r="F520" s="49">
        <v>11.740000000000002</v>
      </c>
      <c r="G520" s="54">
        <v>0.96</v>
      </c>
      <c r="H520" s="56">
        <f t="shared" si="24"/>
        <v>7.8393600000000001</v>
      </c>
      <c r="I520" s="57">
        <f t="shared" si="25"/>
        <v>11.270400000000002</v>
      </c>
      <c r="J520" s="56">
        <f t="shared" si="26"/>
        <v>14.701440000000002</v>
      </c>
    </row>
    <row r="521" spans="1:10" ht="18">
      <c r="A521" s="49">
        <v>2832</v>
      </c>
      <c r="B521" s="49" t="s">
        <v>732</v>
      </c>
      <c r="D521" s="49">
        <v>7.3679999999999994</v>
      </c>
      <c r="E521" s="49">
        <v>19.368000000000002</v>
      </c>
      <c r="F521" s="49">
        <v>13.368</v>
      </c>
      <c r="G521" s="54">
        <v>2.7</v>
      </c>
      <c r="H521" s="56">
        <f t="shared" si="24"/>
        <v>19.893599999999999</v>
      </c>
      <c r="I521" s="57">
        <f t="shared" si="25"/>
        <v>36.093600000000002</v>
      </c>
      <c r="J521" s="56">
        <f t="shared" si="26"/>
        <v>52.293600000000012</v>
      </c>
    </row>
    <row r="522" spans="1:10" ht="18">
      <c r="A522" s="49">
        <v>2834</v>
      </c>
      <c r="B522" s="49" t="s">
        <v>733</v>
      </c>
      <c r="D522" s="49">
        <v>8.9760000000000026</v>
      </c>
      <c r="E522" s="49">
        <v>23.708000000000002</v>
      </c>
      <c r="F522" s="49">
        <v>16.342000000000002</v>
      </c>
      <c r="G522" s="54">
        <v>1.28</v>
      </c>
      <c r="H522" s="56">
        <f t="shared" si="24"/>
        <v>11.489280000000004</v>
      </c>
      <c r="I522" s="57">
        <f t="shared" si="25"/>
        <v>20.917760000000005</v>
      </c>
      <c r="J522" s="56">
        <f t="shared" si="26"/>
        <v>30.346240000000002</v>
      </c>
    </row>
    <row r="523" spans="1:10" ht="18">
      <c r="A523" s="49">
        <v>2836</v>
      </c>
      <c r="B523" s="49" t="s">
        <v>734</v>
      </c>
      <c r="D523" s="49">
        <v>13.056000000000001</v>
      </c>
      <c r="E523" s="49">
        <v>23.231999999999999</v>
      </c>
      <c r="F523" s="49">
        <v>18.143999999999998</v>
      </c>
      <c r="G523" s="54">
        <v>0.69</v>
      </c>
      <c r="H523" s="56">
        <f t="shared" si="24"/>
        <v>9.0086399999999998</v>
      </c>
      <c r="I523" s="57">
        <f t="shared" si="25"/>
        <v>12.519359999999997</v>
      </c>
      <c r="J523" s="56">
        <f t="shared" si="26"/>
        <v>16.030079999999998</v>
      </c>
    </row>
    <row r="524" spans="1:10" ht="18">
      <c r="A524" s="49">
        <v>2838</v>
      </c>
      <c r="B524" s="49" t="s">
        <v>735</v>
      </c>
      <c r="D524" s="49">
        <v>8.2020000000000017</v>
      </c>
      <c r="E524" s="49">
        <v>12.556000000000001</v>
      </c>
      <c r="F524" s="49">
        <v>10.379000000000001</v>
      </c>
      <c r="G524" s="54">
        <v>1</v>
      </c>
      <c r="H524" s="56">
        <f t="shared" si="24"/>
        <v>8.2020000000000017</v>
      </c>
      <c r="I524" s="57">
        <f t="shared" si="25"/>
        <v>10.379000000000001</v>
      </c>
      <c r="J524" s="56">
        <f t="shared" si="26"/>
        <v>12.556000000000001</v>
      </c>
    </row>
    <row r="525" spans="1:10" ht="18">
      <c r="A525" s="49">
        <v>2845</v>
      </c>
      <c r="B525" s="49" t="s">
        <v>736</v>
      </c>
      <c r="D525" s="49">
        <v>8.8600000000000012</v>
      </c>
      <c r="E525" s="49">
        <v>13.315999999999999</v>
      </c>
      <c r="F525" s="49">
        <v>11.088000000000001</v>
      </c>
      <c r="G525" s="54">
        <v>1.03</v>
      </c>
      <c r="H525" s="56">
        <f t="shared" si="24"/>
        <v>9.1258000000000017</v>
      </c>
      <c r="I525" s="57">
        <f t="shared" si="25"/>
        <v>11.420640000000001</v>
      </c>
      <c r="J525" s="56">
        <f t="shared" si="26"/>
        <v>13.715479999999999</v>
      </c>
    </row>
    <row r="526" spans="1:10" ht="18">
      <c r="A526" s="49">
        <v>2849</v>
      </c>
      <c r="B526" s="49" t="s">
        <v>737</v>
      </c>
      <c r="D526" s="49">
        <v>8.5060000000000002</v>
      </c>
      <c r="E526" s="49">
        <v>17.82</v>
      </c>
      <c r="F526" s="49">
        <v>13.163</v>
      </c>
      <c r="G526" s="54">
        <v>0.56000000000000005</v>
      </c>
      <c r="H526" s="56">
        <f t="shared" si="24"/>
        <v>4.7633600000000005</v>
      </c>
      <c r="I526" s="57">
        <f t="shared" si="25"/>
        <v>7.3712800000000005</v>
      </c>
      <c r="J526" s="56">
        <f t="shared" si="26"/>
        <v>9.9792000000000005</v>
      </c>
    </row>
    <row r="527" spans="1:10" ht="18">
      <c r="A527" s="49">
        <v>2850</v>
      </c>
      <c r="B527" s="49" t="s">
        <v>738</v>
      </c>
      <c r="D527" s="49">
        <v>6.0739999999999998</v>
      </c>
      <c r="E527" s="49">
        <v>13.168000000000001</v>
      </c>
      <c r="F527" s="49">
        <v>9.6210000000000004</v>
      </c>
      <c r="G527" s="54">
        <v>9.2200000000000006</v>
      </c>
      <c r="H527" s="56">
        <f t="shared" si="24"/>
        <v>56.002279999999999</v>
      </c>
      <c r="I527" s="57">
        <f t="shared" si="25"/>
        <v>88.70562000000001</v>
      </c>
      <c r="J527" s="56">
        <f t="shared" si="26"/>
        <v>121.40896000000002</v>
      </c>
    </row>
    <row r="528" spans="1:10" ht="18">
      <c r="A528" s="49">
        <v>2851</v>
      </c>
      <c r="B528" s="49" t="s">
        <v>739</v>
      </c>
      <c r="D528" s="49">
        <v>8.3760000000000012</v>
      </c>
      <c r="E528" s="49">
        <v>17.172000000000001</v>
      </c>
      <c r="F528" s="49">
        <v>12.774000000000001</v>
      </c>
      <c r="G528" s="54">
        <v>2.61</v>
      </c>
      <c r="H528" s="56">
        <f t="shared" si="24"/>
        <v>21.861360000000001</v>
      </c>
      <c r="I528" s="57">
        <f t="shared" si="25"/>
        <v>33.340139999999998</v>
      </c>
      <c r="J528" s="56">
        <f t="shared" si="26"/>
        <v>44.818919999999999</v>
      </c>
    </row>
    <row r="529" spans="1:10" ht="18">
      <c r="A529" s="49">
        <v>2852</v>
      </c>
      <c r="B529" s="49" t="s">
        <v>740</v>
      </c>
      <c r="D529" s="49">
        <v>7.0180000000000007</v>
      </c>
      <c r="E529" s="49">
        <v>12.739999999999998</v>
      </c>
      <c r="F529" s="49">
        <v>9.8789999999999996</v>
      </c>
      <c r="G529" s="54">
        <v>2.11</v>
      </c>
      <c r="H529" s="56">
        <f t="shared" si="24"/>
        <v>14.807980000000001</v>
      </c>
      <c r="I529" s="57">
        <f t="shared" si="25"/>
        <v>20.844689999999996</v>
      </c>
      <c r="J529" s="56">
        <f t="shared" si="26"/>
        <v>26.881399999999996</v>
      </c>
    </row>
    <row r="530" spans="1:10" ht="18">
      <c r="A530" s="49">
        <v>2855</v>
      </c>
      <c r="B530" s="49" t="s">
        <v>741</v>
      </c>
      <c r="D530" s="49">
        <v>8.2880000000000003</v>
      </c>
      <c r="E530" s="49">
        <v>20.007999999999999</v>
      </c>
      <c r="F530" s="49">
        <v>14.148</v>
      </c>
      <c r="G530" s="54">
        <v>1.98</v>
      </c>
      <c r="H530" s="56">
        <f t="shared" si="24"/>
        <v>16.410240000000002</v>
      </c>
      <c r="I530" s="57">
        <f t="shared" si="25"/>
        <v>28.01304</v>
      </c>
      <c r="J530" s="56">
        <f t="shared" si="26"/>
        <v>39.615839999999999</v>
      </c>
    </row>
    <row r="531" spans="1:10" ht="18">
      <c r="A531" s="49">
        <v>2867</v>
      </c>
      <c r="B531" s="49" t="s">
        <v>742</v>
      </c>
      <c r="D531" s="49">
        <v>8.5180000000000007</v>
      </c>
      <c r="E531" s="49">
        <v>16.066000000000003</v>
      </c>
      <c r="F531" s="49">
        <v>12.292000000000002</v>
      </c>
      <c r="G531" s="54">
        <v>-2.11</v>
      </c>
      <c r="H531" s="56">
        <f t="shared" si="24"/>
        <v>-17.97298</v>
      </c>
      <c r="I531" s="57">
        <f t="shared" si="25"/>
        <v>-25.936120000000003</v>
      </c>
      <c r="J531" s="56">
        <f t="shared" si="26"/>
        <v>-33.899260000000005</v>
      </c>
    </row>
    <row r="532" spans="1:10" ht="18">
      <c r="A532" s="49">
        <v>2880</v>
      </c>
      <c r="B532" s="49" t="s">
        <v>743</v>
      </c>
      <c r="D532" s="49">
        <v>12.086000000000002</v>
      </c>
      <c r="E532" s="49">
        <v>25.951999999999998</v>
      </c>
      <c r="F532" s="49">
        <v>19.018999999999998</v>
      </c>
      <c r="G532" s="54">
        <v>1.58</v>
      </c>
      <c r="H532" s="56">
        <f t="shared" si="24"/>
        <v>19.095880000000005</v>
      </c>
      <c r="I532" s="57">
        <f t="shared" si="25"/>
        <v>30.05002</v>
      </c>
      <c r="J532" s="56">
        <f t="shared" si="26"/>
        <v>41.004159999999999</v>
      </c>
    </row>
    <row r="533" spans="1:10" ht="18">
      <c r="A533" s="49">
        <v>2881</v>
      </c>
      <c r="B533" s="49" t="s">
        <v>744</v>
      </c>
      <c r="D533" s="49">
        <v>7.5039999999999996</v>
      </c>
      <c r="E533" s="49">
        <v>19.618000000000002</v>
      </c>
      <c r="F533" s="49">
        <v>13.561</v>
      </c>
      <c r="G533" s="54">
        <v>4.8</v>
      </c>
      <c r="H533" s="56">
        <f t="shared" si="24"/>
        <v>36.019199999999998</v>
      </c>
      <c r="I533" s="57">
        <f t="shared" si="25"/>
        <v>65.092799999999997</v>
      </c>
      <c r="J533" s="56">
        <f t="shared" si="26"/>
        <v>94.16640000000001</v>
      </c>
    </row>
    <row r="534" spans="1:10" ht="18">
      <c r="A534" s="49">
        <v>2882</v>
      </c>
      <c r="B534" s="49" t="s">
        <v>745</v>
      </c>
      <c r="D534" s="49">
        <v>8.7460000000000004</v>
      </c>
      <c r="E534" s="49">
        <v>22.172000000000001</v>
      </c>
      <c r="F534" s="49">
        <v>15.459</v>
      </c>
      <c r="G534" s="54">
        <v>3.24</v>
      </c>
      <c r="H534" s="56">
        <f t="shared" si="24"/>
        <v>28.337040000000002</v>
      </c>
      <c r="I534" s="57">
        <f t="shared" si="25"/>
        <v>50.087160000000004</v>
      </c>
      <c r="J534" s="56">
        <f t="shared" si="26"/>
        <v>71.837280000000007</v>
      </c>
    </row>
    <row r="535" spans="1:10" ht="18">
      <c r="A535" s="49">
        <v>2883</v>
      </c>
      <c r="B535" s="49" t="s">
        <v>746</v>
      </c>
      <c r="D535" s="49">
        <v>10.754</v>
      </c>
      <c r="E535" s="49">
        <v>20.712</v>
      </c>
      <c r="F535" s="49">
        <v>15.733000000000001</v>
      </c>
      <c r="G535" s="54">
        <v>1.1299999999999999</v>
      </c>
      <c r="H535" s="56">
        <f t="shared" si="24"/>
        <v>12.152019999999998</v>
      </c>
      <c r="I535" s="57">
        <f t="shared" si="25"/>
        <v>17.778289999999998</v>
      </c>
      <c r="J535" s="56">
        <f t="shared" si="26"/>
        <v>23.404559999999996</v>
      </c>
    </row>
    <row r="536" spans="1:10" ht="18">
      <c r="A536" s="49">
        <v>2884</v>
      </c>
      <c r="B536" s="49" t="s">
        <v>747</v>
      </c>
      <c r="D536" s="49">
        <v>12.412000000000001</v>
      </c>
      <c r="E536" s="49">
        <v>19.854000000000003</v>
      </c>
      <c r="F536" s="49">
        <v>16.133000000000003</v>
      </c>
      <c r="G536" s="54">
        <v>1.4</v>
      </c>
      <c r="H536" s="56">
        <f t="shared" si="24"/>
        <v>17.376799999999999</v>
      </c>
      <c r="I536" s="57">
        <f t="shared" si="25"/>
        <v>22.586200000000002</v>
      </c>
      <c r="J536" s="56">
        <f t="shared" si="26"/>
        <v>27.795600000000004</v>
      </c>
    </row>
    <row r="537" spans="1:10" ht="18">
      <c r="A537" s="49">
        <v>2885</v>
      </c>
      <c r="B537" s="49" t="s">
        <v>748</v>
      </c>
      <c r="D537" s="49">
        <v>9.532</v>
      </c>
      <c r="E537" s="49">
        <v>25.042000000000002</v>
      </c>
      <c r="F537" s="49">
        <v>17.286999999999999</v>
      </c>
      <c r="G537" s="54">
        <v>2.08</v>
      </c>
      <c r="H537" s="56">
        <f t="shared" si="24"/>
        <v>19.826560000000001</v>
      </c>
      <c r="I537" s="57">
        <f t="shared" si="25"/>
        <v>35.956960000000002</v>
      </c>
      <c r="J537" s="56">
        <f t="shared" si="26"/>
        <v>52.087360000000004</v>
      </c>
    </row>
    <row r="538" spans="1:10" ht="18">
      <c r="A538" s="49">
        <v>2886</v>
      </c>
      <c r="B538" s="49" t="s">
        <v>749</v>
      </c>
      <c r="D538" s="49">
        <v>11.391999999999999</v>
      </c>
      <c r="E538" s="49">
        <v>18.107999999999997</v>
      </c>
      <c r="F538" s="49">
        <v>14.749999999999998</v>
      </c>
      <c r="G538" s="54">
        <v>2.37</v>
      </c>
      <c r="H538" s="56">
        <f t="shared" si="24"/>
        <v>26.999040000000001</v>
      </c>
      <c r="I538" s="57">
        <f t="shared" si="25"/>
        <v>34.957499999999996</v>
      </c>
      <c r="J538" s="56">
        <f t="shared" si="26"/>
        <v>42.915959999999998</v>
      </c>
    </row>
    <row r="539" spans="1:10" ht="18">
      <c r="A539" s="49">
        <v>2887</v>
      </c>
      <c r="B539" s="49" t="s">
        <v>750</v>
      </c>
      <c r="D539" s="49">
        <v>6.9080000000000013</v>
      </c>
      <c r="E539" s="49">
        <v>14.406000000000001</v>
      </c>
      <c r="F539" s="49">
        <v>10.657</v>
      </c>
      <c r="G539" s="54">
        <v>1</v>
      </c>
      <c r="H539" s="56">
        <f t="shared" si="24"/>
        <v>6.9080000000000013</v>
      </c>
      <c r="I539" s="57">
        <f t="shared" si="25"/>
        <v>10.657</v>
      </c>
      <c r="J539" s="56">
        <f t="shared" si="26"/>
        <v>14.406000000000001</v>
      </c>
    </row>
    <row r="540" spans="1:10" ht="18">
      <c r="A540" s="49">
        <v>2888</v>
      </c>
      <c r="B540" s="49" t="s">
        <v>751</v>
      </c>
      <c r="D540" s="49">
        <v>7.2760000000000007</v>
      </c>
      <c r="E540" s="49">
        <v>21.812000000000001</v>
      </c>
      <c r="F540" s="49">
        <v>14.544</v>
      </c>
      <c r="G540" s="54">
        <v>-0.48</v>
      </c>
      <c r="H540" s="56">
        <f t="shared" si="24"/>
        <v>-3.49248</v>
      </c>
      <c r="I540" s="57">
        <f t="shared" si="25"/>
        <v>-6.9811199999999998</v>
      </c>
      <c r="J540" s="56">
        <f t="shared" si="26"/>
        <v>-10.469760000000001</v>
      </c>
    </row>
    <row r="541" spans="1:10" ht="18">
      <c r="A541" s="49">
        <v>2889</v>
      </c>
      <c r="B541" s="49" t="s">
        <v>752</v>
      </c>
      <c r="D541" s="49">
        <v>10.763999999999999</v>
      </c>
      <c r="E541" s="49">
        <v>24.048000000000002</v>
      </c>
      <c r="F541" s="49">
        <v>17.405999999999999</v>
      </c>
      <c r="G541" s="54">
        <v>0.57999999999999996</v>
      </c>
      <c r="H541" s="56">
        <f t="shared" si="24"/>
        <v>6.2431199999999993</v>
      </c>
      <c r="I541" s="57">
        <f t="shared" si="25"/>
        <v>10.095479999999998</v>
      </c>
      <c r="J541" s="56">
        <f t="shared" si="26"/>
        <v>13.947839999999999</v>
      </c>
    </row>
    <row r="542" spans="1:10" ht="18">
      <c r="A542" s="49">
        <v>2890</v>
      </c>
      <c r="B542" s="49" t="s">
        <v>753</v>
      </c>
      <c r="D542" s="49">
        <v>10.058</v>
      </c>
      <c r="E542" s="49">
        <v>18.524000000000001</v>
      </c>
      <c r="F542" s="49">
        <v>14.291</v>
      </c>
      <c r="G542" s="54">
        <v>1.61</v>
      </c>
      <c r="H542" s="56">
        <f t="shared" si="24"/>
        <v>16.193380000000001</v>
      </c>
      <c r="I542" s="57">
        <f t="shared" si="25"/>
        <v>23.008510000000001</v>
      </c>
      <c r="J542" s="56">
        <f t="shared" si="26"/>
        <v>29.823640000000005</v>
      </c>
    </row>
    <row r="543" spans="1:10" ht="18">
      <c r="A543" s="49">
        <v>2891</v>
      </c>
      <c r="B543" s="49" t="s">
        <v>754</v>
      </c>
      <c r="D543" s="49">
        <v>9.1719999999999988</v>
      </c>
      <c r="E543" s="49">
        <v>18.258000000000003</v>
      </c>
      <c r="F543" s="49">
        <v>13.715</v>
      </c>
      <c r="G543" s="54">
        <v>2.82</v>
      </c>
      <c r="H543" s="56">
        <f t="shared" si="24"/>
        <v>25.865039999999997</v>
      </c>
      <c r="I543" s="57">
        <f t="shared" si="25"/>
        <v>38.676299999999998</v>
      </c>
      <c r="J543" s="56">
        <f t="shared" si="26"/>
        <v>51.487560000000002</v>
      </c>
    </row>
    <row r="544" spans="1:10" ht="18">
      <c r="A544" s="49">
        <v>2892</v>
      </c>
      <c r="B544" s="49" t="s">
        <v>755</v>
      </c>
      <c r="D544" s="49">
        <v>11.497999999999999</v>
      </c>
      <c r="E544" s="49">
        <v>20.642000000000003</v>
      </c>
      <c r="F544" s="49">
        <v>16.07</v>
      </c>
      <c r="G544" s="54">
        <v>1.65</v>
      </c>
      <c r="H544" s="56">
        <f t="shared" si="24"/>
        <v>18.971699999999998</v>
      </c>
      <c r="I544" s="57">
        <f t="shared" si="25"/>
        <v>26.515499999999999</v>
      </c>
      <c r="J544" s="56">
        <f t="shared" si="26"/>
        <v>34.0593</v>
      </c>
    </row>
    <row r="545" spans="1:10" ht="18">
      <c r="A545" s="49">
        <v>2897</v>
      </c>
      <c r="B545" s="49" t="s">
        <v>756</v>
      </c>
      <c r="D545" s="49">
        <v>13.141999999999999</v>
      </c>
      <c r="E545" s="49">
        <v>18.73</v>
      </c>
      <c r="F545" s="49">
        <v>15.936</v>
      </c>
      <c r="G545" s="54">
        <v>0.87</v>
      </c>
      <c r="H545" s="56">
        <f t="shared" si="24"/>
        <v>11.433539999999999</v>
      </c>
      <c r="I545" s="57">
        <f t="shared" si="25"/>
        <v>13.864319999999999</v>
      </c>
      <c r="J545" s="56">
        <f t="shared" si="26"/>
        <v>16.295100000000001</v>
      </c>
    </row>
    <row r="546" spans="1:10" ht="18">
      <c r="A546" s="49">
        <v>2901</v>
      </c>
      <c r="B546" s="49" t="s">
        <v>757</v>
      </c>
      <c r="D546" s="49">
        <v>0</v>
      </c>
      <c r="E546" s="49">
        <v>0</v>
      </c>
      <c r="F546" s="49">
        <v>0</v>
      </c>
      <c r="G546" s="54">
        <v>0.41</v>
      </c>
      <c r="H546" s="56">
        <f t="shared" si="24"/>
        <v>0</v>
      </c>
      <c r="I546" s="57">
        <f t="shared" si="25"/>
        <v>0</v>
      </c>
      <c r="J546" s="56">
        <f t="shared" si="26"/>
        <v>0</v>
      </c>
    </row>
    <row r="547" spans="1:10" ht="18">
      <c r="A547" s="49">
        <v>2903</v>
      </c>
      <c r="B547" s="49" t="s">
        <v>758</v>
      </c>
      <c r="D547" s="49">
        <v>15.366</v>
      </c>
      <c r="E547" s="49">
        <v>27.970000000000006</v>
      </c>
      <c r="F547" s="49">
        <v>21.668000000000003</v>
      </c>
      <c r="G547" s="54">
        <v>1.95</v>
      </c>
      <c r="H547" s="56">
        <f t="shared" si="24"/>
        <v>29.963699999999999</v>
      </c>
      <c r="I547" s="57">
        <f t="shared" si="25"/>
        <v>42.252600000000001</v>
      </c>
      <c r="J547" s="56">
        <f t="shared" si="26"/>
        <v>54.541500000000013</v>
      </c>
    </row>
    <row r="548" spans="1:10" ht="18">
      <c r="A548" s="49">
        <v>2904</v>
      </c>
      <c r="B548" s="49" t="s">
        <v>759</v>
      </c>
      <c r="D548" s="49">
        <v>8.1539999999999999</v>
      </c>
      <c r="E548" s="49">
        <v>16.097999999999999</v>
      </c>
      <c r="F548" s="49">
        <v>12.125999999999999</v>
      </c>
      <c r="G548" s="54">
        <v>0.84</v>
      </c>
      <c r="H548" s="56">
        <f t="shared" si="24"/>
        <v>6.8493599999999999</v>
      </c>
      <c r="I548" s="57">
        <f t="shared" si="25"/>
        <v>10.185839999999999</v>
      </c>
      <c r="J548" s="56">
        <f t="shared" si="26"/>
        <v>13.522319999999999</v>
      </c>
    </row>
    <row r="549" spans="1:10" ht="18">
      <c r="A549" s="49">
        <v>2905</v>
      </c>
      <c r="B549" s="49" t="s">
        <v>760</v>
      </c>
      <c r="D549" s="49">
        <v>7.24</v>
      </c>
      <c r="E549" s="49">
        <v>14.234</v>
      </c>
      <c r="F549" s="49">
        <v>10.737</v>
      </c>
      <c r="G549" s="54">
        <v>-3.09</v>
      </c>
      <c r="H549" s="56">
        <f t="shared" si="24"/>
        <v>-22.371600000000001</v>
      </c>
      <c r="I549" s="57">
        <f t="shared" si="25"/>
        <v>-33.177329999999998</v>
      </c>
      <c r="J549" s="56">
        <f t="shared" si="26"/>
        <v>-43.983059999999995</v>
      </c>
    </row>
    <row r="550" spans="1:10" ht="18">
      <c r="A550" s="49">
        <v>2906</v>
      </c>
      <c r="B550" s="49" t="s">
        <v>761</v>
      </c>
      <c r="D550" s="49">
        <v>14.068000000000001</v>
      </c>
      <c r="E550" s="49">
        <v>30.824000000000002</v>
      </c>
      <c r="F550" s="49">
        <v>22.446000000000002</v>
      </c>
      <c r="G550" s="54">
        <v>0.56999999999999995</v>
      </c>
      <c r="H550" s="56">
        <f t="shared" si="24"/>
        <v>8.0187600000000003</v>
      </c>
      <c r="I550" s="57">
        <f t="shared" si="25"/>
        <v>12.794219999999999</v>
      </c>
      <c r="J550" s="56">
        <f t="shared" si="26"/>
        <v>17.569679999999998</v>
      </c>
    </row>
    <row r="551" spans="1:10" ht="18">
      <c r="A551" s="49">
        <v>2908</v>
      </c>
      <c r="B551" s="49" t="s">
        <v>762</v>
      </c>
      <c r="D551" s="49">
        <v>14.086000000000002</v>
      </c>
      <c r="E551" s="49">
        <v>21.283999999999999</v>
      </c>
      <c r="F551" s="49">
        <v>17.685000000000002</v>
      </c>
      <c r="G551" s="54">
        <v>0.52</v>
      </c>
      <c r="H551" s="56">
        <f t="shared" si="24"/>
        <v>7.324720000000001</v>
      </c>
      <c r="I551" s="57">
        <f t="shared" si="25"/>
        <v>9.196200000000001</v>
      </c>
      <c r="J551" s="56">
        <f t="shared" si="26"/>
        <v>11.067679999999999</v>
      </c>
    </row>
    <row r="552" spans="1:10" ht="18">
      <c r="A552" s="49">
        <v>2910</v>
      </c>
      <c r="B552" s="49" t="s">
        <v>763</v>
      </c>
      <c r="D552" s="49">
        <v>0</v>
      </c>
      <c r="E552" s="49">
        <v>0</v>
      </c>
      <c r="F552" s="49">
        <v>0</v>
      </c>
      <c r="G552" s="54">
        <v>1.17</v>
      </c>
      <c r="H552" s="56">
        <f t="shared" si="24"/>
        <v>0</v>
      </c>
      <c r="I552" s="57">
        <f t="shared" si="25"/>
        <v>0</v>
      </c>
      <c r="J552" s="56">
        <f t="shared" si="26"/>
        <v>0</v>
      </c>
    </row>
    <row r="553" spans="1:10" ht="18">
      <c r="A553" s="49">
        <v>2911</v>
      </c>
      <c r="B553" s="49" t="s">
        <v>764</v>
      </c>
      <c r="D553" s="49">
        <v>17.334</v>
      </c>
      <c r="E553" s="49">
        <v>25.008000000000003</v>
      </c>
      <c r="F553" s="49">
        <v>21.170999999999999</v>
      </c>
      <c r="G553" s="54">
        <v>-4.04</v>
      </c>
      <c r="H553" s="56">
        <f t="shared" si="24"/>
        <v>-70.029359999999997</v>
      </c>
      <c r="I553" s="57">
        <f t="shared" si="25"/>
        <v>-85.530839999999998</v>
      </c>
      <c r="J553" s="56">
        <f t="shared" si="26"/>
        <v>-101.03232000000001</v>
      </c>
    </row>
    <row r="554" spans="1:10" ht="18">
      <c r="A554" s="49">
        <v>2912</v>
      </c>
      <c r="B554" s="49" t="s">
        <v>765</v>
      </c>
      <c r="D554" s="49">
        <v>18.96</v>
      </c>
      <c r="E554" s="49">
        <v>29.463999999999999</v>
      </c>
      <c r="F554" s="49">
        <v>24.212</v>
      </c>
      <c r="G554" s="54">
        <v>10.210000000000001</v>
      </c>
      <c r="H554" s="56">
        <f t="shared" si="24"/>
        <v>193.58160000000004</v>
      </c>
      <c r="I554" s="57">
        <f t="shared" si="25"/>
        <v>247.20452000000003</v>
      </c>
      <c r="J554" s="56">
        <f t="shared" si="26"/>
        <v>300.82744000000002</v>
      </c>
    </row>
    <row r="555" spans="1:10" ht="18">
      <c r="A555" s="49">
        <v>2913</v>
      </c>
      <c r="B555" s="49" t="s">
        <v>766</v>
      </c>
      <c r="D555" s="49">
        <v>16.621999999999996</v>
      </c>
      <c r="E555" s="49">
        <v>22.756</v>
      </c>
      <c r="F555" s="49">
        <v>19.689</v>
      </c>
      <c r="G555" s="54">
        <v>-0.36</v>
      </c>
      <c r="H555" s="56">
        <f t="shared" si="24"/>
        <v>-5.9839199999999986</v>
      </c>
      <c r="I555" s="57">
        <f t="shared" si="25"/>
        <v>-7.0880399999999995</v>
      </c>
      <c r="J555" s="56">
        <f t="shared" si="26"/>
        <v>-8.1921599999999994</v>
      </c>
    </row>
    <row r="556" spans="1:10" ht="18">
      <c r="A556" s="49">
        <v>2915</v>
      </c>
      <c r="B556" s="49" t="s">
        <v>767</v>
      </c>
      <c r="D556" s="49">
        <v>2.4539999999999997</v>
      </c>
      <c r="E556" s="49">
        <v>16.936</v>
      </c>
      <c r="F556" s="49">
        <v>9.6950000000000003</v>
      </c>
      <c r="G556" s="54">
        <v>7.19</v>
      </c>
      <c r="H556" s="56">
        <f t="shared" si="24"/>
        <v>17.644259999999999</v>
      </c>
      <c r="I556" s="57">
        <f t="shared" si="25"/>
        <v>69.70705000000001</v>
      </c>
      <c r="J556" s="56">
        <f t="shared" si="26"/>
        <v>121.76984</v>
      </c>
    </row>
    <row r="557" spans="1:10" ht="18">
      <c r="A557" s="49">
        <v>2916</v>
      </c>
      <c r="B557" s="49" t="s">
        <v>1297</v>
      </c>
      <c r="D557" s="49">
        <v>8.8880000000000017</v>
      </c>
      <c r="E557" s="49">
        <v>19.380000000000003</v>
      </c>
      <c r="F557" s="49">
        <v>14.134000000000002</v>
      </c>
      <c r="G557" s="54">
        <v>4.6100000000000003</v>
      </c>
      <c r="H557" s="56">
        <f t="shared" si="24"/>
        <v>40.973680000000009</v>
      </c>
      <c r="I557" s="57">
        <f t="shared" si="25"/>
        <v>65.157740000000018</v>
      </c>
      <c r="J557" s="56">
        <f t="shared" si="26"/>
        <v>89.341800000000021</v>
      </c>
    </row>
    <row r="558" spans="1:10" ht="18">
      <c r="A558" s="49">
        <v>2923</v>
      </c>
      <c r="B558" s="49" t="s">
        <v>768</v>
      </c>
      <c r="D558" s="49">
        <v>11.336</v>
      </c>
      <c r="E558" s="49">
        <v>26.29</v>
      </c>
      <c r="F558" s="49">
        <v>18.812999999999999</v>
      </c>
      <c r="G558" s="54">
        <v>0.32</v>
      </c>
      <c r="H558" s="56">
        <f t="shared" si="24"/>
        <v>3.6275200000000001</v>
      </c>
      <c r="I558" s="57">
        <f t="shared" si="25"/>
        <v>6.0201599999999997</v>
      </c>
      <c r="J558" s="56">
        <f t="shared" si="26"/>
        <v>8.4128000000000007</v>
      </c>
    </row>
    <row r="559" spans="1:10" ht="18">
      <c r="A559" s="49">
        <v>2924</v>
      </c>
      <c r="B559" s="49" t="s">
        <v>1298</v>
      </c>
      <c r="D559" s="49">
        <v>0</v>
      </c>
      <c r="E559" s="49">
        <v>0</v>
      </c>
      <c r="F559" s="49">
        <v>0</v>
      </c>
      <c r="G559" s="54">
        <v>-1.05</v>
      </c>
      <c r="H559" s="56">
        <f t="shared" si="24"/>
        <v>0</v>
      </c>
      <c r="I559" s="57">
        <f t="shared" si="25"/>
        <v>0</v>
      </c>
      <c r="J559" s="56">
        <f t="shared" si="26"/>
        <v>0</v>
      </c>
    </row>
    <row r="560" spans="1:10" ht="18">
      <c r="A560" s="49">
        <v>2926</v>
      </c>
      <c r="B560" s="49" t="s">
        <v>1299</v>
      </c>
      <c r="D560" s="49">
        <v>18.619999999999997</v>
      </c>
      <c r="E560" s="49">
        <v>24.366000000000003</v>
      </c>
      <c r="F560" s="49">
        <v>21.493000000000002</v>
      </c>
      <c r="G560" s="54">
        <v>-2.73</v>
      </c>
      <c r="H560" s="56">
        <f t="shared" si="24"/>
        <v>-50.832599999999992</v>
      </c>
      <c r="I560" s="57">
        <f t="shared" si="25"/>
        <v>-58.675890000000003</v>
      </c>
      <c r="J560" s="56">
        <f t="shared" si="26"/>
        <v>-66.519180000000006</v>
      </c>
    </row>
    <row r="561" spans="1:10" ht="18">
      <c r="A561" s="49">
        <v>2929</v>
      </c>
      <c r="B561" s="49" t="s">
        <v>769</v>
      </c>
      <c r="D561" s="49">
        <v>8.1379999999999999</v>
      </c>
      <c r="E561" s="49">
        <v>12.654</v>
      </c>
      <c r="F561" s="49">
        <v>10.396000000000001</v>
      </c>
      <c r="G561" s="54">
        <v>-0.63</v>
      </c>
      <c r="H561" s="56">
        <f t="shared" si="24"/>
        <v>-5.1269400000000003</v>
      </c>
      <c r="I561" s="57">
        <f t="shared" si="25"/>
        <v>-6.5494800000000009</v>
      </c>
      <c r="J561" s="56">
        <f t="shared" si="26"/>
        <v>-7.9720199999999997</v>
      </c>
    </row>
    <row r="562" spans="1:10" ht="18">
      <c r="A562" s="49">
        <v>2937</v>
      </c>
      <c r="B562" s="49" t="s">
        <v>1300</v>
      </c>
      <c r="D562" s="49">
        <v>11.462</v>
      </c>
      <c r="E562" s="49">
        <v>14.862</v>
      </c>
      <c r="F562" s="49">
        <v>13.161999999999999</v>
      </c>
      <c r="G562" s="54">
        <v>2.81</v>
      </c>
      <c r="H562" s="56">
        <f t="shared" si="24"/>
        <v>32.208219999999997</v>
      </c>
      <c r="I562" s="57">
        <f t="shared" si="25"/>
        <v>36.985219999999998</v>
      </c>
      <c r="J562" s="56">
        <f t="shared" si="26"/>
        <v>41.762219999999999</v>
      </c>
    </row>
    <row r="563" spans="1:10" ht="18">
      <c r="A563" s="49">
        <v>2939</v>
      </c>
      <c r="B563" s="49" t="s">
        <v>770</v>
      </c>
      <c r="D563" s="49">
        <v>0</v>
      </c>
      <c r="E563" s="49">
        <v>0</v>
      </c>
      <c r="F563" s="49">
        <v>0</v>
      </c>
      <c r="G563" s="54">
        <v>-1.76</v>
      </c>
      <c r="H563" s="56">
        <f t="shared" si="24"/>
        <v>0</v>
      </c>
      <c r="I563" s="57">
        <f t="shared" si="25"/>
        <v>0</v>
      </c>
      <c r="J563" s="56">
        <f t="shared" si="26"/>
        <v>0</v>
      </c>
    </row>
    <row r="564" spans="1:10" ht="18">
      <c r="A564" s="49">
        <v>2945</v>
      </c>
      <c r="B564" s="49" t="s">
        <v>771</v>
      </c>
      <c r="D564" s="49">
        <v>0</v>
      </c>
      <c r="E564" s="49">
        <v>0</v>
      </c>
      <c r="F564" s="49">
        <v>0</v>
      </c>
      <c r="G564" s="54" t="s">
        <v>271</v>
      </c>
      <c r="H564" s="56" t="e">
        <f t="shared" si="24"/>
        <v>#VALUE!</v>
      </c>
      <c r="I564" s="57" t="e">
        <f t="shared" si="25"/>
        <v>#VALUE!</v>
      </c>
      <c r="J564" s="56" t="e">
        <f t="shared" si="26"/>
        <v>#VALUE!</v>
      </c>
    </row>
    <row r="565" spans="1:10" ht="18">
      <c r="A565" s="49">
        <v>2947</v>
      </c>
      <c r="B565" s="49" t="s">
        <v>1301</v>
      </c>
      <c r="D565" s="49">
        <v>0</v>
      </c>
      <c r="E565" s="49">
        <v>0</v>
      </c>
      <c r="F565" s="49">
        <v>0</v>
      </c>
      <c r="G565" s="54" t="s">
        <v>271</v>
      </c>
      <c r="H565" s="56" t="e">
        <f t="shared" si="24"/>
        <v>#VALUE!</v>
      </c>
      <c r="I565" s="57" t="e">
        <f t="shared" si="25"/>
        <v>#VALUE!</v>
      </c>
      <c r="J565" s="56" t="e">
        <f t="shared" si="26"/>
        <v>#VALUE!</v>
      </c>
    </row>
    <row r="566" spans="1:10" ht="18">
      <c r="A566" s="49">
        <v>3002</v>
      </c>
      <c r="B566" s="49" t="s">
        <v>772</v>
      </c>
      <c r="D566" s="49">
        <v>11.843999999999999</v>
      </c>
      <c r="E566" s="49">
        <v>22.646000000000001</v>
      </c>
      <c r="F566" s="49">
        <v>17.245000000000001</v>
      </c>
      <c r="G566" s="54">
        <v>0.11</v>
      </c>
      <c r="H566" s="56">
        <f t="shared" si="24"/>
        <v>1.30284</v>
      </c>
      <c r="I566" s="57">
        <f t="shared" si="25"/>
        <v>1.8969500000000001</v>
      </c>
      <c r="J566" s="56">
        <f t="shared" si="26"/>
        <v>2.4910600000000001</v>
      </c>
    </row>
    <row r="567" spans="1:10" ht="18">
      <c r="A567" s="49">
        <v>3003</v>
      </c>
      <c r="B567" s="49" t="s">
        <v>773</v>
      </c>
      <c r="D567" s="49">
        <v>10.108000000000001</v>
      </c>
      <c r="E567" s="49">
        <v>20.352</v>
      </c>
      <c r="F567" s="49">
        <v>15.23</v>
      </c>
      <c r="G567" s="54">
        <v>3.49</v>
      </c>
      <c r="H567" s="56">
        <f t="shared" si="24"/>
        <v>35.276920000000004</v>
      </c>
      <c r="I567" s="57">
        <f t="shared" si="25"/>
        <v>53.152700000000003</v>
      </c>
      <c r="J567" s="56">
        <f t="shared" si="26"/>
        <v>71.028480000000002</v>
      </c>
    </row>
    <row r="568" spans="1:10" ht="18">
      <c r="A568" s="49">
        <v>3004</v>
      </c>
      <c r="B568" s="49" t="s">
        <v>774</v>
      </c>
      <c r="D568" s="49">
        <v>8.1639999999999997</v>
      </c>
      <c r="E568" s="49">
        <v>16.052</v>
      </c>
      <c r="F568" s="49">
        <v>12.108000000000001</v>
      </c>
      <c r="G568" s="54">
        <v>5.77</v>
      </c>
      <c r="H568" s="56">
        <f t="shared" si="24"/>
        <v>47.106279999999998</v>
      </c>
      <c r="I568" s="57">
        <f t="shared" si="25"/>
        <v>69.863159999999993</v>
      </c>
      <c r="J568" s="56">
        <f t="shared" si="26"/>
        <v>92.620039999999989</v>
      </c>
    </row>
    <row r="569" spans="1:10" ht="18">
      <c r="A569" s="49">
        <v>3005</v>
      </c>
      <c r="B569" s="49" t="s">
        <v>775</v>
      </c>
      <c r="D569" s="49">
        <v>8.5539999999999985</v>
      </c>
      <c r="E569" s="49">
        <v>20.905999999999999</v>
      </c>
      <c r="F569" s="49">
        <v>14.729999999999999</v>
      </c>
      <c r="G569" s="54">
        <v>6.17</v>
      </c>
      <c r="H569" s="56">
        <f t="shared" si="24"/>
        <v>52.778179999999992</v>
      </c>
      <c r="I569" s="57">
        <f t="shared" si="25"/>
        <v>90.884099999999989</v>
      </c>
      <c r="J569" s="56">
        <f t="shared" si="26"/>
        <v>128.99001999999999</v>
      </c>
    </row>
    <row r="570" spans="1:10" ht="18">
      <c r="A570" s="49">
        <v>3006</v>
      </c>
      <c r="B570" s="49" t="s">
        <v>776</v>
      </c>
      <c r="D570" s="49">
        <v>9.75</v>
      </c>
      <c r="E570" s="49">
        <v>22.661999999999999</v>
      </c>
      <c r="F570" s="49">
        <v>16.206</v>
      </c>
      <c r="G570" s="54">
        <v>-4.3600000000000003</v>
      </c>
      <c r="H570" s="56">
        <f t="shared" si="24"/>
        <v>-42.510000000000005</v>
      </c>
      <c r="I570" s="57">
        <f t="shared" si="25"/>
        <v>-70.658160000000009</v>
      </c>
      <c r="J570" s="56">
        <f t="shared" si="26"/>
        <v>-98.806319999999999</v>
      </c>
    </row>
    <row r="571" spans="1:10" ht="18">
      <c r="A571" s="49">
        <v>3008</v>
      </c>
      <c r="B571" s="49" t="s">
        <v>777</v>
      </c>
      <c r="D571" s="49">
        <v>12.522000000000002</v>
      </c>
      <c r="E571" s="49">
        <v>25.07</v>
      </c>
      <c r="F571" s="49">
        <v>18.795999999999999</v>
      </c>
      <c r="G571" s="54">
        <v>134.13</v>
      </c>
      <c r="H571" s="56">
        <f t="shared" si="24"/>
        <v>1679.5758600000001</v>
      </c>
      <c r="I571" s="57">
        <f t="shared" si="25"/>
        <v>2521.1074799999997</v>
      </c>
      <c r="J571" s="56">
        <f t="shared" si="26"/>
        <v>3362.6390999999999</v>
      </c>
    </row>
    <row r="572" spans="1:10" ht="18">
      <c r="A572" s="49">
        <v>3010</v>
      </c>
      <c r="B572" s="49" t="s">
        <v>778</v>
      </c>
      <c r="D572" s="49">
        <v>7.0260000000000007</v>
      </c>
      <c r="E572" s="49">
        <v>13.168000000000001</v>
      </c>
      <c r="F572" s="49">
        <v>10.097000000000001</v>
      </c>
      <c r="G572" s="54">
        <v>8.9600000000000009</v>
      </c>
      <c r="H572" s="56">
        <f t="shared" si="24"/>
        <v>62.952960000000012</v>
      </c>
      <c r="I572" s="57">
        <f t="shared" si="25"/>
        <v>90.469120000000018</v>
      </c>
      <c r="J572" s="56">
        <f t="shared" si="26"/>
        <v>117.98528000000002</v>
      </c>
    </row>
    <row r="573" spans="1:10" ht="18">
      <c r="A573" s="49">
        <v>3011</v>
      </c>
      <c r="B573" s="49" t="s">
        <v>779</v>
      </c>
      <c r="D573" s="49">
        <v>0</v>
      </c>
      <c r="E573" s="49">
        <v>0</v>
      </c>
      <c r="F573" s="49">
        <v>0</v>
      </c>
      <c r="G573" s="54">
        <v>-1.17</v>
      </c>
      <c r="H573" s="56">
        <f t="shared" si="24"/>
        <v>0</v>
      </c>
      <c r="I573" s="57">
        <f t="shared" si="25"/>
        <v>0</v>
      </c>
      <c r="J573" s="56">
        <f t="shared" si="26"/>
        <v>0</v>
      </c>
    </row>
    <row r="574" spans="1:10" ht="18">
      <c r="A574" s="49">
        <v>3013</v>
      </c>
      <c r="B574" s="49" t="s">
        <v>780</v>
      </c>
      <c r="D574" s="49">
        <v>14.498000000000001</v>
      </c>
      <c r="E574" s="49">
        <v>28.315999999999995</v>
      </c>
      <c r="F574" s="49">
        <v>21.406999999999996</v>
      </c>
      <c r="G574" s="54">
        <v>1.29</v>
      </c>
      <c r="H574" s="56">
        <f t="shared" si="24"/>
        <v>18.702420000000004</v>
      </c>
      <c r="I574" s="57">
        <f t="shared" si="25"/>
        <v>27.615029999999997</v>
      </c>
      <c r="J574" s="56">
        <f t="shared" si="26"/>
        <v>36.527639999999998</v>
      </c>
    </row>
    <row r="575" spans="1:10" ht="18">
      <c r="A575" s="49">
        <v>3014</v>
      </c>
      <c r="B575" s="49" t="s">
        <v>781</v>
      </c>
      <c r="D575" s="49">
        <v>10.862</v>
      </c>
      <c r="E575" s="49">
        <v>27.675999999999998</v>
      </c>
      <c r="F575" s="49">
        <v>19.268999999999998</v>
      </c>
      <c r="G575" s="54">
        <v>9.86</v>
      </c>
      <c r="H575" s="56">
        <f t="shared" si="24"/>
        <v>107.09931999999999</v>
      </c>
      <c r="I575" s="57">
        <f t="shared" si="25"/>
        <v>189.99233999999998</v>
      </c>
      <c r="J575" s="56">
        <f t="shared" si="26"/>
        <v>272.88535999999999</v>
      </c>
    </row>
    <row r="576" spans="1:10" ht="18">
      <c r="A576" s="49">
        <v>3015</v>
      </c>
      <c r="B576" s="49" t="s">
        <v>782</v>
      </c>
      <c r="D576" s="49">
        <v>8.4420000000000002</v>
      </c>
      <c r="E576" s="49">
        <v>17.158000000000001</v>
      </c>
      <c r="F576" s="49">
        <v>12.8</v>
      </c>
      <c r="G576" s="54">
        <v>3.2</v>
      </c>
      <c r="H576" s="56">
        <f t="shared" si="24"/>
        <v>27.014400000000002</v>
      </c>
      <c r="I576" s="57">
        <f t="shared" si="25"/>
        <v>40.960000000000008</v>
      </c>
      <c r="J576" s="56">
        <f t="shared" si="26"/>
        <v>54.905600000000007</v>
      </c>
    </row>
    <row r="577" spans="1:10" ht="18">
      <c r="A577" s="49">
        <v>3016</v>
      </c>
      <c r="B577" s="49" t="s">
        <v>783</v>
      </c>
      <c r="D577" s="49">
        <v>0</v>
      </c>
      <c r="E577" s="49">
        <v>0</v>
      </c>
      <c r="F577" s="49">
        <v>0</v>
      </c>
      <c r="G577" s="54">
        <v>0.56999999999999995</v>
      </c>
      <c r="H577" s="56">
        <f t="shared" si="24"/>
        <v>0</v>
      </c>
      <c r="I577" s="57">
        <f t="shared" si="25"/>
        <v>0</v>
      </c>
      <c r="J577" s="56">
        <f t="shared" si="26"/>
        <v>0</v>
      </c>
    </row>
    <row r="578" spans="1:10" ht="18">
      <c r="A578" s="49">
        <v>3017</v>
      </c>
      <c r="B578" s="49" t="s">
        <v>784</v>
      </c>
      <c r="D578" s="49">
        <v>9.0340000000000007</v>
      </c>
      <c r="E578" s="49">
        <v>22.568000000000001</v>
      </c>
      <c r="F578" s="49">
        <v>15.801000000000002</v>
      </c>
      <c r="G578" s="54">
        <v>14.11</v>
      </c>
      <c r="H578" s="56">
        <f t="shared" si="24"/>
        <v>127.46974</v>
      </c>
      <c r="I578" s="57">
        <f t="shared" si="25"/>
        <v>222.95211</v>
      </c>
      <c r="J578" s="56">
        <f t="shared" si="26"/>
        <v>318.43448000000001</v>
      </c>
    </row>
    <row r="579" spans="1:10" ht="18">
      <c r="A579" s="49">
        <v>3019</v>
      </c>
      <c r="B579" s="49" t="s">
        <v>785</v>
      </c>
      <c r="D579" s="49">
        <v>14.725999999999999</v>
      </c>
      <c r="E579" s="49">
        <v>22.832000000000001</v>
      </c>
      <c r="F579" s="49">
        <v>18.779</v>
      </c>
      <c r="G579" s="54">
        <v>2.78</v>
      </c>
      <c r="H579" s="56">
        <f t="shared" ref="H579:H642" si="27">G579*D579</f>
        <v>40.938279999999992</v>
      </c>
      <c r="I579" s="57">
        <f t="shared" ref="I579:I642" si="28">G579*F579</f>
        <v>52.205619999999996</v>
      </c>
      <c r="J579" s="56">
        <f t="shared" ref="J579:J642" si="29">G579*E579</f>
        <v>63.47296</v>
      </c>
    </row>
    <row r="580" spans="1:10" ht="18">
      <c r="A580" s="49">
        <v>3021</v>
      </c>
      <c r="B580" s="49" t="s">
        <v>786</v>
      </c>
      <c r="D580" s="49">
        <v>7.3120000000000003</v>
      </c>
      <c r="E580" s="49">
        <v>18.163999999999998</v>
      </c>
      <c r="F580" s="49">
        <v>12.738</v>
      </c>
      <c r="G580" s="54">
        <v>1.34</v>
      </c>
      <c r="H580" s="56">
        <f t="shared" si="27"/>
        <v>9.7980800000000006</v>
      </c>
      <c r="I580" s="57">
        <f t="shared" si="28"/>
        <v>17.068920000000002</v>
      </c>
      <c r="J580" s="56">
        <f t="shared" si="29"/>
        <v>24.339759999999998</v>
      </c>
    </row>
    <row r="581" spans="1:10" ht="18">
      <c r="A581" s="49">
        <v>3022</v>
      </c>
      <c r="B581" s="49" t="s">
        <v>787</v>
      </c>
      <c r="D581" s="49">
        <v>8.0500000000000007</v>
      </c>
      <c r="E581" s="49">
        <v>15.396000000000001</v>
      </c>
      <c r="F581" s="49">
        <v>11.723000000000001</v>
      </c>
      <c r="G581" s="54">
        <v>7.83</v>
      </c>
      <c r="H581" s="56">
        <f t="shared" si="27"/>
        <v>63.031500000000008</v>
      </c>
      <c r="I581" s="57">
        <f t="shared" si="28"/>
        <v>91.791090000000011</v>
      </c>
      <c r="J581" s="56">
        <f t="shared" si="29"/>
        <v>120.55068000000001</v>
      </c>
    </row>
    <row r="582" spans="1:10" ht="18">
      <c r="A582" s="49">
        <v>3023</v>
      </c>
      <c r="B582" s="49" t="s">
        <v>788</v>
      </c>
      <c r="D582" s="49">
        <v>8.5680000000000014</v>
      </c>
      <c r="E582" s="49">
        <v>23.363999999999997</v>
      </c>
      <c r="F582" s="49">
        <v>15.965999999999999</v>
      </c>
      <c r="G582" s="54">
        <v>13.71</v>
      </c>
      <c r="H582" s="56">
        <f t="shared" si="27"/>
        <v>117.46728000000003</v>
      </c>
      <c r="I582" s="57">
        <f t="shared" si="28"/>
        <v>218.89386000000002</v>
      </c>
      <c r="J582" s="56">
        <f t="shared" si="29"/>
        <v>320.32043999999996</v>
      </c>
    </row>
    <row r="583" spans="1:10" ht="18">
      <c r="A583" s="49">
        <v>3024</v>
      </c>
      <c r="B583" s="49" t="s">
        <v>789</v>
      </c>
      <c r="D583" s="49">
        <v>13.212</v>
      </c>
      <c r="E583" s="49">
        <v>13.212</v>
      </c>
      <c r="F583" s="49">
        <v>13.212</v>
      </c>
      <c r="G583" s="54">
        <v>0.39</v>
      </c>
      <c r="H583" s="56">
        <f t="shared" si="27"/>
        <v>5.1526800000000001</v>
      </c>
      <c r="I583" s="57">
        <f t="shared" si="28"/>
        <v>5.1526800000000001</v>
      </c>
      <c r="J583" s="56">
        <f t="shared" si="29"/>
        <v>5.1526800000000001</v>
      </c>
    </row>
    <row r="584" spans="1:10" ht="18">
      <c r="A584" s="49">
        <v>3025</v>
      </c>
      <c r="B584" s="49" t="s">
        <v>790</v>
      </c>
      <c r="D584" s="49">
        <v>15.622</v>
      </c>
      <c r="E584" s="49">
        <v>34.863999999999997</v>
      </c>
      <c r="F584" s="49">
        <v>25.242999999999999</v>
      </c>
      <c r="G584" s="54">
        <v>3</v>
      </c>
      <c r="H584" s="56">
        <f t="shared" si="27"/>
        <v>46.866</v>
      </c>
      <c r="I584" s="57">
        <f t="shared" si="28"/>
        <v>75.728999999999999</v>
      </c>
      <c r="J584" s="56">
        <f t="shared" si="29"/>
        <v>104.59199999999998</v>
      </c>
    </row>
    <row r="585" spans="1:10" ht="18">
      <c r="A585" s="49">
        <v>3026</v>
      </c>
      <c r="B585" s="49" t="s">
        <v>791</v>
      </c>
      <c r="D585" s="49">
        <v>8.1660000000000004</v>
      </c>
      <c r="E585" s="49">
        <v>20.454000000000001</v>
      </c>
      <c r="F585" s="49">
        <v>14.31</v>
      </c>
      <c r="G585" s="54">
        <v>5.0199999999999996</v>
      </c>
      <c r="H585" s="56">
        <f t="shared" si="27"/>
        <v>40.993319999999997</v>
      </c>
      <c r="I585" s="57">
        <f t="shared" si="28"/>
        <v>71.836199999999991</v>
      </c>
      <c r="J585" s="56">
        <f t="shared" si="29"/>
        <v>102.67908</v>
      </c>
    </row>
    <row r="586" spans="1:10" ht="18">
      <c r="A586" s="49">
        <v>3027</v>
      </c>
      <c r="B586" s="49" t="s">
        <v>792</v>
      </c>
      <c r="D586" s="49">
        <v>12.431999999999999</v>
      </c>
      <c r="E586" s="49">
        <v>15.791999999999998</v>
      </c>
      <c r="F586" s="49">
        <v>14.111999999999998</v>
      </c>
      <c r="G586" s="54">
        <v>0.64</v>
      </c>
      <c r="H586" s="56">
        <f t="shared" si="27"/>
        <v>7.9564799999999991</v>
      </c>
      <c r="I586" s="57">
        <f t="shared" si="28"/>
        <v>9.0316799999999997</v>
      </c>
      <c r="J586" s="56">
        <f t="shared" si="29"/>
        <v>10.106879999999999</v>
      </c>
    </row>
    <row r="587" spans="1:10" ht="18">
      <c r="A587" s="49">
        <v>3028</v>
      </c>
      <c r="B587" s="49" t="s">
        <v>793</v>
      </c>
      <c r="D587" s="49">
        <v>7.7620000000000005</v>
      </c>
      <c r="E587" s="49">
        <v>15.809999999999999</v>
      </c>
      <c r="F587" s="49">
        <v>11.786</v>
      </c>
      <c r="G587" s="54">
        <v>2.0299999999999998</v>
      </c>
      <c r="H587" s="56">
        <f t="shared" si="27"/>
        <v>15.75686</v>
      </c>
      <c r="I587" s="57">
        <f t="shared" si="28"/>
        <v>23.925579999999997</v>
      </c>
      <c r="J587" s="56">
        <f t="shared" si="29"/>
        <v>32.094299999999997</v>
      </c>
    </row>
    <row r="588" spans="1:10" ht="18">
      <c r="A588" s="49">
        <v>3029</v>
      </c>
      <c r="B588" s="49" t="s">
        <v>794</v>
      </c>
      <c r="D588" s="49">
        <v>10.651999999999999</v>
      </c>
      <c r="E588" s="49">
        <v>21.033999999999999</v>
      </c>
      <c r="F588" s="49">
        <v>15.843</v>
      </c>
      <c r="G588" s="54">
        <v>4.5</v>
      </c>
      <c r="H588" s="56">
        <f t="shared" si="27"/>
        <v>47.933999999999997</v>
      </c>
      <c r="I588" s="57">
        <f t="shared" si="28"/>
        <v>71.293499999999995</v>
      </c>
      <c r="J588" s="56">
        <f t="shared" si="29"/>
        <v>94.652999999999992</v>
      </c>
    </row>
    <row r="589" spans="1:10" ht="18">
      <c r="A589" s="49">
        <v>3030</v>
      </c>
      <c r="B589" s="49" t="s">
        <v>795</v>
      </c>
      <c r="D589" s="49">
        <v>7.6479999999999988</v>
      </c>
      <c r="E589" s="49">
        <v>16.582000000000001</v>
      </c>
      <c r="F589" s="49">
        <v>12.115</v>
      </c>
      <c r="G589" s="54">
        <v>4.24</v>
      </c>
      <c r="H589" s="56">
        <f t="shared" si="27"/>
        <v>32.427519999999994</v>
      </c>
      <c r="I589" s="57">
        <f t="shared" si="28"/>
        <v>51.367600000000003</v>
      </c>
      <c r="J589" s="56">
        <f t="shared" si="29"/>
        <v>70.307680000000005</v>
      </c>
    </row>
    <row r="590" spans="1:10" ht="18">
      <c r="A590" s="49">
        <v>3031</v>
      </c>
      <c r="B590" s="49" t="s">
        <v>796</v>
      </c>
      <c r="D590" s="49">
        <v>13.058000000000002</v>
      </c>
      <c r="E590" s="49">
        <v>29.933999999999997</v>
      </c>
      <c r="F590" s="49">
        <v>21.495999999999999</v>
      </c>
      <c r="G590" s="54">
        <v>1.05</v>
      </c>
      <c r="H590" s="56">
        <f t="shared" si="27"/>
        <v>13.710900000000002</v>
      </c>
      <c r="I590" s="57">
        <f t="shared" si="28"/>
        <v>22.570799999999998</v>
      </c>
      <c r="J590" s="56">
        <f t="shared" si="29"/>
        <v>31.430699999999998</v>
      </c>
    </row>
    <row r="591" spans="1:10" ht="18">
      <c r="A591" s="49">
        <v>3032</v>
      </c>
      <c r="B591" s="49" t="s">
        <v>797</v>
      </c>
      <c r="D591" s="49">
        <v>7.952</v>
      </c>
      <c r="E591" s="49">
        <v>20.59</v>
      </c>
      <c r="F591" s="49">
        <v>14.271000000000001</v>
      </c>
      <c r="G591" s="54">
        <v>5.41</v>
      </c>
      <c r="H591" s="56">
        <f t="shared" si="27"/>
        <v>43.020319999999998</v>
      </c>
      <c r="I591" s="57">
        <f t="shared" si="28"/>
        <v>77.20611000000001</v>
      </c>
      <c r="J591" s="56">
        <f t="shared" si="29"/>
        <v>111.39190000000001</v>
      </c>
    </row>
    <row r="592" spans="1:10" ht="18">
      <c r="A592" s="49">
        <v>3033</v>
      </c>
      <c r="B592" s="49" t="s">
        <v>798</v>
      </c>
      <c r="D592" s="49">
        <v>7.4319999999999995</v>
      </c>
      <c r="E592" s="49">
        <v>15.196000000000002</v>
      </c>
      <c r="F592" s="49">
        <v>11.314</v>
      </c>
      <c r="G592" s="54">
        <v>1.85</v>
      </c>
      <c r="H592" s="56">
        <f t="shared" si="27"/>
        <v>13.7492</v>
      </c>
      <c r="I592" s="57">
        <f t="shared" si="28"/>
        <v>20.930900000000001</v>
      </c>
      <c r="J592" s="56">
        <f t="shared" si="29"/>
        <v>28.112600000000004</v>
      </c>
    </row>
    <row r="593" spans="1:10" ht="18">
      <c r="A593" s="49">
        <v>3034</v>
      </c>
      <c r="B593" s="49" t="s">
        <v>799</v>
      </c>
      <c r="D593" s="49">
        <v>7.9279999999999999</v>
      </c>
      <c r="E593" s="49">
        <v>18.714000000000002</v>
      </c>
      <c r="F593" s="49">
        <v>13.321000000000002</v>
      </c>
      <c r="G593" s="54">
        <v>38.32</v>
      </c>
      <c r="H593" s="56">
        <f t="shared" si="27"/>
        <v>303.80095999999998</v>
      </c>
      <c r="I593" s="57">
        <f t="shared" si="28"/>
        <v>510.46072000000004</v>
      </c>
      <c r="J593" s="56">
        <f t="shared" si="29"/>
        <v>717.12048000000004</v>
      </c>
    </row>
    <row r="594" spans="1:10" ht="18">
      <c r="A594" s="49">
        <v>3035</v>
      </c>
      <c r="B594" s="49" t="s">
        <v>800</v>
      </c>
      <c r="D594" s="49">
        <v>14.260000000000002</v>
      </c>
      <c r="E594" s="49">
        <v>27.473999999999997</v>
      </c>
      <c r="F594" s="49">
        <v>20.866999999999997</v>
      </c>
      <c r="G594" s="54">
        <v>6.39</v>
      </c>
      <c r="H594" s="56">
        <f t="shared" si="27"/>
        <v>91.121400000000008</v>
      </c>
      <c r="I594" s="57">
        <f t="shared" si="28"/>
        <v>133.34012999999999</v>
      </c>
      <c r="J594" s="56">
        <f t="shared" si="29"/>
        <v>175.55885999999998</v>
      </c>
    </row>
    <row r="595" spans="1:10" ht="18">
      <c r="A595" s="49">
        <v>3036</v>
      </c>
      <c r="B595" s="49" t="s">
        <v>801</v>
      </c>
      <c r="D595" s="49">
        <v>6.9279999999999999</v>
      </c>
      <c r="E595" s="49">
        <v>14.054000000000002</v>
      </c>
      <c r="F595" s="49">
        <v>10.491000000000001</v>
      </c>
      <c r="G595" s="54">
        <v>4.24</v>
      </c>
      <c r="H595" s="56">
        <f t="shared" si="27"/>
        <v>29.37472</v>
      </c>
      <c r="I595" s="57">
        <f t="shared" si="28"/>
        <v>44.481840000000005</v>
      </c>
      <c r="J595" s="56">
        <f t="shared" si="29"/>
        <v>59.588960000000014</v>
      </c>
    </row>
    <row r="596" spans="1:10" ht="18">
      <c r="A596" s="49">
        <v>3037</v>
      </c>
      <c r="B596" s="49" t="s">
        <v>802</v>
      </c>
      <c r="D596" s="49">
        <v>8.831999999999999</v>
      </c>
      <c r="E596" s="49">
        <v>26.173999999999999</v>
      </c>
      <c r="F596" s="49">
        <v>17.503</v>
      </c>
      <c r="G596" s="54">
        <v>7.88</v>
      </c>
      <c r="H596" s="56">
        <f t="shared" si="27"/>
        <v>69.596159999999998</v>
      </c>
      <c r="I596" s="57">
        <f t="shared" si="28"/>
        <v>137.92364000000001</v>
      </c>
      <c r="J596" s="56">
        <f t="shared" si="29"/>
        <v>206.25111999999999</v>
      </c>
    </row>
    <row r="597" spans="1:10" ht="18">
      <c r="A597" s="49">
        <v>3038</v>
      </c>
      <c r="B597" s="49" t="s">
        <v>803</v>
      </c>
      <c r="D597" s="49">
        <v>9.1780000000000008</v>
      </c>
      <c r="E597" s="49">
        <v>13.904</v>
      </c>
      <c r="F597" s="49">
        <v>11.541</v>
      </c>
      <c r="G597" s="54">
        <v>2.81</v>
      </c>
      <c r="H597" s="56">
        <f t="shared" si="27"/>
        <v>25.790180000000003</v>
      </c>
      <c r="I597" s="57">
        <f t="shared" si="28"/>
        <v>32.430210000000002</v>
      </c>
      <c r="J597" s="56">
        <f t="shared" si="29"/>
        <v>39.070239999999998</v>
      </c>
    </row>
    <row r="598" spans="1:10" ht="18">
      <c r="A598" s="49">
        <v>3040</v>
      </c>
      <c r="B598" s="49" t="s">
        <v>804</v>
      </c>
      <c r="D598" s="49">
        <v>6.7919999999999998</v>
      </c>
      <c r="E598" s="49">
        <v>26.029999999999994</v>
      </c>
      <c r="F598" s="49">
        <v>16.410999999999998</v>
      </c>
      <c r="G598" s="54">
        <v>1.02</v>
      </c>
      <c r="H598" s="56">
        <f t="shared" si="27"/>
        <v>6.9278399999999998</v>
      </c>
      <c r="I598" s="57">
        <f t="shared" si="28"/>
        <v>16.73922</v>
      </c>
      <c r="J598" s="56">
        <f t="shared" si="29"/>
        <v>26.550599999999996</v>
      </c>
    </row>
    <row r="599" spans="1:10" ht="18">
      <c r="A599" s="49">
        <v>3041</v>
      </c>
      <c r="B599" s="49" t="s">
        <v>805</v>
      </c>
      <c r="D599" s="49">
        <v>13.332000000000003</v>
      </c>
      <c r="E599" s="49">
        <v>20.494</v>
      </c>
      <c r="F599" s="49">
        <v>16.913</v>
      </c>
      <c r="G599" s="54">
        <v>-8.75</v>
      </c>
      <c r="H599" s="56">
        <f t="shared" si="27"/>
        <v>-116.65500000000002</v>
      </c>
      <c r="I599" s="57">
        <f t="shared" si="28"/>
        <v>-147.98875000000001</v>
      </c>
      <c r="J599" s="56">
        <f t="shared" si="29"/>
        <v>-179.32249999999999</v>
      </c>
    </row>
    <row r="600" spans="1:10" ht="18">
      <c r="A600" s="49">
        <v>3042</v>
      </c>
      <c r="B600" s="49" t="s">
        <v>806</v>
      </c>
      <c r="D600" s="49">
        <v>9.202</v>
      </c>
      <c r="E600" s="49">
        <v>19.059999999999999</v>
      </c>
      <c r="F600" s="49">
        <v>14.131</v>
      </c>
      <c r="G600" s="54">
        <v>5.53</v>
      </c>
      <c r="H600" s="56">
        <f t="shared" si="27"/>
        <v>50.887060000000005</v>
      </c>
      <c r="I600" s="57">
        <f t="shared" si="28"/>
        <v>78.14443</v>
      </c>
      <c r="J600" s="56">
        <f t="shared" si="29"/>
        <v>105.40179999999999</v>
      </c>
    </row>
    <row r="601" spans="1:10" ht="18">
      <c r="A601" s="49">
        <v>3043</v>
      </c>
      <c r="B601" s="49" t="s">
        <v>807</v>
      </c>
      <c r="D601" s="49">
        <v>16.097999999999999</v>
      </c>
      <c r="E601" s="49">
        <v>20.823999999999998</v>
      </c>
      <c r="F601" s="49">
        <v>18.460999999999999</v>
      </c>
      <c r="G601" s="54">
        <v>-0.12</v>
      </c>
      <c r="H601" s="56">
        <f t="shared" si="27"/>
        <v>-1.9317599999999997</v>
      </c>
      <c r="I601" s="57">
        <f t="shared" si="28"/>
        <v>-2.2153199999999997</v>
      </c>
      <c r="J601" s="56">
        <f t="shared" si="29"/>
        <v>-2.4988799999999998</v>
      </c>
    </row>
    <row r="602" spans="1:10" ht="18">
      <c r="A602" s="49">
        <v>3044</v>
      </c>
      <c r="B602" s="49" t="s">
        <v>808</v>
      </c>
      <c r="D602" s="49">
        <v>7.9719999999999995</v>
      </c>
      <c r="E602" s="49">
        <v>15.64</v>
      </c>
      <c r="F602" s="49">
        <v>11.806000000000001</v>
      </c>
      <c r="G602" s="54">
        <v>11.51</v>
      </c>
      <c r="H602" s="56">
        <f t="shared" si="27"/>
        <v>91.757719999999992</v>
      </c>
      <c r="I602" s="57">
        <f t="shared" si="28"/>
        <v>135.88706000000002</v>
      </c>
      <c r="J602" s="56">
        <f t="shared" si="29"/>
        <v>180.0164</v>
      </c>
    </row>
    <row r="603" spans="1:10" ht="18">
      <c r="A603" s="49">
        <v>3045</v>
      </c>
      <c r="B603" s="49" t="s">
        <v>809</v>
      </c>
      <c r="D603" s="49">
        <v>17.053999999999998</v>
      </c>
      <c r="E603" s="49">
        <v>25.507999999999999</v>
      </c>
      <c r="F603" s="49">
        <v>21.280999999999999</v>
      </c>
      <c r="G603" s="54">
        <v>4.33</v>
      </c>
      <c r="H603" s="56">
        <f t="shared" si="27"/>
        <v>73.843819999999994</v>
      </c>
      <c r="I603" s="57">
        <f t="shared" si="28"/>
        <v>92.146729999999991</v>
      </c>
      <c r="J603" s="56">
        <f t="shared" si="29"/>
        <v>110.44964</v>
      </c>
    </row>
    <row r="604" spans="1:10" ht="18">
      <c r="A604" s="49">
        <v>3046</v>
      </c>
      <c r="B604" s="49" t="s">
        <v>810</v>
      </c>
      <c r="D604" s="49">
        <v>18.814</v>
      </c>
      <c r="E604" s="49">
        <v>18.814</v>
      </c>
      <c r="F604" s="49">
        <v>18.814</v>
      </c>
      <c r="G604" s="54">
        <v>3.14</v>
      </c>
      <c r="H604" s="56">
        <f t="shared" si="27"/>
        <v>59.075960000000002</v>
      </c>
      <c r="I604" s="57">
        <f t="shared" si="28"/>
        <v>59.075960000000002</v>
      </c>
      <c r="J604" s="56">
        <f t="shared" si="29"/>
        <v>59.075960000000002</v>
      </c>
    </row>
    <row r="605" spans="1:10" ht="18">
      <c r="A605" s="49">
        <v>3047</v>
      </c>
      <c r="B605" s="49" t="s">
        <v>811</v>
      </c>
      <c r="D605" s="49">
        <v>12.452000000000002</v>
      </c>
      <c r="E605" s="49">
        <v>23.928000000000001</v>
      </c>
      <c r="F605" s="49">
        <v>18.190000000000001</v>
      </c>
      <c r="G605" s="54">
        <v>-0.15</v>
      </c>
      <c r="H605" s="56">
        <f t="shared" si="27"/>
        <v>-1.8678000000000001</v>
      </c>
      <c r="I605" s="57">
        <f t="shared" si="28"/>
        <v>-2.7284999999999999</v>
      </c>
      <c r="J605" s="56">
        <f t="shared" si="29"/>
        <v>-3.5891999999999999</v>
      </c>
    </row>
    <row r="606" spans="1:10" ht="18">
      <c r="A606" s="49">
        <v>3048</v>
      </c>
      <c r="B606" s="49" t="s">
        <v>812</v>
      </c>
      <c r="D606" s="49">
        <v>7.3860000000000001</v>
      </c>
      <c r="E606" s="49">
        <v>13.894</v>
      </c>
      <c r="F606" s="49">
        <v>10.64</v>
      </c>
      <c r="G606" s="54">
        <v>0.02</v>
      </c>
      <c r="H606" s="56">
        <f t="shared" si="27"/>
        <v>0.14772000000000002</v>
      </c>
      <c r="I606" s="57">
        <f t="shared" si="28"/>
        <v>0.21280000000000002</v>
      </c>
      <c r="J606" s="56">
        <f t="shared" si="29"/>
        <v>0.27788000000000002</v>
      </c>
    </row>
    <row r="607" spans="1:10" ht="18">
      <c r="A607" s="49">
        <v>3049</v>
      </c>
      <c r="B607" s="49" t="s">
        <v>813</v>
      </c>
      <c r="D607" s="49">
        <v>16.804000000000002</v>
      </c>
      <c r="E607" s="49">
        <v>23.591999999999999</v>
      </c>
      <c r="F607" s="49">
        <v>20.198</v>
      </c>
      <c r="G607" s="54">
        <v>-1.1200000000000001</v>
      </c>
      <c r="H607" s="56">
        <f t="shared" si="27"/>
        <v>-18.820480000000003</v>
      </c>
      <c r="I607" s="57">
        <f t="shared" si="28"/>
        <v>-22.621760000000002</v>
      </c>
      <c r="J607" s="56">
        <f t="shared" si="29"/>
        <v>-26.42304</v>
      </c>
    </row>
    <row r="608" spans="1:10" ht="18">
      <c r="A608" s="49">
        <v>3050</v>
      </c>
      <c r="B608" s="49" t="s">
        <v>814</v>
      </c>
      <c r="D608" s="49">
        <v>12.595999999999998</v>
      </c>
      <c r="E608" s="49">
        <v>29.345999999999997</v>
      </c>
      <c r="F608" s="49">
        <v>20.970999999999997</v>
      </c>
      <c r="G608" s="54">
        <v>0.5</v>
      </c>
      <c r="H608" s="56">
        <f t="shared" si="27"/>
        <v>6.2979999999999992</v>
      </c>
      <c r="I608" s="57">
        <f t="shared" si="28"/>
        <v>10.485499999999998</v>
      </c>
      <c r="J608" s="56">
        <f t="shared" si="29"/>
        <v>14.672999999999998</v>
      </c>
    </row>
    <row r="609" spans="1:10" ht="18">
      <c r="A609" s="49">
        <v>3051</v>
      </c>
      <c r="B609" s="49" t="s">
        <v>815</v>
      </c>
      <c r="D609" s="49">
        <v>6.4939999999999998</v>
      </c>
      <c r="E609" s="49">
        <v>9.7260000000000009</v>
      </c>
      <c r="F609" s="49">
        <v>8.11</v>
      </c>
      <c r="G609" s="54">
        <v>1.03</v>
      </c>
      <c r="H609" s="56">
        <f t="shared" si="27"/>
        <v>6.6888199999999998</v>
      </c>
      <c r="I609" s="57">
        <f t="shared" si="28"/>
        <v>8.3532999999999991</v>
      </c>
      <c r="J609" s="56">
        <f t="shared" si="29"/>
        <v>10.017780000000002</v>
      </c>
    </row>
    <row r="610" spans="1:10" ht="18">
      <c r="A610" s="49">
        <v>3052</v>
      </c>
      <c r="B610" s="49" t="s">
        <v>816</v>
      </c>
      <c r="D610" s="49">
        <v>6.1919999999999993</v>
      </c>
      <c r="E610" s="49">
        <v>25.533999999999999</v>
      </c>
      <c r="F610" s="49">
        <v>15.863</v>
      </c>
      <c r="G610" s="54">
        <v>1.04</v>
      </c>
      <c r="H610" s="56">
        <f t="shared" si="27"/>
        <v>6.4396799999999992</v>
      </c>
      <c r="I610" s="57">
        <f t="shared" si="28"/>
        <v>16.497520000000002</v>
      </c>
      <c r="J610" s="56">
        <f t="shared" si="29"/>
        <v>26.55536</v>
      </c>
    </row>
    <row r="611" spans="1:10" ht="18">
      <c r="A611" s="49">
        <v>3054</v>
      </c>
      <c r="B611" s="49" t="s">
        <v>817</v>
      </c>
      <c r="D611" s="49">
        <v>20.657999999999998</v>
      </c>
      <c r="E611" s="49">
        <v>20.657999999999998</v>
      </c>
      <c r="F611" s="49">
        <v>20.657999999999998</v>
      </c>
      <c r="G611" s="54">
        <v>0.06</v>
      </c>
      <c r="H611" s="56">
        <f t="shared" si="27"/>
        <v>1.2394799999999999</v>
      </c>
      <c r="I611" s="57">
        <f t="shared" si="28"/>
        <v>1.2394799999999999</v>
      </c>
      <c r="J611" s="56">
        <f t="shared" si="29"/>
        <v>1.2394799999999999</v>
      </c>
    </row>
    <row r="612" spans="1:10" ht="18">
      <c r="A612" s="49">
        <v>3055</v>
      </c>
      <c r="B612" s="49" t="s">
        <v>818</v>
      </c>
      <c r="D612" s="49">
        <v>7.838000000000001</v>
      </c>
      <c r="E612" s="49">
        <v>25.601999999999997</v>
      </c>
      <c r="F612" s="49">
        <v>16.72</v>
      </c>
      <c r="G612" s="54">
        <v>-0.49</v>
      </c>
      <c r="H612" s="56">
        <f t="shared" si="27"/>
        <v>-3.8406200000000004</v>
      </c>
      <c r="I612" s="57">
        <f t="shared" si="28"/>
        <v>-8.1928000000000001</v>
      </c>
      <c r="J612" s="56">
        <f t="shared" si="29"/>
        <v>-12.544979999999999</v>
      </c>
    </row>
    <row r="613" spans="1:10" ht="18">
      <c r="A613" s="49">
        <v>3056</v>
      </c>
      <c r="B613" s="49" t="s">
        <v>819</v>
      </c>
      <c r="D613" s="49">
        <v>4.0199999999999996</v>
      </c>
      <c r="E613" s="49">
        <v>14.192000000000002</v>
      </c>
      <c r="F613" s="49">
        <v>9.1060000000000016</v>
      </c>
      <c r="G613" s="54">
        <v>0.88</v>
      </c>
      <c r="H613" s="56">
        <f t="shared" si="27"/>
        <v>3.5375999999999999</v>
      </c>
      <c r="I613" s="57">
        <f t="shared" si="28"/>
        <v>8.0132800000000017</v>
      </c>
      <c r="J613" s="56">
        <f t="shared" si="29"/>
        <v>12.488960000000002</v>
      </c>
    </row>
    <row r="614" spans="1:10" ht="18">
      <c r="A614" s="49">
        <v>3057</v>
      </c>
      <c r="B614" s="49" t="s">
        <v>820</v>
      </c>
      <c r="D614" s="49">
        <v>17.118000000000002</v>
      </c>
      <c r="E614" s="49">
        <v>17.118000000000002</v>
      </c>
      <c r="F614" s="49">
        <v>17.118000000000002</v>
      </c>
      <c r="G614" s="54">
        <v>-1.55</v>
      </c>
      <c r="H614" s="56">
        <f t="shared" si="27"/>
        <v>-26.532900000000005</v>
      </c>
      <c r="I614" s="57">
        <f t="shared" si="28"/>
        <v>-26.532900000000005</v>
      </c>
      <c r="J614" s="56">
        <f t="shared" si="29"/>
        <v>-26.532900000000005</v>
      </c>
    </row>
    <row r="615" spans="1:10" ht="18">
      <c r="A615" s="49">
        <v>3058</v>
      </c>
      <c r="B615" s="49" t="s">
        <v>821</v>
      </c>
      <c r="D615" s="49">
        <v>9.3339999999999996</v>
      </c>
      <c r="E615" s="49">
        <v>18.872</v>
      </c>
      <c r="F615" s="49">
        <v>14.103</v>
      </c>
      <c r="G615" s="54">
        <v>0.28000000000000003</v>
      </c>
      <c r="H615" s="56">
        <f t="shared" si="27"/>
        <v>2.6135200000000003</v>
      </c>
      <c r="I615" s="57">
        <f t="shared" si="28"/>
        <v>3.9488400000000001</v>
      </c>
      <c r="J615" s="56">
        <f t="shared" si="29"/>
        <v>5.2841600000000009</v>
      </c>
    </row>
    <row r="616" spans="1:10" ht="18">
      <c r="A616" s="49">
        <v>3059</v>
      </c>
      <c r="B616" s="49" t="s">
        <v>822</v>
      </c>
      <c r="D616" s="49">
        <v>8.766</v>
      </c>
      <c r="E616" s="49">
        <v>20.302</v>
      </c>
      <c r="F616" s="49">
        <v>14.533999999999999</v>
      </c>
      <c r="G616" s="54">
        <v>1.27</v>
      </c>
      <c r="H616" s="56">
        <f t="shared" si="27"/>
        <v>11.132820000000001</v>
      </c>
      <c r="I616" s="57">
        <f t="shared" si="28"/>
        <v>18.458179999999999</v>
      </c>
      <c r="J616" s="56">
        <f t="shared" si="29"/>
        <v>25.783539999999999</v>
      </c>
    </row>
    <row r="617" spans="1:10" ht="18">
      <c r="A617" s="49">
        <v>3060</v>
      </c>
      <c r="B617" s="49" t="s">
        <v>823</v>
      </c>
      <c r="D617" s="49">
        <v>9.91</v>
      </c>
      <c r="E617" s="49">
        <v>20.716000000000001</v>
      </c>
      <c r="F617" s="49">
        <v>15.313000000000001</v>
      </c>
      <c r="G617" s="54">
        <v>-1.57</v>
      </c>
      <c r="H617" s="56">
        <f t="shared" si="27"/>
        <v>-15.5587</v>
      </c>
      <c r="I617" s="57">
        <f t="shared" si="28"/>
        <v>-24.041410000000003</v>
      </c>
      <c r="J617" s="56">
        <f t="shared" si="29"/>
        <v>-32.524120000000003</v>
      </c>
    </row>
    <row r="618" spans="1:10" ht="18">
      <c r="A618" s="49">
        <v>3062</v>
      </c>
      <c r="B618" s="49" t="s">
        <v>824</v>
      </c>
      <c r="D618" s="49">
        <v>16.887999999999998</v>
      </c>
      <c r="E618" s="49">
        <v>34.103999999999999</v>
      </c>
      <c r="F618" s="49">
        <v>25.495999999999999</v>
      </c>
      <c r="G618" s="54">
        <v>-0.97</v>
      </c>
      <c r="H618" s="56">
        <f t="shared" si="27"/>
        <v>-16.381359999999997</v>
      </c>
      <c r="I618" s="57">
        <f t="shared" si="28"/>
        <v>-24.731119999999997</v>
      </c>
      <c r="J618" s="56">
        <f t="shared" si="29"/>
        <v>-33.080880000000001</v>
      </c>
    </row>
    <row r="619" spans="1:10" ht="18">
      <c r="A619" s="49">
        <v>3064</v>
      </c>
      <c r="B619" s="49" t="s">
        <v>1302</v>
      </c>
      <c r="D619" s="49">
        <v>0</v>
      </c>
      <c r="E619" s="49">
        <v>0</v>
      </c>
      <c r="F619" s="49">
        <v>0</v>
      </c>
      <c r="G619" s="54">
        <v>-0.24</v>
      </c>
      <c r="H619" s="56">
        <f t="shared" si="27"/>
        <v>0</v>
      </c>
      <c r="I619" s="57">
        <f t="shared" si="28"/>
        <v>0</v>
      </c>
      <c r="J619" s="56">
        <f t="shared" si="29"/>
        <v>0</v>
      </c>
    </row>
    <row r="620" spans="1:10" ht="18">
      <c r="A620" s="49">
        <v>3066</v>
      </c>
      <c r="B620" s="49" t="s">
        <v>1303</v>
      </c>
      <c r="D620" s="49">
        <v>0</v>
      </c>
      <c r="E620" s="49">
        <v>0</v>
      </c>
      <c r="F620" s="49">
        <v>0</v>
      </c>
      <c r="G620" s="54">
        <v>-1.26</v>
      </c>
      <c r="H620" s="56">
        <f t="shared" si="27"/>
        <v>0</v>
      </c>
      <c r="I620" s="57">
        <f t="shared" si="28"/>
        <v>0</v>
      </c>
      <c r="J620" s="56">
        <f t="shared" si="29"/>
        <v>0</v>
      </c>
    </row>
    <row r="621" spans="1:10" ht="18">
      <c r="A621" s="49">
        <v>3067</v>
      </c>
      <c r="B621" s="49" t="s">
        <v>1304</v>
      </c>
      <c r="D621" s="49">
        <v>12.742000000000001</v>
      </c>
      <c r="E621" s="49">
        <v>19.231999999999999</v>
      </c>
      <c r="F621" s="49">
        <v>15.987</v>
      </c>
      <c r="G621" s="54">
        <v>1.17</v>
      </c>
      <c r="H621" s="56">
        <f t="shared" si="27"/>
        <v>14.90814</v>
      </c>
      <c r="I621" s="57">
        <f t="shared" si="28"/>
        <v>18.704789999999999</v>
      </c>
      <c r="J621" s="56">
        <f t="shared" si="29"/>
        <v>22.501439999999999</v>
      </c>
    </row>
    <row r="622" spans="1:10" ht="18">
      <c r="A622" s="49">
        <v>3071</v>
      </c>
      <c r="B622" s="49" t="s">
        <v>1305</v>
      </c>
      <c r="D622" s="49">
        <v>11.215999999999999</v>
      </c>
      <c r="E622" s="49">
        <v>19.901999999999997</v>
      </c>
      <c r="F622" s="49">
        <v>15.558999999999997</v>
      </c>
      <c r="G622" s="54">
        <v>1.21</v>
      </c>
      <c r="H622" s="56">
        <f t="shared" si="27"/>
        <v>13.571359999999999</v>
      </c>
      <c r="I622" s="57">
        <f t="shared" si="28"/>
        <v>18.826389999999996</v>
      </c>
      <c r="J622" s="56">
        <f t="shared" si="29"/>
        <v>24.081419999999998</v>
      </c>
    </row>
    <row r="623" spans="1:10" ht="18">
      <c r="A623" s="49">
        <v>3073</v>
      </c>
      <c r="B623" s="49" t="s">
        <v>1306</v>
      </c>
      <c r="D623" s="49">
        <v>0</v>
      </c>
      <c r="E623" s="49">
        <v>0</v>
      </c>
      <c r="F623" s="49">
        <v>0</v>
      </c>
      <c r="G623" s="54">
        <v>-0.99</v>
      </c>
      <c r="H623" s="56">
        <f t="shared" si="27"/>
        <v>0</v>
      </c>
      <c r="I623" s="57">
        <f t="shared" si="28"/>
        <v>0</v>
      </c>
      <c r="J623" s="56">
        <f t="shared" si="29"/>
        <v>0</v>
      </c>
    </row>
    <row r="624" spans="1:10" ht="18">
      <c r="A624" s="49">
        <v>3078</v>
      </c>
      <c r="B624" s="49" t="s">
        <v>1307</v>
      </c>
      <c r="D624" s="49">
        <v>7.6480000000000006</v>
      </c>
      <c r="E624" s="49">
        <v>19.29</v>
      </c>
      <c r="F624" s="49">
        <v>13.468999999999999</v>
      </c>
      <c r="G624" s="54">
        <v>6.79</v>
      </c>
      <c r="H624" s="56">
        <f t="shared" si="27"/>
        <v>51.929920000000003</v>
      </c>
      <c r="I624" s="57">
        <f t="shared" si="28"/>
        <v>91.454509999999999</v>
      </c>
      <c r="J624" s="56">
        <f t="shared" si="29"/>
        <v>130.97909999999999</v>
      </c>
    </row>
    <row r="625" spans="1:10" ht="18">
      <c r="A625" s="49">
        <v>3081</v>
      </c>
      <c r="B625" s="49" t="s">
        <v>1308</v>
      </c>
      <c r="D625" s="49">
        <v>0</v>
      </c>
      <c r="E625" s="49">
        <v>0</v>
      </c>
      <c r="F625" s="49">
        <v>0</v>
      </c>
      <c r="G625" s="54">
        <v>-2.31</v>
      </c>
      <c r="H625" s="56">
        <f t="shared" si="27"/>
        <v>0</v>
      </c>
      <c r="I625" s="57">
        <f t="shared" si="28"/>
        <v>0</v>
      </c>
      <c r="J625" s="56">
        <f t="shared" si="29"/>
        <v>0</v>
      </c>
    </row>
    <row r="626" spans="1:10" ht="18">
      <c r="A626" s="49">
        <v>3083</v>
      </c>
      <c r="B626" s="49" t="s">
        <v>1309</v>
      </c>
      <c r="D626" s="49">
        <v>20.352</v>
      </c>
      <c r="E626" s="49">
        <v>20.352</v>
      </c>
      <c r="F626" s="49">
        <v>20.352</v>
      </c>
      <c r="G626" s="54">
        <v>9.9999999999999794E-3</v>
      </c>
      <c r="H626" s="56">
        <f t="shared" si="27"/>
        <v>0.20351999999999959</v>
      </c>
      <c r="I626" s="57">
        <f t="shared" si="28"/>
        <v>0.20351999999999959</v>
      </c>
      <c r="J626" s="56">
        <f t="shared" si="29"/>
        <v>0.20351999999999959</v>
      </c>
    </row>
    <row r="627" spans="1:10" ht="18">
      <c r="A627" s="49">
        <v>3085</v>
      </c>
      <c r="B627" s="49" t="s">
        <v>1310</v>
      </c>
      <c r="D627" s="49">
        <v>0</v>
      </c>
      <c r="E627" s="49">
        <v>0</v>
      </c>
      <c r="F627" s="49">
        <v>0</v>
      </c>
      <c r="G627" s="54">
        <v>-1.75</v>
      </c>
      <c r="H627" s="56">
        <f t="shared" si="27"/>
        <v>0</v>
      </c>
      <c r="I627" s="57">
        <f t="shared" si="28"/>
        <v>0</v>
      </c>
      <c r="J627" s="56">
        <f t="shared" si="29"/>
        <v>0</v>
      </c>
    </row>
    <row r="628" spans="1:10" ht="18">
      <c r="A628" s="49">
        <v>3086</v>
      </c>
      <c r="B628" s="49" t="s">
        <v>1311</v>
      </c>
      <c r="D628" s="49">
        <v>0</v>
      </c>
      <c r="E628" s="49">
        <v>0</v>
      </c>
      <c r="F628" s="49">
        <v>0</v>
      </c>
      <c r="G628" s="54">
        <v>1.41</v>
      </c>
      <c r="H628" s="56">
        <f t="shared" si="27"/>
        <v>0</v>
      </c>
      <c r="I628" s="57">
        <f t="shared" si="28"/>
        <v>0</v>
      </c>
      <c r="J628" s="56">
        <f t="shared" si="29"/>
        <v>0</v>
      </c>
    </row>
    <row r="629" spans="1:10" ht="18">
      <c r="A629" s="49">
        <v>3088</v>
      </c>
      <c r="B629" s="49" t="s">
        <v>1312</v>
      </c>
      <c r="D629" s="49">
        <v>8.1319999999999997</v>
      </c>
      <c r="E629" s="49">
        <v>16.262</v>
      </c>
      <c r="F629" s="49">
        <v>12.196999999999999</v>
      </c>
      <c r="G629" s="54">
        <v>7.07</v>
      </c>
      <c r="H629" s="56">
        <f t="shared" si="27"/>
        <v>57.49324</v>
      </c>
      <c r="I629" s="57">
        <f t="shared" si="28"/>
        <v>86.232789999999994</v>
      </c>
      <c r="J629" s="56">
        <f t="shared" si="29"/>
        <v>114.97234</v>
      </c>
    </row>
    <row r="630" spans="1:10" ht="18">
      <c r="A630" s="49">
        <v>3089</v>
      </c>
      <c r="B630" s="49" t="s">
        <v>1313</v>
      </c>
      <c r="D630" s="49">
        <v>0</v>
      </c>
      <c r="E630" s="49">
        <v>0</v>
      </c>
      <c r="F630" s="49">
        <v>0</v>
      </c>
      <c r="G630" s="54">
        <v>1.85</v>
      </c>
      <c r="H630" s="56">
        <f t="shared" si="27"/>
        <v>0</v>
      </c>
      <c r="I630" s="57">
        <f t="shared" si="28"/>
        <v>0</v>
      </c>
      <c r="J630" s="56">
        <f t="shared" si="29"/>
        <v>0</v>
      </c>
    </row>
    <row r="631" spans="1:10" ht="18">
      <c r="A631" s="49">
        <v>3090</v>
      </c>
      <c r="B631" s="49" t="s">
        <v>825</v>
      </c>
      <c r="D631" s="49">
        <v>7.3400000000000007</v>
      </c>
      <c r="E631" s="49">
        <v>14.706</v>
      </c>
      <c r="F631" s="49">
        <v>11.023</v>
      </c>
      <c r="G631" s="54">
        <v>3.39</v>
      </c>
      <c r="H631" s="56">
        <f t="shared" si="27"/>
        <v>24.882600000000004</v>
      </c>
      <c r="I631" s="57">
        <f t="shared" si="28"/>
        <v>37.36797</v>
      </c>
      <c r="J631" s="56">
        <f t="shared" si="29"/>
        <v>49.853340000000003</v>
      </c>
    </row>
    <row r="632" spans="1:10" ht="18">
      <c r="A632" s="49">
        <v>3092</v>
      </c>
      <c r="B632" s="49" t="s">
        <v>826</v>
      </c>
      <c r="D632" s="49">
        <v>9.9</v>
      </c>
      <c r="E632" s="49">
        <v>20.490000000000002</v>
      </c>
      <c r="F632" s="49">
        <v>15.195</v>
      </c>
      <c r="G632" s="54">
        <v>-1.58</v>
      </c>
      <c r="H632" s="56">
        <f t="shared" si="27"/>
        <v>-15.642000000000001</v>
      </c>
      <c r="I632" s="57">
        <f t="shared" si="28"/>
        <v>-24.008100000000002</v>
      </c>
      <c r="J632" s="56">
        <f t="shared" si="29"/>
        <v>-32.374200000000002</v>
      </c>
    </row>
    <row r="633" spans="1:10" ht="18">
      <c r="A633" s="49">
        <v>3093</v>
      </c>
      <c r="B633" s="49" t="s">
        <v>1314</v>
      </c>
      <c r="D633" s="49">
        <v>8.5140000000000011</v>
      </c>
      <c r="E633" s="49">
        <v>22.911999999999999</v>
      </c>
      <c r="F633" s="49">
        <v>15.713000000000001</v>
      </c>
      <c r="G633" s="54">
        <v>2.02</v>
      </c>
      <c r="H633" s="56">
        <f t="shared" si="27"/>
        <v>17.198280000000004</v>
      </c>
      <c r="I633" s="57">
        <f t="shared" si="28"/>
        <v>31.740260000000003</v>
      </c>
      <c r="J633" s="56">
        <f t="shared" si="29"/>
        <v>46.282240000000002</v>
      </c>
    </row>
    <row r="634" spans="1:10" ht="18">
      <c r="A634" s="49">
        <v>3094</v>
      </c>
      <c r="B634" s="49" t="s">
        <v>827</v>
      </c>
      <c r="D634" s="49">
        <v>22.738</v>
      </c>
      <c r="E634" s="49">
        <v>35.57</v>
      </c>
      <c r="F634" s="49">
        <v>29.154</v>
      </c>
      <c r="G634" s="54">
        <v>0.61</v>
      </c>
      <c r="H634" s="56">
        <f t="shared" si="27"/>
        <v>13.87018</v>
      </c>
      <c r="I634" s="57">
        <f t="shared" si="28"/>
        <v>17.783940000000001</v>
      </c>
      <c r="J634" s="56">
        <f t="shared" si="29"/>
        <v>21.697700000000001</v>
      </c>
    </row>
    <row r="635" spans="1:10" ht="18">
      <c r="A635" s="49">
        <v>3095</v>
      </c>
      <c r="B635" s="49" t="s">
        <v>1315</v>
      </c>
      <c r="D635" s="49">
        <v>0</v>
      </c>
      <c r="E635" s="49">
        <v>0</v>
      </c>
      <c r="F635" s="49">
        <v>0</v>
      </c>
      <c r="G635" s="54">
        <v>-1.1599999999999999</v>
      </c>
      <c r="H635" s="56">
        <f t="shared" si="27"/>
        <v>0</v>
      </c>
      <c r="I635" s="57">
        <f t="shared" si="28"/>
        <v>0</v>
      </c>
      <c r="J635" s="56">
        <f t="shared" si="29"/>
        <v>0</v>
      </c>
    </row>
    <row r="636" spans="1:10" ht="18">
      <c r="A636" s="49">
        <v>3105</v>
      </c>
      <c r="B636" s="49" t="s">
        <v>1316</v>
      </c>
      <c r="D636" s="49">
        <v>11.596</v>
      </c>
      <c r="E636" s="49">
        <v>29.417999999999996</v>
      </c>
      <c r="F636" s="49">
        <v>20.506999999999998</v>
      </c>
      <c r="G636" s="54">
        <v>-0.19</v>
      </c>
      <c r="H636" s="56">
        <f t="shared" si="27"/>
        <v>-2.2032400000000001</v>
      </c>
      <c r="I636" s="57">
        <f t="shared" si="28"/>
        <v>-3.8963299999999998</v>
      </c>
      <c r="J636" s="56">
        <f t="shared" si="29"/>
        <v>-5.5894199999999996</v>
      </c>
    </row>
    <row r="637" spans="1:10" ht="18">
      <c r="A637" s="49">
        <v>3114</v>
      </c>
      <c r="B637" s="49" t="s">
        <v>1317</v>
      </c>
      <c r="D637" s="49">
        <v>7.4319999999999995</v>
      </c>
      <c r="E637" s="49">
        <v>17.417999999999999</v>
      </c>
      <c r="F637" s="49">
        <v>12.424999999999999</v>
      </c>
      <c r="G637" s="54">
        <v>1.54</v>
      </c>
      <c r="H637" s="56">
        <f t="shared" si="27"/>
        <v>11.44528</v>
      </c>
      <c r="I637" s="57">
        <f t="shared" si="28"/>
        <v>19.134499999999999</v>
      </c>
      <c r="J637" s="56">
        <f t="shared" si="29"/>
        <v>26.823719999999998</v>
      </c>
    </row>
    <row r="638" spans="1:10" ht="18">
      <c r="A638" s="49">
        <v>3115</v>
      </c>
      <c r="B638" s="49" t="s">
        <v>1318</v>
      </c>
      <c r="D638" s="49">
        <v>0</v>
      </c>
      <c r="E638" s="49">
        <v>0</v>
      </c>
      <c r="F638" s="49">
        <v>0</v>
      </c>
      <c r="G638" s="54">
        <v>-0.68</v>
      </c>
      <c r="H638" s="56">
        <f t="shared" si="27"/>
        <v>0</v>
      </c>
      <c r="I638" s="57">
        <f t="shared" si="28"/>
        <v>0</v>
      </c>
      <c r="J638" s="56">
        <f t="shared" si="29"/>
        <v>0</v>
      </c>
    </row>
    <row r="639" spans="1:10" ht="18">
      <c r="A639" s="49">
        <v>3118</v>
      </c>
      <c r="B639" s="49" t="s">
        <v>1319</v>
      </c>
      <c r="D639" s="49">
        <v>13.794</v>
      </c>
      <c r="E639" s="49">
        <v>22.128</v>
      </c>
      <c r="F639" s="49">
        <v>17.960999999999999</v>
      </c>
      <c r="G639" s="54">
        <v>1.94</v>
      </c>
      <c r="H639" s="56">
        <f t="shared" si="27"/>
        <v>26.760359999999999</v>
      </c>
      <c r="I639" s="57">
        <f t="shared" si="28"/>
        <v>34.844339999999995</v>
      </c>
      <c r="J639" s="56">
        <f t="shared" si="29"/>
        <v>42.928319999999999</v>
      </c>
    </row>
    <row r="640" spans="1:10" ht="18">
      <c r="A640" s="49">
        <v>3122</v>
      </c>
      <c r="B640" s="49" t="s">
        <v>1320</v>
      </c>
      <c r="D640" s="49">
        <v>0</v>
      </c>
      <c r="E640" s="49">
        <v>0</v>
      </c>
      <c r="F640" s="49">
        <v>0</v>
      </c>
      <c r="G640" s="54">
        <v>-1.04</v>
      </c>
      <c r="H640" s="56">
        <f t="shared" si="27"/>
        <v>0</v>
      </c>
      <c r="I640" s="57">
        <f t="shared" si="28"/>
        <v>0</v>
      </c>
      <c r="J640" s="56">
        <f t="shared" si="29"/>
        <v>0</v>
      </c>
    </row>
    <row r="641" spans="1:10" ht="18">
      <c r="A641" s="49">
        <v>3128</v>
      </c>
      <c r="B641" s="49" t="s">
        <v>1321</v>
      </c>
      <c r="D641" s="49">
        <v>17.777999999999999</v>
      </c>
      <c r="E641" s="49">
        <v>28.166000000000004</v>
      </c>
      <c r="F641" s="49">
        <v>22.972000000000001</v>
      </c>
      <c r="G641" s="54">
        <v>0.9</v>
      </c>
      <c r="H641" s="56">
        <f t="shared" si="27"/>
        <v>16.0002</v>
      </c>
      <c r="I641" s="57">
        <f t="shared" si="28"/>
        <v>20.674800000000001</v>
      </c>
      <c r="J641" s="56">
        <f t="shared" si="29"/>
        <v>25.349400000000003</v>
      </c>
    </row>
    <row r="642" spans="1:10" ht="18">
      <c r="A642" s="49">
        <v>3130</v>
      </c>
      <c r="B642" s="49" t="s">
        <v>828</v>
      </c>
      <c r="D642" s="49">
        <v>11.878</v>
      </c>
      <c r="E642" s="49">
        <v>18.71</v>
      </c>
      <c r="F642" s="49">
        <v>15.294</v>
      </c>
      <c r="G642" s="54">
        <v>13.61</v>
      </c>
      <c r="H642" s="56">
        <f t="shared" si="27"/>
        <v>161.65958000000001</v>
      </c>
      <c r="I642" s="57">
        <f t="shared" si="28"/>
        <v>208.15134</v>
      </c>
      <c r="J642" s="56">
        <f t="shared" si="29"/>
        <v>254.6431</v>
      </c>
    </row>
    <row r="643" spans="1:10" ht="18">
      <c r="A643" s="49">
        <v>3131</v>
      </c>
      <c r="B643" s="49" t="s">
        <v>1322</v>
      </c>
      <c r="D643" s="49">
        <v>8.952</v>
      </c>
      <c r="E643" s="49">
        <v>25.076000000000001</v>
      </c>
      <c r="F643" s="49">
        <v>17.013999999999999</v>
      </c>
      <c r="G643" s="54">
        <v>21.56</v>
      </c>
      <c r="H643" s="56">
        <f t="shared" ref="H643:H706" si="30">G643*D643</f>
        <v>193.00511999999998</v>
      </c>
      <c r="I643" s="57">
        <f t="shared" ref="I643:I706" si="31">G643*F643</f>
        <v>366.82183999999995</v>
      </c>
      <c r="J643" s="56">
        <f t="shared" ref="J643:J706" si="32">G643*E643</f>
        <v>540.63855999999998</v>
      </c>
    </row>
    <row r="644" spans="1:10" ht="18">
      <c r="A644" s="49">
        <v>3138</v>
      </c>
      <c r="B644" s="49" t="s">
        <v>829</v>
      </c>
      <c r="D644" s="49">
        <v>0</v>
      </c>
      <c r="E644" s="49">
        <v>0</v>
      </c>
      <c r="F644" s="49">
        <v>0</v>
      </c>
      <c r="G644" s="54" t="s">
        <v>271</v>
      </c>
      <c r="H644" s="56" t="e">
        <f t="shared" si="30"/>
        <v>#VALUE!</v>
      </c>
      <c r="I644" s="57" t="e">
        <f t="shared" si="31"/>
        <v>#VALUE!</v>
      </c>
      <c r="J644" s="56" t="e">
        <f t="shared" si="32"/>
        <v>#VALUE!</v>
      </c>
    </row>
    <row r="645" spans="1:10" ht="18">
      <c r="A645" s="49">
        <v>3141</v>
      </c>
      <c r="B645" s="49" t="s">
        <v>1323</v>
      </c>
      <c r="D645" s="49">
        <v>16.559999999999999</v>
      </c>
      <c r="E645" s="49">
        <v>31.196000000000005</v>
      </c>
      <c r="F645" s="49">
        <v>23.878</v>
      </c>
      <c r="G645" s="54">
        <v>1.1299999999999999</v>
      </c>
      <c r="H645" s="56">
        <f t="shared" si="30"/>
        <v>18.712799999999998</v>
      </c>
      <c r="I645" s="57">
        <f t="shared" si="31"/>
        <v>26.982139999999998</v>
      </c>
      <c r="J645" s="56">
        <f t="shared" si="32"/>
        <v>35.251480000000001</v>
      </c>
    </row>
    <row r="646" spans="1:10" ht="18">
      <c r="A646" s="49">
        <v>3147</v>
      </c>
      <c r="B646" s="49" t="s">
        <v>1324</v>
      </c>
      <c r="D646" s="49">
        <v>9.7460000000000004</v>
      </c>
      <c r="E646" s="49">
        <v>10.986000000000001</v>
      </c>
      <c r="F646" s="49">
        <v>10.366</v>
      </c>
      <c r="G646" s="54">
        <v>2.0299999999999998</v>
      </c>
      <c r="H646" s="56">
        <f t="shared" si="30"/>
        <v>19.784379999999999</v>
      </c>
      <c r="I646" s="57">
        <f t="shared" si="31"/>
        <v>21.042979999999996</v>
      </c>
      <c r="J646" s="56">
        <f t="shared" si="32"/>
        <v>22.301579999999998</v>
      </c>
    </row>
    <row r="647" spans="1:10" ht="18">
      <c r="A647" s="49">
        <v>3149</v>
      </c>
      <c r="B647" s="49" t="s">
        <v>830</v>
      </c>
      <c r="D647" s="49">
        <v>0</v>
      </c>
      <c r="E647" s="49">
        <v>0</v>
      </c>
      <c r="F647" s="49">
        <v>0</v>
      </c>
      <c r="G647" s="54">
        <v>-0.87</v>
      </c>
      <c r="H647" s="56">
        <f t="shared" si="30"/>
        <v>0</v>
      </c>
      <c r="I647" s="57">
        <f t="shared" si="31"/>
        <v>0</v>
      </c>
      <c r="J647" s="56">
        <f t="shared" si="32"/>
        <v>0</v>
      </c>
    </row>
    <row r="648" spans="1:10" ht="18">
      <c r="A648" s="49">
        <v>3152</v>
      </c>
      <c r="B648" s="49" t="s">
        <v>1325</v>
      </c>
      <c r="D648" s="49">
        <v>14.123999999999999</v>
      </c>
      <c r="E648" s="49">
        <v>32.124000000000002</v>
      </c>
      <c r="F648" s="49">
        <v>23.124000000000002</v>
      </c>
      <c r="G648" s="54">
        <v>4.09</v>
      </c>
      <c r="H648" s="56">
        <f t="shared" si="30"/>
        <v>57.76715999999999</v>
      </c>
      <c r="I648" s="57">
        <f t="shared" si="31"/>
        <v>94.577160000000006</v>
      </c>
      <c r="J648" s="56">
        <f t="shared" si="32"/>
        <v>131.38715999999999</v>
      </c>
    </row>
    <row r="649" spans="1:10" ht="18">
      <c r="A649" s="49">
        <v>3162</v>
      </c>
      <c r="B649" s="49" t="s">
        <v>1326</v>
      </c>
      <c r="D649" s="49">
        <v>23.314</v>
      </c>
      <c r="E649" s="49">
        <v>23.314</v>
      </c>
      <c r="F649" s="49">
        <v>23.314</v>
      </c>
      <c r="G649" s="54">
        <v>1.01</v>
      </c>
      <c r="H649" s="56">
        <f t="shared" si="30"/>
        <v>23.547139999999999</v>
      </c>
      <c r="I649" s="57">
        <f t="shared" si="31"/>
        <v>23.547139999999999</v>
      </c>
      <c r="J649" s="56">
        <f t="shared" si="32"/>
        <v>23.547139999999999</v>
      </c>
    </row>
    <row r="650" spans="1:10" ht="18">
      <c r="A650" s="49">
        <v>3163</v>
      </c>
      <c r="B650" s="49" t="s">
        <v>1327</v>
      </c>
      <c r="D650" s="49">
        <v>14.186000000000002</v>
      </c>
      <c r="E650" s="49">
        <v>21.552</v>
      </c>
      <c r="F650" s="49">
        <v>17.869</v>
      </c>
      <c r="G650" s="54">
        <v>5.63</v>
      </c>
      <c r="H650" s="56">
        <f t="shared" si="30"/>
        <v>79.867180000000005</v>
      </c>
      <c r="I650" s="57">
        <f t="shared" si="31"/>
        <v>100.60247</v>
      </c>
      <c r="J650" s="56">
        <f t="shared" si="32"/>
        <v>121.33775999999999</v>
      </c>
    </row>
    <row r="651" spans="1:10" ht="18">
      <c r="A651" s="49">
        <v>3164</v>
      </c>
      <c r="B651" s="49" t="s">
        <v>831</v>
      </c>
      <c r="D651" s="49">
        <v>20.288000000000004</v>
      </c>
      <c r="E651" s="49">
        <v>29.988</v>
      </c>
      <c r="F651" s="49">
        <v>25.138000000000002</v>
      </c>
      <c r="G651" s="54">
        <v>0.38</v>
      </c>
      <c r="H651" s="56">
        <f t="shared" si="30"/>
        <v>7.7094400000000016</v>
      </c>
      <c r="I651" s="57">
        <f t="shared" si="31"/>
        <v>9.5524400000000007</v>
      </c>
      <c r="J651" s="56">
        <f t="shared" si="32"/>
        <v>11.395440000000001</v>
      </c>
    </row>
    <row r="652" spans="1:10" ht="18">
      <c r="A652" s="49">
        <v>3167</v>
      </c>
      <c r="B652" s="49" t="s">
        <v>832</v>
      </c>
      <c r="D652" s="49">
        <v>9.7960000000000012</v>
      </c>
      <c r="E652" s="49">
        <v>21.417999999999999</v>
      </c>
      <c r="F652" s="49">
        <v>15.606999999999999</v>
      </c>
      <c r="G652" s="54">
        <v>0.16</v>
      </c>
      <c r="H652" s="56">
        <f t="shared" si="30"/>
        <v>1.5673600000000003</v>
      </c>
      <c r="I652" s="57">
        <f t="shared" si="31"/>
        <v>2.4971199999999998</v>
      </c>
      <c r="J652" s="56">
        <f t="shared" si="32"/>
        <v>3.4268800000000001</v>
      </c>
    </row>
    <row r="653" spans="1:10" ht="18">
      <c r="A653" s="49">
        <v>3169</v>
      </c>
      <c r="B653" s="49" t="s">
        <v>1328</v>
      </c>
      <c r="D653" s="49">
        <v>13.324000000000002</v>
      </c>
      <c r="E653" s="49">
        <v>31.256</v>
      </c>
      <c r="F653" s="49">
        <v>22.29</v>
      </c>
      <c r="G653" s="54">
        <v>3.67</v>
      </c>
      <c r="H653" s="56">
        <f t="shared" si="30"/>
        <v>48.899080000000005</v>
      </c>
      <c r="I653" s="57">
        <f t="shared" si="31"/>
        <v>81.804299999999998</v>
      </c>
      <c r="J653" s="56">
        <f t="shared" si="32"/>
        <v>114.70952</v>
      </c>
    </row>
    <row r="654" spans="1:10" ht="18">
      <c r="A654" s="49">
        <v>3171</v>
      </c>
      <c r="B654" s="49" t="s">
        <v>1329</v>
      </c>
      <c r="D654" s="49">
        <v>10.423999999999999</v>
      </c>
      <c r="E654" s="49">
        <v>17.571999999999996</v>
      </c>
      <c r="F654" s="49">
        <v>13.997999999999998</v>
      </c>
      <c r="G654" s="54">
        <v>2.08</v>
      </c>
      <c r="H654" s="56">
        <f t="shared" si="30"/>
        <v>21.681919999999998</v>
      </c>
      <c r="I654" s="57">
        <f t="shared" si="31"/>
        <v>29.115839999999995</v>
      </c>
      <c r="J654" s="56">
        <f t="shared" si="32"/>
        <v>36.549759999999992</v>
      </c>
    </row>
    <row r="655" spans="1:10" ht="18">
      <c r="A655" s="49">
        <v>3176</v>
      </c>
      <c r="B655" s="49" t="s">
        <v>1330</v>
      </c>
      <c r="D655" s="49">
        <v>0</v>
      </c>
      <c r="E655" s="49">
        <v>0</v>
      </c>
      <c r="F655" s="49">
        <v>0</v>
      </c>
      <c r="G655" s="54">
        <v>-4.03</v>
      </c>
      <c r="H655" s="56">
        <f t="shared" si="30"/>
        <v>0</v>
      </c>
      <c r="I655" s="57">
        <f t="shared" si="31"/>
        <v>0</v>
      </c>
      <c r="J655" s="56">
        <f t="shared" si="32"/>
        <v>0</v>
      </c>
    </row>
    <row r="656" spans="1:10" ht="18">
      <c r="A656" s="49">
        <v>3178</v>
      </c>
      <c r="B656" s="49" t="s">
        <v>1331</v>
      </c>
      <c r="D656" s="49">
        <v>19.594000000000001</v>
      </c>
      <c r="E656" s="49">
        <v>19.594000000000001</v>
      </c>
      <c r="F656" s="49">
        <v>19.594000000000001</v>
      </c>
      <c r="G656" s="54">
        <v>0.32</v>
      </c>
      <c r="H656" s="56">
        <f t="shared" si="30"/>
        <v>6.2700800000000001</v>
      </c>
      <c r="I656" s="57">
        <f t="shared" si="31"/>
        <v>6.2700800000000001</v>
      </c>
      <c r="J656" s="56">
        <f t="shared" si="32"/>
        <v>6.2700800000000001</v>
      </c>
    </row>
    <row r="657" spans="1:10" ht="18">
      <c r="A657" s="49">
        <v>3188</v>
      </c>
      <c r="B657" s="49" t="s">
        <v>1332</v>
      </c>
      <c r="D657" s="49">
        <v>14.88</v>
      </c>
      <c r="E657" s="49">
        <v>23.166000000000004</v>
      </c>
      <c r="F657" s="49">
        <v>19.023000000000003</v>
      </c>
      <c r="G657" s="54">
        <v>2.0499999999999998</v>
      </c>
      <c r="H657" s="56">
        <f t="shared" si="30"/>
        <v>30.503999999999998</v>
      </c>
      <c r="I657" s="57">
        <f t="shared" si="31"/>
        <v>38.997150000000005</v>
      </c>
      <c r="J657" s="56">
        <f t="shared" si="32"/>
        <v>47.490300000000005</v>
      </c>
    </row>
    <row r="658" spans="1:10" ht="18">
      <c r="A658" s="49">
        <v>3189</v>
      </c>
      <c r="B658" s="49" t="s">
        <v>833</v>
      </c>
      <c r="D658" s="49">
        <v>9.4079999999999995</v>
      </c>
      <c r="E658" s="49">
        <v>23.911999999999999</v>
      </c>
      <c r="F658" s="49">
        <v>16.66</v>
      </c>
      <c r="G658" s="54">
        <v>0.11</v>
      </c>
      <c r="H658" s="56">
        <f t="shared" si="30"/>
        <v>1.03488</v>
      </c>
      <c r="I658" s="57">
        <f t="shared" si="31"/>
        <v>1.8326</v>
      </c>
      <c r="J658" s="56">
        <f t="shared" si="32"/>
        <v>2.6303199999999998</v>
      </c>
    </row>
    <row r="659" spans="1:10" ht="18">
      <c r="A659" s="49">
        <v>3191</v>
      </c>
      <c r="B659" s="49" t="s">
        <v>1333</v>
      </c>
      <c r="D659" s="49">
        <v>15.195999999999998</v>
      </c>
      <c r="E659" s="49">
        <v>15.195999999999998</v>
      </c>
      <c r="F659" s="49">
        <v>15.195999999999998</v>
      </c>
      <c r="G659" s="54">
        <v>-0.62</v>
      </c>
      <c r="H659" s="56">
        <f t="shared" si="30"/>
        <v>-9.4215199999999992</v>
      </c>
      <c r="I659" s="57">
        <f t="shared" si="31"/>
        <v>-9.4215199999999992</v>
      </c>
      <c r="J659" s="56">
        <f t="shared" si="32"/>
        <v>-9.4215199999999992</v>
      </c>
    </row>
    <row r="660" spans="1:10" ht="18">
      <c r="A660" s="49">
        <v>3202</v>
      </c>
      <c r="B660" s="49" t="s">
        <v>1334</v>
      </c>
      <c r="D660" s="49">
        <v>0</v>
      </c>
      <c r="E660" s="49">
        <v>0</v>
      </c>
      <c r="F660" s="49">
        <v>0</v>
      </c>
      <c r="G660" s="54">
        <v>-0.57999999999999996</v>
      </c>
      <c r="H660" s="56">
        <f t="shared" si="30"/>
        <v>0</v>
      </c>
      <c r="I660" s="57">
        <f t="shared" si="31"/>
        <v>0</v>
      </c>
      <c r="J660" s="56">
        <f t="shared" si="32"/>
        <v>0</v>
      </c>
    </row>
    <row r="661" spans="1:10" ht="18">
      <c r="A661" s="49">
        <v>3205</v>
      </c>
      <c r="B661" s="49" t="s">
        <v>1335</v>
      </c>
      <c r="D661" s="49">
        <v>0</v>
      </c>
      <c r="E661" s="49">
        <v>0</v>
      </c>
      <c r="F661" s="49">
        <v>0</v>
      </c>
      <c r="G661" s="54">
        <v>-1.69</v>
      </c>
      <c r="H661" s="56">
        <f t="shared" si="30"/>
        <v>0</v>
      </c>
      <c r="I661" s="57">
        <f t="shared" si="31"/>
        <v>0</v>
      </c>
      <c r="J661" s="56">
        <f t="shared" si="32"/>
        <v>0</v>
      </c>
    </row>
    <row r="662" spans="1:10" ht="18">
      <c r="A662" s="49">
        <v>3206</v>
      </c>
      <c r="B662" s="49" t="s">
        <v>1336</v>
      </c>
      <c r="D662" s="49">
        <v>8.847999999999999</v>
      </c>
      <c r="E662" s="49">
        <v>21.175999999999998</v>
      </c>
      <c r="F662" s="49">
        <v>15.011999999999999</v>
      </c>
      <c r="G662" s="54">
        <v>4.82</v>
      </c>
      <c r="H662" s="56">
        <f t="shared" si="30"/>
        <v>42.647359999999999</v>
      </c>
      <c r="I662" s="57">
        <f t="shared" si="31"/>
        <v>72.357839999999996</v>
      </c>
      <c r="J662" s="56">
        <f t="shared" si="32"/>
        <v>102.06832</v>
      </c>
    </row>
    <row r="663" spans="1:10" ht="18">
      <c r="A663" s="49">
        <v>3207</v>
      </c>
      <c r="B663" s="49" t="s">
        <v>1337</v>
      </c>
      <c r="D663" s="49">
        <v>0</v>
      </c>
      <c r="E663" s="49">
        <v>0</v>
      </c>
      <c r="F663" s="49">
        <v>0</v>
      </c>
      <c r="G663" s="54">
        <v>1.75</v>
      </c>
      <c r="H663" s="56">
        <f t="shared" si="30"/>
        <v>0</v>
      </c>
      <c r="I663" s="57">
        <f t="shared" si="31"/>
        <v>0</v>
      </c>
      <c r="J663" s="56">
        <f t="shared" si="32"/>
        <v>0</v>
      </c>
    </row>
    <row r="664" spans="1:10" ht="18">
      <c r="A664" s="49">
        <v>3209</v>
      </c>
      <c r="B664" s="49" t="s">
        <v>834</v>
      </c>
      <c r="D664" s="49">
        <v>7.484</v>
      </c>
      <c r="E664" s="49">
        <v>14.569999999999999</v>
      </c>
      <c r="F664" s="49">
        <v>11.026999999999999</v>
      </c>
      <c r="G664" s="54">
        <v>2.61</v>
      </c>
      <c r="H664" s="56">
        <f t="shared" si="30"/>
        <v>19.533239999999999</v>
      </c>
      <c r="I664" s="57">
        <f t="shared" si="31"/>
        <v>28.780469999999998</v>
      </c>
      <c r="J664" s="56">
        <f t="shared" si="32"/>
        <v>38.027699999999996</v>
      </c>
    </row>
    <row r="665" spans="1:10" ht="18">
      <c r="A665" s="49">
        <v>3211</v>
      </c>
      <c r="B665" s="49" t="s">
        <v>1338</v>
      </c>
      <c r="D665" s="49">
        <v>7.5740000000000007</v>
      </c>
      <c r="E665" s="49">
        <v>16.398</v>
      </c>
      <c r="F665" s="49">
        <v>11.986000000000001</v>
      </c>
      <c r="G665" s="54">
        <v>5.23</v>
      </c>
      <c r="H665" s="56">
        <f t="shared" si="30"/>
        <v>39.612020000000008</v>
      </c>
      <c r="I665" s="57">
        <f t="shared" si="31"/>
        <v>62.686780000000006</v>
      </c>
      <c r="J665" s="56">
        <f t="shared" si="32"/>
        <v>85.761540000000011</v>
      </c>
    </row>
    <row r="666" spans="1:10" ht="18">
      <c r="A666" s="49">
        <v>3213</v>
      </c>
      <c r="B666" s="49" t="s">
        <v>1339</v>
      </c>
      <c r="D666" s="49">
        <v>7.6659999999999995</v>
      </c>
      <c r="E666" s="49">
        <v>14.238</v>
      </c>
      <c r="F666" s="49">
        <v>10.952</v>
      </c>
      <c r="G666" s="54">
        <v>7.85</v>
      </c>
      <c r="H666" s="56">
        <f t="shared" si="30"/>
        <v>60.178099999999993</v>
      </c>
      <c r="I666" s="57">
        <f t="shared" si="31"/>
        <v>85.973199999999991</v>
      </c>
      <c r="J666" s="56">
        <f t="shared" si="32"/>
        <v>111.7683</v>
      </c>
    </row>
    <row r="667" spans="1:10" ht="18">
      <c r="A667" s="49">
        <v>3217</v>
      </c>
      <c r="B667" s="49" t="s">
        <v>1340</v>
      </c>
      <c r="D667" s="49">
        <v>8.3640000000000008</v>
      </c>
      <c r="E667" s="49">
        <v>17.722000000000001</v>
      </c>
      <c r="F667" s="49">
        <v>13.043000000000001</v>
      </c>
      <c r="G667" s="54">
        <v>8.11</v>
      </c>
      <c r="H667" s="56">
        <f t="shared" si="30"/>
        <v>67.832040000000006</v>
      </c>
      <c r="I667" s="57">
        <f t="shared" si="31"/>
        <v>105.77873</v>
      </c>
      <c r="J667" s="56">
        <f t="shared" si="32"/>
        <v>143.72542000000001</v>
      </c>
    </row>
    <row r="668" spans="1:10" ht="18">
      <c r="A668" s="49">
        <v>3218</v>
      </c>
      <c r="B668" s="49" t="s">
        <v>1341</v>
      </c>
      <c r="D668" s="49">
        <v>17.008000000000003</v>
      </c>
      <c r="E668" s="49">
        <v>30.417999999999999</v>
      </c>
      <c r="F668" s="49">
        <v>23.713000000000001</v>
      </c>
      <c r="G668" s="54">
        <v>12.15</v>
      </c>
      <c r="H668" s="56">
        <f t="shared" si="30"/>
        <v>206.64720000000003</v>
      </c>
      <c r="I668" s="57">
        <f t="shared" si="31"/>
        <v>288.11295000000001</v>
      </c>
      <c r="J668" s="56">
        <f t="shared" si="32"/>
        <v>369.57870000000003</v>
      </c>
    </row>
    <row r="669" spans="1:10" ht="18">
      <c r="A669" s="49">
        <v>3219</v>
      </c>
      <c r="B669" s="49" t="s">
        <v>1342</v>
      </c>
      <c r="D669" s="49">
        <v>0</v>
      </c>
      <c r="E669" s="49">
        <v>0</v>
      </c>
      <c r="F669" s="49">
        <v>0</v>
      </c>
      <c r="G669" s="54">
        <v>0.41</v>
      </c>
      <c r="H669" s="56">
        <f t="shared" si="30"/>
        <v>0</v>
      </c>
      <c r="I669" s="57">
        <f t="shared" si="31"/>
        <v>0</v>
      </c>
      <c r="J669" s="56">
        <f t="shared" si="32"/>
        <v>0</v>
      </c>
    </row>
    <row r="670" spans="1:10" ht="18">
      <c r="A670" s="49">
        <v>3221</v>
      </c>
      <c r="B670" s="49" t="s">
        <v>1343</v>
      </c>
      <c r="D670" s="49">
        <v>9.9540000000000006</v>
      </c>
      <c r="E670" s="49">
        <v>22.7</v>
      </c>
      <c r="F670" s="49">
        <v>16.326999999999998</v>
      </c>
      <c r="G670" s="54">
        <v>-0.13</v>
      </c>
      <c r="H670" s="56">
        <f t="shared" si="30"/>
        <v>-1.2940200000000002</v>
      </c>
      <c r="I670" s="57">
        <f t="shared" si="31"/>
        <v>-2.1225099999999997</v>
      </c>
      <c r="J670" s="56">
        <f t="shared" si="32"/>
        <v>-2.9510000000000001</v>
      </c>
    </row>
    <row r="671" spans="1:10" ht="18">
      <c r="A671" s="49">
        <v>3224</v>
      </c>
      <c r="B671" s="49" t="s">
        <v>1344</v>
      </c>
      <c r="D671" s="49">
        <v>0</v>
      </c>
      <c r="E671" s="49">
        <v>0</v>
      </c>
      <c r="F671" s="49">
        <v>0</v>
      </c>
      <c r="G671" s="54">
        <v>-1.94</v>
      </c>
      <c r="H671" s="56">
        <f t="shared" si="30"/>
        <v>0</v>
      </c>
      <c r="I671" s="57">
        <f t="shared" si="31"/>
        <v>0</v>
      </c>
      <c r="J671" s="56">
        <f t="shared" si="32"/>
        <v>0</v>
      </c>
    </row>
    <row r="672" spans="1:10" ht="18">
      <c r="A672" s="49">
        <v>3226</v>
      </c>
      <c r="B672" s="49" t="s">
        <v>1345</v>
      </c>
      <c r="D672" s="49">
        <v>11.862</v>
      </c>
      <c r="E672" s="49">
        <v>26</v>
      </c>
      <c r="F672" s="49">
        <v>18.931000000000001</v>
      </c>
      <c r="G672" s="54">
        <v>4.04</v>
      </c>
      <c r="H672" s="56">
        <f t="shared" si="30"/>
        <v>47.92248</v>
      </c>
      <c r="I672" s="57">
        <f t="shared" si="31"/>
        <v>76.48124</v>
      </c>
      <c r="J672" s="56">
        <f t="shared" si="32"/>
        <v>105.04</v>
      </c>
    </row>
    <row r="673" spans="1:10" ht="18">
      <c r="A673" s="49">
        <v>3227</v>
      </c>
      <c r="B673" s="49" t="s">
        <v>1346</v>
      </c>
      <c r="D673" s="49">
        <v>11.86</v>
      </c>
      <c r="E673" s="49">
        <v>33.037999999999997</v>
      </c>
      <c r="F673" s="49">
        <v>22.448999999999998</v>
      </c>
      <c r="G673" s="54">
        <v>5.57</v>
      </c>
      <c r="H673" s="56">
        <f t="shared" si="30"/>
        <v>66.060199999999995</v>
      </c>
      <c r="I673" s="57">
        <f t="shared" si="31"/>
        <v>125.04092999999999</v>
      </c>
      <c r="J673" s="56">
        <f t="shared" si="32"/>
        <v>184.02166</v>
      </c>
    </row>
    <row r="674" spans="1:10" ht="18">
      <c r="A674" s="49">
        <v>3228</v>
      </c>
      <c r="B674" s="49" t="s">
        <v>1347</v>
      </c>
      <c r="D674" s="49">
        <v>0</v>
      </c>
      <c r="E674" s="49">
        <v>0</v>
      </c>
      <c r="F674" s="49">
        <v>0</v>
      </c>
      <c r="G674" s="54">
        <v>-1.72</v>
      </c>
      <c r="H674" s="56">
        <f t="shared" si="30"/>
        <v>0</v>
      </c>
      <c r="I674" s="57">
        <f t="shared" si="31"/>
        <v>0</v>
      </c>
      <c r="J674" s="56">
        <f t="shared" si="32"/>
        <v>0</v>
      </c>
    </row>
    <row r="675" spans="1:10" ht="18">
      <c r="A675" s="49">
        <v>3229</v>
      </c>
      <c r="B675" s="49" t="s">
        <v>835</v>
      </c>
      <c r="D675" s="49">
        <v>16.858000000000001</v>
      </c>
      <c r="E675" s="49">
        <v>16.858000000000001</v>
      </c>
      <c r="F675" s="49">
        <v>16.858000000000001</v>
      </c>
      <c r="G675" s="54">
        <v>-0.39</v>
      </c>
      <c r="H675" s="56">
        <f t="shared" si="30"/>
        <v>-6.5746200000000004</v>
      </c>
      <c r="I675" s="57">
        <f t="shared" si="31"/>
        <v>-6.5746200000000004</v>
      </c>
      <c r="J675" s="56">
        <f t="shared" si="32"/>
        <v>-6.5746200000000004</v>
      </c>
    </row>
    <row r="676" spans="1:10" ht="18">
      <c r="A676" s="49">
        <v>3230</v>
      </c>
      <c r="B676" s="49" t="s">
        <v>1348</v>
      </c>
      <c r="D676" s="49">
        <v>0</v>
      </c>
      <c r="E676" s="49">
        <v>0</v>
      </c>
      <c r="F676" s="49">
        <v>0</v>
      </c>
      <c r="G676" s="54">
        <v>-2.5</v>
      </c>
      <c r="H676" s="56">
        <f t="shared" si="30"/>
        <v>0</v>
      </c>
      <c r="I676" s="57">
        <f t="shared" si="31"/>
        <v>0</v>
      </c>
      <c r="J676" s="56">
        <f t="shared" si="32"/>
        <v>0</v>
      </c>
    </row>
    <row r="677" spans="1:10" ht="18">
      <c r="A677" s="49">
        <v>3231</v>
      </c>
      <c r="B677" s="49" t="s">
        <v>836</v>
      </c>
      <c r="D677" s="49">
        <v>7.5860000000000003</v>
      </c>
      <c r="E677" s="49">
        <v>19.113999999999997</v>
      </c>
      <c r="F677" s="49">
        <v>13.349999999999998</v>
      </c>
      <c r="G677" s="54">
        <v>4.08</v>
      </c>
      <c r="H677" s="56">
        <f t="shared" si="30"/>
        <v>30.950880000000002</v>
      </c>
      <c r="I677" s="57">
        <f t="shared" si="31"/>
        <v>54.467999999999989</v>
      </c>
      <c r="J677" s="56">
        <f t="shared" si="32"/>
        <v>77.985119999999995</v>
      </c>
    </row>
    <row r="678" spans="1:10" ht="18">
      <c r="A678" s="49">
        <v>3232</v>
      </c>
      <c r="B678" s="49" t="s">
        <v>1349</v>
      </c>
      <c r="D678" s="49">
        <v>21.853999999999999</v>
      </c>
      <c r="E678" s="49">
        <v>29.481999999999999</v>
      </c>
      <c r="F678" s="49">
        <v>25.667999999999999</v>
      </c>
      <c r="G678" s="54">
        <v>0.25</v>
      </c>
      <c r="H678" s="56">
        <f t="shared" si="30"/>
        <v>5.4634999999999998</v>
      </c>
      <c r="I678" s="57">
        <f t="shared" si="31"/>
        <v>6.4169999999999998</v>
      </c>
      <c r="J678" s="56">
        <f t="shared" si="32"/>
        <v>7.3704999999999998</v>
      </c>
    </row>
    <row r="679" spans="1:10" ht="18">
      <c r="A679" s="49">
        <v>3234</v>
      </c>
      <c r="B679" s="49" t="s">
        <v>1350</v>
      </c>
      <c r="D679" s="49">
        <v>14.166</v>
      </c>
      <c r="E679" s="49">
        <v>16.75</v>
      </c>
      <c r="F679" s="49">
        <v>15.458</v>
      </c>
      <c r="G679" s="54">
        <v>-4.68</v>
      </c>
      <c r="H679" s="56">
        <f t="shared" si="30"/>
        <v>-66.296880000000002</v>
      </c>
      <c r="I679" s="57">
        <f t="shared" si="31"/>
        <v>-72.343440000000001</v>
      </c>
      <c r="J679" s="56">
        <f t="shared" si="32"/>
        <v>-78.39</v>
      </c>
    </row>
    <row r="680" spans="1:10" ht="18">
      <c r="A680" s="49">
        <v>3236</v>
      </c>
      <c r="B680" s="49" t="s">
        <v>1351</v>
      </c>
      <c r="D680" s="49">
        <v>12.468</v>
      </c>
      <c r="E680" s="49">
        <v>21.994</v>
      </c>
      <c r="F680" s="49">
        <v>17.231000000000002</v>
      </c>
      <c r="G680" s="54">
        <v>0.32</v>
      </c>
      <c r="H680" s="56">
        <f t="shared" si="30"/>
        <v>3.98976</v>
      </c>
      <c r="I680" s="57">
        <f t="shared" si="31"/>
        <v>5.5139200000000006</v>
      </c>
      <c r="J680" s="56">
        <f t="shared" si="32"/>
        <v>7.0380799999999999</v>
      </c>
    </row>
    <row r="681" spans="1:10" ht="18">
      <c r="A681" s="49">
        <v>3252</v>
      </c>
      <c r="B681" s="49" t="s">
        <v>1352</v>
      </c>
      <c r="D681" s="49">
        <v>0</v>
      </c>
      <c r="E681" s="49">
        <v>0</v>
      </c>
      <c r="F681" s="49">
        <v>0</v>
      </c>
      <c r="G681" s="54">
        <v>0.01</v>
      </c>
      <c r="H681" s="56">
        <f t="shared" si="30"/>
        <v>0</v>
      </c>
      <c r="I681" s="57">
        <f t="shared" si="31"/>
        <v>0</v>
      </c>
      <c r="J681" s="56">
        <f t="shared" si="32"/>
        <v>0</v>
      </c>
    </row>
    <row r="682" spans="1:10" ht="18">
      <c r="A682" s="49">
        <v>3257</v>
      </c>
      <c r="B682" s="49" t="s">
        <v>837</v>
      </c>
      <c r="D682" s="49">
        <v>12.636000000000001</v>
      </c>
      <c r="E682" s="49">
        <v>31.542000000000002</v>
      </c>
      <c r="F682" s="49">
        <v>22.089000000000002</v>
      </c>
      <c r="G682" s="54">
        <v>3.12</v>
      </c>
      <c r="H682" s="56">
        <f t="shared" si="30"/>
        <v>39.424320000000002</v>
      </c>
      <c r="I682" s="57">
        <f t="shared" si="31"/>
        <v>68.917680000000004</v>
      </c>
      <c r="J682" s="56">
        <f t="shared" si="32"/>
        <v>98.411040000000014</v>
      </c>
    </row>
    <row r="683" spans="1:10" ht="18">
      <c r="A683" s="49">
        <v>3259</v>
      </c>
      <c r="B683" s="49" t="s">
        <v>1353</v>
      </c>
      <c r="D683" s="49">
        <v>0</v>
      </c>
      <c r="E683" s="49">
        <v>0</v>
      </c>
      <c r="F683" s="49">
        <v>0</v>
      </c>
      <c r="G683" s="54">
        <v>-4.49</v>
      </c>
      <c r="H683" s="56">
        <f t="shared" si="30"/>
        <v>0</v>
      </c>
      <c r="I683" s="57">
        <f t="shared" si="31"/>
        <v>0</v>
      </c>
      <c r="J683" s="56">
        <f t="shared" si="32"/>
        <v>0</v>
      </c>
    </row>
    <row r="684" spans="1:10" ht="18">
      <c r="A684" s="49">
        <v>3260</v>
      </c>
      <c r="B684" s="49" t="s">
        <v>1354</v>
      </c>
      <c r="D684" s="49">
        <v>9.5279999999999987</v>
      </c>
      <c r="E684" s="49">
        <v>26.748000000000001</v>
      </c>
      <c r="F684" s="49">
        <v>18.137999999999998</v>
      </c>
      <c r="G684" s="54">
        <v>5.21</v>
      </c>
      <c r="H684" s="56">
        <f t="shared" si="30"/>
        <v>49.640879999999996</v>
      </c>
      <c r="I684" s="57">
        <f t="shared" si="31"/>
        <v>94.498979999999989</v>
      </c>
      <c r="J684" s="56">
        <f t="shared" si="32"/>
        <v>139.35708</v>
      </c>
    </row>
    <row r="685" spans="1:10" ht="18">
      <c r="A685" s="49">
        <v>3264</v>
      </c>
      <c r="B685" s="49" t="s">
        <v>1355</v>
      </c>
      <c r="D685" s="49">
        <v>7.7740000000000009</v>
      </c>
      <c r="E685" s="49">
        <v>13.625999999999999</v>
      </c>
      <c r="F685" s="49">
        <v>10.7</v>
      </c>
      <c r="G685" s="54">
        <v>5.79</v>
      </c>
      <c r="H685" s="56">
        <f t="shared" si="30"/>
        <v>45.011460000000007</v>
      </c>
      <c r="I685" s="57">
        <f t="shared" si="31"/>
        <v>61.952999999999996</v>
      </c>
      <c r="J685" s="56">
        <f t="shared" si="32"/>
        <v>78.894539999999992</v>
      </c>
    </row>
    <row r="686" spans="1:10" ht="18">
      <c r="A686" s="49">
        <v>3265</v>
      </c>
      <c r="B686" s="49" t="s">
        <v>1356</v>
      </c>
      <c r="D686" s="49">
        <v>5.2879999999999994</v>
      </c>
      <c r="E686" s="49">
        <v>14.128</v>
      </c>
      <c r="F686" s="49">
        <v>9.7080000000000002</v>
      </c>
      <c r="G686" s="54">
        <v>6.16</v>
      </c>
      <c r="H686" s="56">
        <f t="shared" si="30"/>
        <v>32.574079999999995</v>
      </c>
      <c r="I686" s="57">
        <f t="shared" si="31"/>
        <v>59.801280000000006</v>
      </c>
      <c r="J686" s="56">
        <f t="shared" si="32"/>
        <v>87.028480000000002</v>
      </c>
    </row>
    <row r="687" spans="1:10" ht="18">
      <c r="A687" s="49">
        <v>3266</v>
      </c>
      <c r="B687" s="49" t="s">
        <v>838</v>
      </c>
      <c r="D687" s="49">
        <v>9.5280000000000005</v>
      </c>
      <c r="E687" s="49">
        <v>31.725999999999999</v>
      </c>
      <c r="F687" s="49">
        <v>20.626999999999999</v>
      </c>
      <c r="G687" s="54">
        <v>1.94</v>
      </c>
      <c r="H687" s="56">
        <f t="shared" si="30"/>
        <v>18.48432</v>
      </c>
      <c r="I687" s="57">
        <f t="shared" si="31"/>
        <v>40.016379999999998</v>
      </c>
      <c r="J687" s="56">
        <f t="shared" si="32"/>
        <v>61.548439999999999</v>
      </c>
    </row>
    <row r="688" spans="1:10" ht="18">
      <c r="A688" s="49">
        <v>3268</v>
      </c>
      <c r="B688" s="49" t="s">
        <v>1357</v>
      </c>
      <c r="D688" s="49">
        <v>0</v>
      </c>
      <c r="E688" s="49">
        <v>0</v>
      </c>
      <c r="F688" s="49">
        <v>0</v>
      </c>
      <c r="G688" s="54">
        <v>-0.2</v>
      </c>
      <c r="H688" s="56">
        <f t="shared" si="30"/>
        <v>0</v>
      </c>
      <c r="I688" s="57">
        <f t="shared" si="31"/>
        <v>0</v>
      </c>
      <c r="J688" s="56">
        <f t="shared" si="32"/>
        <v>0</v>
      </c>
    </row>
    <row r="689" spans="1:10" ht="18">
      <c r="A689" s="49">
        <v>3272</v>
      </c>
      <c r="B689" s="49" t="s">
        <v>1358</v>
      </c>
      <c r="D689" s="49">
        <v>14.146000000000001</v>
      </c>
      <c r="E689" s="49">
        <v>16.026</v>
      </c>
      <c r="F689" s="49">
        <v>15.086</v>
      </c>
      <c r="G689" s="54">
        <v>-5.92</v>
      </c>
      <c r="H689" s="56">
        <f t="shared" si="30"/>
        <v>-83.744320000000002</v>
      </c>
      <c r="I689" s="57">
        <f t="shared" si="31"/>
        <v>-89.309120000000007</v>
      </c>
      <c r="J689" s="56">
        <f t="shared" si="32"/>
        <v>-94.873919999999998</v>
      </c>
    </row>
    <row r="690" spans="1:10" ht="18">
      <c r="A690" s="49">
        <v>3276</v>
      </c>
      <c r="B690" s="49" t="s">
        <v>1359</v>
      </c>
      <c r="D690" s="49">
        <v>12.308</v>
      </c>
      <c r="E690" s="49">
        <v>18.503999999999998</v>
      </c>
      <c r="F690" s="49">
        <v>15.405999999999999</v>
      </c>
      <c r="G690" s="54">
        <v>0.79</v>
      </c>
      <c r="H690" s="56">
        <f t="shared" si="30"/>
        <v>9.7233200000000011</v>
      </c>
      <c r="I690" s="57">
        <f t="shared" si="31"/>
        <v>12.17074</v>
      </c>
      <c r="J690" s="56">
        <f t="shared" si="32"/>
        <v>14.61816</v>
      </c>
    </row>
    <row r="691" spans="1:10" ht="18">
      <c r="A691" s="49">
        <v>3284</v>
      </c>
      <c r="B691" s="49" t="s">
        <v>1360</v>
      </c>
      <c r="D691" s="49">
        <v>11.693999999999999</v>
      </c>
      <c r="E691" s="49">
        <v>27.282</v>
      </c>
      <c r="F691" s="49">
        <v>19.488</v>
      </c>
      <c r="G691" s="54">
        <v>0.76</v>
      </c>
      <c r="H691" s="56">
        <f t="shared" si="30"/>
        <v>8.8874399999999998</v>
      </c>
      <c r="I691" s="57">
        <f t="shared" si="31"/>
        <v>14.810879999999999</v>
      </c>
      <c r="J691" s="56">
        <f t="shared" si="32"/>
        <v>20.73432</v>
      </c>
    </row>
    <row r="692" spans="1:10" ht="18">
      <c r="A692" s="49">
        <v>3285</v>
      </c>
      <c r="B692" s="49" t="s">
        <v>1361</v>
      </c>
      <c r="D692" s="49">
        <v>19.059999999999999</v>
      </c>
      <c r="E692" s="49">
        <v>22.48</v>
      </c>
      <c r="F692" s="49">
        <v>20.77</v>
      </c>
      <c r="G692" s="54">
        <v>0.66</v>
      </c>
      <c r="H692" s="56">
        <f t="shared" si="30"/>
        <v>12.579599999999999</v>
      </c>
      <c r="I692" s="57">
        <f t="shared" si="31"/>
        <v>13.7082</v>
      </c>
      <c r="J692" s="56">
        <f t="shared" si="32"/>
        <v>14.8368</v>
      </c>
    </row>
    <row r="693" spans="1:10" ht="18">
      <c r="A693" s="49">
        <v>3287</v>
      </c>
      <c r="B693" s="49" t="s">
        <v>1362</v>
      </c>
      <c r="D693" s="49">
        <v>15.777999999999997</v>
      </c>
      <c r="E693" s="49">
        <v>19.928000000000001</v>
      </c>
      <c r="F693" s="49">
        <v>17.852999999999998</v>
      </c>
      <c r="G693" s="54">
        <v>0.92</v>
      </c>
      <c r="H693" s="56">
        <f t="shared" si="30"/>
        <v>14.515759999999998</v>
      </c>
      <c r="I693" s="57">
        <f t="shared" si="31"/>
        <v>16.424759999999999</v>
      </c>
      <c r="J693" s="56">
        <f t="shared" si="32"/>
        <v>18.333760000000002</v>
      </c>
    </row>
    <row r="694" spans="1:10" ht="18">
      <c r="A694" s="49">
        <v>3288</v>
      </c>
      <c r="B694" s="49" t="s">
        <v>1363</v>
      </c>
      <c r="D694" s="49">
        <v>0</v>
      </c>
      <c r="E694" s="49">
        <v>0</v>
      </c>
      <c r="F694" s="49">
        <v>0</v>
      </c>
      <c r="G694" s="54">
        <v>0.14000000000000001</v>
      </c>
      <c r="H694" s="56">
        <f t="shared" si="30"/>
        <v>0</v>
      </c>
      <c r="I694" s="57">
        <f t="shared" si="31"/>
        <v>0</v>
      </c>
      <c r="J694" s="56">
        <f t="shared" si="32"/>
        <v>0</v>
      </c>
    </row>
    <row r="695" spans="1:10" ht="18">
      <c r="A695" s="49">
        <v>3289</v>
      </c>
      <c r="B695" s="49" t="s">
        <v>1364</v>
      </c>
      <c r="D695" s="49">
        <v>11.675999999999998</v>
      </c>
      <c r="E695" s="49">
        <v>21.02</v>
      </c>
      <c r="F695" s="49">
        <v>16.347999999999999</v>
      </c>
      <c r="G695" s="54">
        <v>5.15</v>
      </c>
      <c r="H695" s="56">
        <f t="shared" si="30"/>
        <v>60.131399999999999</v>
      </c>
      <c r="I695" s="57">
        <f t="shared" si="31"/>
        <v>84.1922</v>
      </c>
      <c r="J695" s="56">
        <f t="shared" si="32"/>
        <v>108.253</v>
      </c>
    </row>
    <row r="696" spans="1:10" ht="18">
      <c r="A696" s="49">
        <v>3290</v>
      </c>
      <c r="B696" s="49" t="s">
        <v>1365</v>
      </c>
      <c r="D696" s="49">
        <v>7.0680000000000005</v>
      </c>
      <c r="E696" s="49">
        <v>19.57</v>
      </c>
      <c r="F696" s="49">
        <v>13.319000000000001</v>
      </c>
      <c r="G696" s="54">
        <v>1.1399999999999999</v>
      </c>
      <c r="H696" s="56">
        <f t="shared" si="30"/>
        <v>8.0575200000000002</v>
      </c>
      <c r="I696" s="57">
        <f t="shared" si="31"/>
        <v>15.18366</v>
      </c>
      <c r="J696" s="56">
        <f t="shared" si="32"/>
        <v>22.309799999999999</v>
      </c>
    </row>
    <row r="697" spans="1:10" ht="18">
      <c r="A697" s="49">
        <v>3293</v>
      </c>
      <c r="B697" s="49" t="s">
        <v>1366</v>
      </c>
      <c r="D697" s="49">
        <v>11.34</v>
      </c>
      <c r="E697" s="49">
        <v>21.002000000000002</v>
      </c>
      <c r="F697" s="49">
        <v>16.170999999999999</v>
      </c>
      <c r="G697" s="54">
        <v>45.61</v>
      </c>
      <c r="H697" s="56">
        <f t="shared" si="30"/>
        <v>517.2174</v>
      </c>
      <c r="I697" s="57">
        <f t="shared" si="31"/>
        <v>737.55930999999998</v>
      </c>
      <c r="J697" s="56">
        <f t="shared" si="32"/>
        <v>957.90122000000008</v>
      </c>
    </row>
    <row r="698" spans="1:10" ht="18">
      <c r="A698" s="49">
        <v>3294</v>
      </c>
      <c r="B698" s="49" t="s">
        <v>1367</v>
      </c>
      <c r="D698" s="49">
        <v>20.943999999999999</v>
      </c>
      <c r="E698" s="49">
        <v>20.943999999999999</v>
      </c>
      <c r="F698" s="49">
        <v>20.943999999999999</v>
      </c>
      <c r="G698" s="54">
        <v>-1</v>
      </c>
      <c r="H698" s="56">
        <f t="shared" si="30"/>
        <v>-20.943999999999999</v>
      </c>
      <c r="I698" s="57">
        <f t="shared" si="31"/>
        <v>-20.943999999999999</v>
      </c>
      <c r="J698" s="56">
        <f t="shared" si="32"/>
        <v>-20.943999999999999</v>
      </c>
    </row>
    <row r="699" spans="1:10" ht="18">
      <c r="A699" s="49">
        <v>3296</v>
      </c>
      <c r="B699" s="49" t="s">
        <v>839</v>
      </c>
      <c r="D699" s="49">
        <v>13.696000000000002</v>
      </c>
      <c r="E699" s="49">
        <v>21.195999999999998</v>
      </c>
      <c r="F699" s="49">
        <v>17.445999999999998</v>
      </c>
      <c r="G699" s="54">
        <v>-0.91</v>
      </c>
      <c r="H699" s="56">
        <f t="shared" si="30"/>
        <v>-12.463360000000002</v>
      </c>
      <c r="I699" s="57">
        <f t="shared" si="31"/>
        <v>-15.875859999999999</v>
      </c>
      <c r="J699" s="56">
        <f t="shared" si="32"/>
        <v>-19.288359999999997</v>
      </c>
    </row>
    <row r="700" spans="1:10" ht="18">
      <c r="A700" s="49">
        <v>3297</v>
      </c>
      <c r="B700" s="49" t="s">
        <v>1368</v>
      </c>
      <c r="D700" s="49">
        <v>10.751999999999999</v>
      </c>
      <c r="E700" s="49">
        <v>13.425999999999998</v>
      </c>
      <c r="F700" s="49">
        <v>12.088999999999999</v>
      </c>
      <c r="G700" s="54">
        <v>-0.37</v>
      </c>
      <c r="H700" s="56">
        <f t="shared" si="30"/>
        <v>-3.9782399999999996</v>
      </c>
      <c r="I700" s="57">
        <f t="shared" si="31"/>
        <v>-4.4729299999999999</v>
      </c>
      <c r="J700" s="56">
        <f t="shared" si="32"/>
        <v>-4.9676199999999993</v>
      </c>
    </row>
    <row r="701" spans="1:10" ht="18">
      <c r="A701" s="49">
        <v>3303</v>
      </c>
      <c r="B701" s="49" t="s">
        <v>1369</v>
      </c>
      <c r="D701" s="49">
        <v>8.6639999999999979</v>
      </c>
      <c r="E701" s="49">
        <v>25.547999999999998</v>
      </c>
      <c r="F701" s="49">
        <v>17.105999999999998</v>
      </c>
      <c r="G701" s="54">
        <v>2.21</v>
      </c>
      <c r="H701" s="56">
        <f t="shared" si="30"/>
        <v>19.147439999999996</v>
      </c>
      <c r="I701" s="57">
        <f t="shared" si="31"/>
        <v>37.804259999999992</v>
      </c>
      <c r="J701" s="56">
        <f t="shared" si="32"/>
        <v>56.461079999999995</v>
      </c>
    </row>
    <row r="702" spans="1:10" ht="18">
      <c r="A702" s="49">
        <v>3305</v>
      </c>
      <c r="B702" s="49" t="s">
        <v>840</v>
      </c>
      <c r="D702" s="49">
        <v>8.3460000000000001</v>
      </c>
      <c r="E702" s="49">
        <v>23.25</v>
      </c>
      <c r="F702" s="49">
        <v>15.798</v>
      </c>
      <c r="G702" s="54">
        <v>1.74</v>
      </c>
      <c r="H702" s="56">
        <f t="shared" si="30"/>
        <v>14.522040000000001</v>
      </c>
      <c r="I702" s="57">
        <f t="shared" si="31"/>
        <v>27.488520000000001</v>
      </c>
      <c r="J702" s="56">
        <f t="shared" si="32"/>
        <v>40.454999999999998</v>
      </c>
    </row>
    <row r="703" spans="1:10" ht="18">
      <c r="A703" s="49">
        <v>3306</v>
      </c>
      <c r="B703" s="49" t="s">
        <v>1370</v>
      </c>
      <c r="D703" s="49">
        <v>13.156000000000001</v>
      </c>
      <c r="E703" s="49">
        <v>30.776</v>
      </c>
      <c r="F703" s="49">
        <v>21.966000000000001</v>
      </c>
      <c r="G703" s="54">
        <v>1.83</v>
      </c>
      <c r="H703" s="56">
        <f t="shared" si="30"/>
        <v>24.075480000000002</v>
      </c>
      <c r="I703" s="57">
        <f t="shared" si="31"/>
        <v>40.197780000000002</v>
      </c>
      <c r="J703" s="56">
        <f t="shared" si="32"/>
        <v>56.320080000000004</v>
      </c>
    </row>
    <row r="704" spans="1:10" ht="18">
      <c r="A704" s="49">
        <v>3308</v>
      </c>
      <c r="B704" s="49" t="s">
        <v>841</v>
      </c>
      <c r="D704" s="49">
        <v>0</v>
      </c>
      <c r="E704" s="49">
        <v>0</v>
      </c>
      <c r="F704" s="49">
        <v>0</v>
      </c>
      <c r="G704" s="54">
        <v>5.99</v>
      </c>
      <c r="H704" s="56">
        <f t="shared" si="30"/>
        <v>0</v>
      </c>
      <c r="I704" s="57">
        <f t="shared" si="31"/>
        <v>0</v>
      </c>
      <c r="J704" s="56">
        <f t="shared" si="32"/>
        <v>0</v>
      </c>
    </row>
    <row r="705" spans="1:10" ht="18">
      <c r="A705" s="49">
        <v>3310</v>
      </c>
      <c r="B705" s="49" t="s">
        <v>1371</v>
      </c>
      <c r="D705" s="49">
        <v>10.09</v>
      </c>
      <c r="E705" s="49">
        <v>24.622000000000003</v>
      </c>
      <c r="F705" s="49">
        <v>17.356000000000002</v>
      </c>
      <c r="G705" s="54">
        <v>3.81</v>
      </c>
      <c r="H705" s="56">
        <f t="shared" si="30"/>
        <v>38.442900000000002</v>
      </c>
      <c r="I705" s="57">
        <f t="shared" si="31"/>
        <v>66.126360000000005</v>
      </c>
      <c r="J705" s="56">
        <f t="shared" si="32"/>
        <v>93.809820000000016</v>
      </c>
    </row>
    <row r="706" spans="1:10" ht="18">
      <c r="A706" s="49">
        <v>3311</v>
      </c>
      <c r="B706" s="49" t="s">
        <v>842</v>
      </c>
      <c r="D706" s="49">
        <v>9.8480000000000008</v>
      </c>
      <c r="E706" s="49">
        <v>23.326000000000001</v>
      </c>
      <c r="F706" s="49">
        <v>16.587</v>
      </c>
      <c r="G706" s="54">
        <v>1.75</v>
      </c>
      <c r="H706" s="56">
        <f t="shared" si="30"/>
        <v>17.234000000000002</v>
      </c>
      <c r="I706" s="57">
        <f t="shared" si="31"/>
        <v>29.027249999999999</v>
      </c>
      <c r="J706" s="56">
        <f t="shared" si="32"/>
        <v>40.820500000000003</v>
      </c>
    </row>
    <row r="707" spans="1:10" ht="18">
      <c r="A707" s="49">
        <v>3312</v>
      </c>
      <c r="B707" s="49" t="s">
        <v>843</v>
      </c>
      <c r="D707" s="49">
        <v>8.2900000000000009</v>
      </c>
      <c r="E707" s="49">
        <v>15.186000000000002</v>
      </c>
      <c r="F707" s="49">
        <v>11.738000000000001</v>
      </c>
      <c r="G707" s="54">
        <v>1.98</v>
      </c>
      <c r="H707" s="56">
        <f t="shared" ref="H707:H770" si="33">G707*D707</f>
        <v>16.414200000000001</v>
      </c>
      <c r="I707" s="57">
        <f t="shared" ref="I707:I770" si="34">G707*F707</f>
        <v>23.241240000000001</v>
      </c>
      <c r="J707" s="56">
        <f t="shared" ref="J707:J770" si="35">G707*E707</f>
        <v>30.068280000000001</v>
      </c>
    </row>
    <row r="708" spans="1:10" ht="18">
      <c r="A708" s="49">
        <v>3313</v>
      </c>
      <c r="B708" s="49" t="s">
        <v>1372</v>
      </c>
      <c r="D708" s="49">
        <v>0</v>
      </c>
      <c r="E708" s="49">
        <v>0</v>
      </c>
      <c r="F708" s="49">
        <v>0</v>
      </c>
      <c r="G708" s="54">
        <v>0.01</v>
      </c>
      <c r="H708" s="56">
        <f t="shared" si="33"/>
        <v>0</v>
      </c>
      <c r="I708" s="57">
        <f t="shared" si="34"/>
        <v>0</v>
      </c>
      <c r="J708" s="56">
        <f t="shared" si="35"/>
        <v>0</v>
      </c>
    </row>
    <row r="709" spans="1:10" ht="18">
      <c r="A709" s="49">
        <v>3317</v>
      </c>
      <c r="B709" s="49" t="s">
        <v>1373</v>
      </c>
      <c r="D709" s="49">
        <v>11.139999999999999</v>
      </c>
      <c r="E709" s="49">
        <v>27.78</v>
      </c>
      <c r="F709" s="49">
        <v>19.46</v>
      </c>
      <c r="G709" s="54">
        <v>2.85</v>
      </c>
      <c r="H709" s="56">
        <f t="shared" si="33"/>
        <v>31.748999999999999</v>
      </c>
      <c r="I709" s="57">
        <f t="shared" si="34"/>
        <v>55.461000000000006</v>
      </c>
      <c r="J709" s="56">
        <f t="shared" si="35"/>
        <v>79.173000000000002</v>
      </c>
    </row>
    <row r="710" spans="1:10" ht="18">
      <c r="A710" s="49">
        <v>3321</v>
      </c>
      <c r="B710" s="49" t="s">
        <v>844</v>
      </c>
      <c r="D710" s="49">
        <v>0</v>
      </c>
      <c r="E710" s="49">
        <v>0</v>
      </c>
      <c r="F710" s="49">
        <v>0</v>
      </c>
      <c r="G710" s="54">
        <v>-4.88</v>
      </c>
      <c r="H710" s="56">
        <f t="shared" si="33"/>
        <v>0</v>
      </c>
      <c r="I710" s="57">
        <f t="shared" si="34"/>
        <v>0</v>
      </c>
      <c r="J710" s="56">
        <f t="shared" si="35"/>
        <v>0</v>
      </c>
    </row>
    <row r="711" spans="1:10" ht="18">
      <c r="A711" s="49">
        <v>3322</v>
      </c>
      <c r="B711" s="49" t="s">
        <v>1374</v>
      </c>
      <c r="D711" s="49">
        <v>0</v>
      </c>
      <c r="E711" s="49">
        <v>0</v>
      </c>
      <c r="F711" s="49">
        <v>0</v>
      </c>
      <c r="G711" s="54">
        <v>0.57999999999999996</v>
      </c>
      <c r="H711" s="56">
        <f t="shared" si="33"/>
        <v>0</v>
      </c>
      <c r="I711" s="57">
        <f t="shared" si="34"/>
        <v>0</v>
      </c>
      <c r="J711" s="56">
        <f t="shared" si="35"/>
        <v>0</v>
      </c>
    </row>
    <row r="712" spans="1:10" ht="18">
      <c r="A712" s="49">
        <v>3323</v>
      </c>
      <c r="B712" s="49" t="s">
        <v>1375</v>
      </c>
      <c r="D712" s="49">
        <v>9.0119999999999987</v>
      </c>
      <c r="E712" s="49">
        <v>24.354000000000003</v>
      </c>
      <c r="F712" s="49">
        <v>16.683</v>
      </c>
      <c r="G712" s="54">
        <v>-3.27</v>
      </c>
      <c r="H712" s="56">
        <f t="shared" si="33"/>
        <v>-29.469239999999996</v>
      </c>
      <c r="I712" s="57">
        <f t="shared" si="34"/>
        <v>-54.55341</v>
      </c>
      <c r="J712" s="56">
        <f t="shared" si="35"/>
        <v>-79.637580000000014</v>
      </c>
    </row>
    <row r="713" spans="1:10" ht="18">
      <c r="A713" s="49">
        <v>3324</v>
      </c>
      <c r="B713" s="49" t="s">
        <v>1376</v>
      </c>
      <c r="D713" s="49">
        <v>12.108000000000001</v>
      </c>
      <c r="E713" s="49">
        <v>23</v>
      </c>
      <c r="F713" s="49">
        <v>17.554000000000002</v>
      </c>
      <c r="G713" s="54">
        <v>14.28</v>
      </c>
      <c r="H713" s="56">
        <f t="shared" si="33"/>
        <v>172.90224000000001</v>
      </c>
      <c r="I713" s="57">
        <f t="shared" si="34"/>
        <v>250.67112000000003</v>
      </c>
      <c r="J713" s="56">
        <f t="shared" si="35"/>
        <v>328.44</v>
      </c>
    </row>
    <row r="714" spans="1:10" ht="18">
      <c r="A714" s="49">
        <v>3325</v>
      </c>
      <c r="B714" s="49" t="s">
        <v>1377</v>
      </c>
      <c r="D714" s="49">
        <v>13.341999999999999</v>
      </c>
      <c r="E714" s="49">
        <v>13.341999999999999</v>
      </c>
      <c r="F714" s="49">
        <v>13.341999999999999</v>
      </c>
      <c r="G714" s="54">
        <v>-0.28000000000000003</v>
      </c>
      <c r="H714" s="56">
        <f t="shared" si="33"/>
        <v>-3.73576</v>
      </c>
      <c r="I714" s="57">
        <f t="shared" si="34"/>
        <v>-3.73576</v>
      </c>
      <c r="J714" s="56">
        <f t="shared" si="35"/>
        <v>-3.73576</v>
      </c>
    </row>
    <row r="715" spans="1:10" ht="18">
      <c r="A715" s="49">
        <v>3332</v>
      </c>
      <c r="B715" s="49" t="s">
        <v>1378</v>
      </c>
      <c r="D715" s="49">
        <v>9.7759999999999998</v>
      </c>
      <c r="E715" s="49">
        <v>16.862000000000002</v>
      </c>
      <c r="F715" s="49">
        <v>13.319000000000001</v>
      </c>
      <c r="G715" s="54">
        <v>2.98</v>
      </c>
      <c r="H715" s="56">
        <f t="shared" si="33"/>
        <v>29.132479999999997</v>
      </c>
      <c r="I715" s="57">
        <f t="shared" si="34"/>
        <v>39.690620000000003</v>
      </c>
      <c r="J715" s="56">
        <f t="shared" si="35"/>
        <v>50.248760000000004</v>
      </c>
    </row>
    <row r="716" spans="1:10" ht="18">
      <c r="A716" s="49">
        <v>3338</v>
      </c>
      <c r="B716" s="49" t="s">
        <v>845</v>
      </c>
      <c r="D716" s="49">
        <v>13.62</v>
      </c>
      <c r="E716" s="49">
        <v>24.943999999999999</v>
      </c>
      <c r="F716" s="49">
        <v>19.282</v>
      </c>
      <c r="G716" s="54">
        <v>2.78</v>
      </c>
      <c r="H716" s="56">
        <f t="shared" si="33"/>
        <v>37.863599999999998</v>
      </c>
      <c r="I716" s="57">
        <f t="shared" si="34"/>
        <v>53.603959999999994</v>
      </c>
      <c r="J716" s="56">
        <f t="shared" si="35"/>
        <v>69.344319999999996</v>
      </c>
    </row>
    <row r="717" spans="1:10" ht="18">
      <c r="A717" s="49">
        <v>3339</v>
      </c>
      <c r="B717" s="49" t="s">
        <v>1379</v>
      </c>
      <c r="D717" s="49">
        <v>0</v>
      </c>
      <c r="E717" s="49">
        <v>0</v>
      </c>
      <c r="F717" s="49">
        <v>0</v>
      </c>
      <c r="G717" s="54">
        <v>0.34</v>
      </c>
      <c r="H717" s="56">
        <f t="shared" si="33"/>
        <v>0</v>
      </c>
      <c r="I717" s="57">
        <f t="shared" si="34"/>
        <v>0</v>
      </c>
      <c r="J717" s="56">
        <f t="shared" si="35"/>
        <v>0</v>
      </c>
    </row>
    <row r="718" spans="1:10" ht="18">
      <c r="A718" s="49">
        <v>3346</v>
      </c>
      <c r="B718" s="49" t="s">
        <v>846</v>
      </c>
      <c r="D718" s="49">
        <v>23.548000000000002</v>
      </c>
      <c r="E718" s="49">
        <v>23.548000000000002</v>
      </c>
      <c r="F718" s="49">
        <v>23.548000000000002</v>
      </c>
      <c r="G718" s="54">
        <v>2.83</v>
      </c>
      <c r="H718" s="56">
        <f t="shared" si="33"/>
        <v>66.640840000000011</v>
      </c>
      <c r="I718" s="57">
        <f t="shared" si="34"/>
        <v>66.640840000000011</v>
      </c>
      <c r="J718" s="56">
        <f t="shared" si="35"/>
        <v>66.640840000000011</v>
      </c>
    </row>
    <row r="719" spans="1:10" ht="18">
      <c r="A719" s="49">
        <v>3349</v>
      </c>
      <c r="B719" s="49" t="s">
        <v>1380</v>
      </c>
      <c r="D719" s="49">
        <v>0</v>
      </c>
      <c r="E719" s="49">
        <v>0</v>
      </c>
      <c r="F719" s="49">
        <v>0</v>
      </c>
      <c r="G719" s="54" t="s">
        <v>271</v>
      </c>
      <c r="H719" s="56" t="e">
        <f t="shared" si="33"/>
        <v>#VALUE!</v>
      </c>
      <c r="I719" s="57" t="e">
        <f t="shared" si="34"/>
        <v>#VALUE!</v>
      </c>
      <c r="J719" s="56" t="e">
        <f t="shared" si="35"/>
        <v>#VALUE!</v>
      </c>
    </row>
    <row r="720" spans="1:10" ht="18">
      <c r="A720" s="49">
        <v>3354</v>
      </c>
      <c r="B720" s="49" t="s">
        <v>1381</v>
      </c>
      <c r="D720" s="49">
        <v>14.921999999999997</v>
      </c>
      <c r="E720" s="49">
        <v>21.084</v>
      </c>
      <c r="F720" s="49">
        <v>18.003</v>
      </c>
      <c r="G720" s="54">
        <v>-1.19</v>
      </c>
      <c r="H720" s="56">
        <f t="shared" si="33"/>
        <v>-17.757179999999995</v>
      </c>
      <c r="I720" s="57">
        <f t="shared" si="34"/>
        <v>-21.423569999999998</v>
      </c>
      <c r="J720" s="56">
        <f t="shared" si="35"/>
        <v>-25.089959999999998</v>
      </c>
    </row>
    <row r="721" spans="1:10" ht="18">
      <c r="A721" s="49">
        <v>3356</v>
      </c>
      <c r="B721" s="49" t="s">
        <v>847</v>
      </c>
      <c r="D721" s="49">
        <v>12.700000000000001</v>
      </c>
      <c r="E721" s="49">
        <v>21.155999999999999</v>
      </c>
      <c r="F721" s="49">
        <v>16.928000000000001</v>
      </c>
      <c r="G721" s="54">
        <v>3.2</v>
      </c>
      <c r="H721" s="56">
        <f t="shared" si="33"/>
        <v>40.640000000000008</v>
      </c>
      <c r="I721" s="57">
        <f t="shared" si="34"/>
        <v>54.169600000000003</v>
      </c>
      <c r="J721" s="56">
        <f t="shared" si="35"/>
        <v>67.699200000000005</v>
      </c>
    </row>
    <row r="722" spans="1:10" ht="18">
      <c r="A722" s="49">
        <v>3357</v>
      </c>
      <c r="B722" s="49" t="s">
        <v>1382</v>
      </c>
      <c r="D722" s="49">
        <v>0</v>
      </c>
      <c r="E722" s="49">
        <v>0</v>
      </c>
      <c r="F722" s="49">
        <v>0</v>
      </c>
      <c r="G722" s="54" t="s">
        <v>271</v>
      </c>
      <c r="H722" s="56" t="e">
        <f t="shared" si="33"/>
        <v>#VALUE!</v>
      </c>
      <c r="I722" s="57" t="e">
        <f t="shared" si="34"/>
        <v>#VALUE!</v>
      </c>
      <c r="J722" s="56" t="e">
        <f t="shared" si="35"/>
        <v>#VALUE!</v>
      </c>
    </row>
    <row r="723" spans="1:10" ht="18">
      <c r="A723" s="49">
        <v>3360</v>
      </c>
      <c r="B723" s="49" t="s">
        <v>1383</v>
      </c>
      <c r="D723" s="49">
        <v>11.846</v>
      </c>
      <c r="E723" s="49">
        <v>26.913999999999998</v>
      </c>
      <c r="F723" s="49">
        <v>19.38</v>
      </c>
      <c r="G723" s="54">
        <v>-1.47</v>
      </c>
      <c r="H723" s="56">
        <f t="shared" si="33"/>
        <v>-17.413619999999998</v>
      </c>
      <c r="I723" s="57">
        <f t="shared" si="34"/>
        <v>-28.488599999999998</v>
      </c>
      <c r="J723" s="56">
        <f t="shared" si="35"/>
        <v>-39.563579999999995</v>
      </c>
    </row>
    <row r="724" spans="1:10" ht="18">
      <c r="A724" s="49">
        <v>3362</v>
      </c>
      <c r="B724" s="49" t="s">
        <v>1384</v>
      </c>
      <c r="D724" s="49">
        <v>24.504000000000001</v>
      </c>
      <c r="E724" s="49">
        <v>24.504000000000001</v>
      </c>
      <c r="F724" s="49">
        <v>24.504000000000001</v>
      </c>
      <c r="G724" s="54">
        <v>2.83</v>
      </c>
      <c r="H724" s="56">
        <f t="shared" si="33"/>
        <v>69.346320000000006</v>
      </c>
      <c r="I724" s="57">
        <f t="shared" si="34"/>
        <v>69.346320000000006</v>
      </c>
      <c r="J724" s="56">
        <f t="shared" si="35"/>
        <v>69.346320000000006</v>
      </c>
    </row>
    <row r="725" spans="1:10" ht="18">
      <c r="A725" s="49">
        <v>3363</v>
      </c>
      <c r="B725" s="49" t="s">
        <v>1385</v>
      </c>
      <c r="D725" s="49">
        <v>16.642000000000003</v>
      </c>
      <c r="E725" s="49">
        <v>27.782</v>
      </c>
      <c r="F725" s="49">
        <v>22.212000000000003</v>
      </c>
      <c r="G725" s="54">
        <v>0.13</v>
      </c>
      <c r="H725" s="56">
        <f t="shared" si="33"/>
        <v>2.1634600000000006</v>
      </c>
      <c r="I725" s="57">
        <f t="shared" si="34"/>
        <v>2.8875600000000006</v>
      </c>
      <c r="J725" s="56">
        <f t="shared" si="35"/>
        <v>3.6116600000000001</v>
      </c>
    </row>
    <row r="726" spans="1:10" ht="18">
      <c r="A726" s="49">
        <v>3372</v>
      </c>
      <c r="B726" s="49" t="s">
        <v>1386</v>
      </c>
      <c r="D726" s="49">
        <v>0</v>
      </c>
      <c r="E726" s="49">
        <v>0</v>
      </c>
      <c r="F726" s="49">
        <v>0</v>
      </c>
      <c r="G726" s="54">
        <v>-1.02</v>
      </c>
      <c r="H726" s="56">
        <f t="shared" si="33"/>
        <v>0</v>
      </c>
      <c r="I726" s="57">
        <f t="shared" si="34"/>
        <v>0</v>
      </c>
      <c r="J726" s="56">
        <f t="shared" si="35"/>
        <v>0</v>
      </c>
    </row>
    <row r="727" spans="1:10" ht="18">
      <c r="A727" s="49">
        <v>3373</v>
      </c>
      <c r="B727" s="49" t="s">
        <v>1387</v>
      </c>
      <c r="D727" s="49">
        <v>8.5560000000000009</v>
      </c>
      <c r="E727" s="49">
        <v>25.776</v>
      </c>
      <c r="F727" s="49">
        <v>17.166</v>
      </c>
      <c r="G727" s="54">
        <v>-1.1299999999999999</v>
      </c>
      <c r="H727" s="56">
        <f t="shared" si="33"/>
        <v>-9.6682799999999993</v>
      </c>
      <c r="I727" s="57">
        <f t="shared" si="34"/>
        <v>-19.397579999999998</v>
      </c>
      <c r="J727" s="56">
        <f t="shared" si="35"/>
        <v>-29.126879999999996</v>
      </c>
    </row>
    <row r="728" spans="1:10" ht="18">
      <c r="A728" s="49">
        <v>3374</v>
      </c>
      <c r="B728" s="49" t="s">
        <v>1388</v>
      </c>
      <c r="D728" s="49">
        <v>0</v>
      </c>
      <c r="E728" s="49">
        <v>0</v>
      </c>
      <c r="F728" s="49">
        <v>0</v>
      </c>
      <c r="G728" s="54">
        <v>5.07</v>
      </c>
      <c r="H728" s="56">
        <f t="shared" si="33"/>
        <v>0</v>
      </c>
      <c r="I728" s="57">
        <f t="shared" si="34"/>
        <v>0</v>
      </c>
      <c r="J728" s="56">
        <f t="shared" si="35"/>
        <v>0</v>
      </c>
    </row>
    <row r="729" spans="1:10" ht="18">
      <c r="A729" s="49">
        <v>3376</v>
      </c>
      <c r="B729" s="49" t="s">
        <v>848</v>
      </c>
      <c r="D729" s="49">
        <v>11.103999999999999</v>
      </c>
      <c r="E729" s="49">
        <v>20.723999999999997</v>
      </c>
      <c r="F729" s="49">
        <v>15.913999999999998</v>
      </c>
      <c r="G729" s="54">
        <v>4.3</v>
      </c>
      <c r="H729" s="56">
        <f t="shared" si="33"/>
        <v>47.747199999999992</v>
      </c>
      <c r="I729" s="57">
        <f t="shared" si="34"/>
        <v>68.430199999999985</v>
      </c>
      <c r="J729" s="56">
        <f t="shared" si="35"/>
        <v>89.113199999999978</v>
      </c>
    </row>
    <row r="730" spans="1:10" ht="18">
      <c r="A730" s="49">
        <v>3379</v>
      </c>
      <c r="B730" s="49" t="s">
        <v>1389</v>
      </c>
      <c r="D730" s="49">
        <v>15.114000000000001</v>
      </c>
      <c r="E730" s="49">
        <v>15.114000000000001</v>
      </c>
      <c r="F730" s="49">
        <v>15.114000000000001</v>
      </c>
      <c r="G730" s="54">
        <v>-0.12</v>
      </c>
      <c r="H730" s="56">
        <f t="shared" si="33"/>
        <v>-1.81368</v>
      </c>
      <c r="I730" s="57">
        <f t="shared" si="34"/>
        <v>-1.81368</v>
      </c>
      <c r="J730" s="56">
        <f t="shared" si="35"/>
        <v>-1.81368</v>
      </c>
    </row>
    <row r="731" spans="1:10" ht="18">
      <c r="A731" s="49">
        <v>3380</v>
      </c>
      <c r="B731" s="49" t="s">
        <v>849</v>
      </c>
      <c r="D731" s="49">
        <v>10.382000000000001</v>
      </c>
      <c r="E731" s="49">
        <v>24.687999999999999</v>
      </c>
      <c r="F731" s="49">
        <v>17.535</v>
      </c>
      <c r="G731" s="54">
        <v>1.01</v>
      </c>
      <c r="H731" s="56">
        <f t="shared" si="33"/>
        <v>10.485820000000002</v>
      </c>
      <c r="I731" s="57">
        <f t="shared" si="34"/>
        <v>17.710350000000002</v>
      </c>
      <c r="J731" s="56">
        <f t="shared" si="35"/>
        <v>24.93488</v>
      </c>
    </row>
    <row r="732" spans="1:10" ht="18">
      <c r="A732" s="49">
        <v>3388</v>
      </c>
      <c r="B732" s="49" t="s">
        <v>1390</v>
      </c>
      <c r="D732" s="49">
        <v>8.26</v>
      </c>
      <c r="E732" s="49">
        <v>17.332000000000001</v>
      </c>
      <c r="F732" s="49">
        <v>12.795999999999999</v>
      </c>
      <c r="G732" s="54">
        <v>3.52</v>
      </c>
      <c r="H732" s="56">
        <f t="shared" si="33"/>
        <v>29.075199999999999</v>
      </c>
      <c r="I732" s="57">
        <f t="shared" si="34"/>
        <v>45.041919999999998</v>
      </c>
      <c r="J732" s="56">
        <f t="shared" si="35"/>
        <v>61.00864</v>
      </c>
    </row>
    <row r="733" spans="1:10" ht="18">
      <c r="A733" s="49">
        <v>3390</v>
      </c>
      <c r="B733" s="49" t="s">
        <v>1391</v>
      </c>
      <c r="D733" s="49">
        <v>7.9939999999999998</v>
      </c>
      <c r="E733" s="49">
        <v>18.062000000000001</v>
      </c>
      <c r="F733" s="49">
        <v>13.028</v>
      </c>
      <c r="G733" s="54">
        <v>1</v>
      </c>
      <c r="H733" s="56">
        <f t="shared" si="33"/>
        <v>7.9939999999999998</v>
      </c>
      <c r="I733" s="57">
        <f t="shared" si="34"/>
        <v>13.028</v>
      </c>
      <c r="J733" s="56">
        <f t="shared" si="35"/>
        <v>18.062000000000001</v>
      </c>
    </row>
    <row r="734" spans="1:10" ht="18">
      <c r="A734" s="49">
        <v>3402</v>
      </c>
      <c r="B734" s="49" t="s">
        <v>1392</v>
      </c>
      <c r="D734" s="49">
        <v>7.0319999999999991</v>
      </c>
      <c r="E734" s="49">
        <v>14.353999999999999</v>
      </c>
      <c r="F734" s="49">
        <v>10.693</v>
      </c>
      <c r="G734" s="54">
        <v>5.46</v>
      </c>
      <c r="H734" s="56">
        <f t="shared" si="33"/>
        <v>38.394719999999992</v>
      </c>
      <c r="I734" s="57">
        <f t="shared" si="34"/>
        <v>58.383779999999994</v>
      </c>
      <c r="J734" s="56">
        <f t="shared" si="35"/>
        <v>78.372839999999997</v>
      </c>
    </row>
    <row r="735" spans="1:10" ht="18">
      <c r="A735" s="49">
        <v>3406</v>
      </c>
      <c r="B735" s="49" t="s">
        <v>850</v>
      </c>
      <c r="D735" s="49">
        <v>15.981999999999999</v>
      </c>
      <c r="E735" s="49">
        <v>27.717999999999996</v>
      </c>
      <c r="F735" s="49">
        <v>21.849999999999998</v>
      </c>
      <c r="G735" s="54">
        <v>27.25</v>
      </c>
      <c r="H735" s="56">
        <f t="shared" si="33"/>
        <v>435.5095</v>
      </c>
      <c r="I735" s="57">
        <f t="shared" si="34"/>
        <v>595.41249999999991</v>
      </c>
      <c r="J735" s="56">
        <f t="shared" si="35"/>
        <v>755.31549999999993</v>
      </c>
    </row>
    <row r="736" spans="1:10" ht="18">
      <c r="A736" s="49">
        <v>3413</v>
      </c>
      <c r="B736" s="49" t="s">
        <v>851</v>
      </c>
      <c r="D736" s="49">
        <v>10.504</v>
      </c>
      <c r="E736" s="49">
        <v>17.32</v>
      </c>
      <c r="F736" s="49">
        <v>13.911999999999999</v>
      </c>
      <c r="G736" s="54">
        <v>20.48</v>
      </c>
      <c r="H736" s="56">
        <f t="shared" si="33"/>
        <v>215.12191999999999</v>
      </c>
      <c r="I736" s="57">
        <f t="shared" si="34"/>
        <v>284.91775999999999</v>
      </c>
      <c r="J736" s="56">
        <f t="shared" si="35"/>
        <v>354.71359999999999</v>
      </c>
    </row>
    <row r="737" spans="1:10" ht="18">
      <c r="A737" s="49">
        <v>3416</v>
      </c>
      <c r="B737" s="49" t="s">
        <v>852</v>
      </c>
      <c r="D737" s="49">
        <v>11.972000000000001</v>
      </c>
      <c r="E737" s="49">
        <v>20.511999999999997</v>
      </c>
      <c r="F737" s="49">
        <v>16.241999999999997</v>
      </c>
      <c r="G737" s="54">
        <v>6.62</v>
      </c>
      <c r="H737" s="56">
        <f t="shared" si="33"/>
        <v>79.254640000000009</v>
      </c>
      <c r="I737" s="57">
        <f t="shared" si="34"/>
        <v>107.52203999999999</v>
      </c>
      <c r="J737" s="56">
        <f t="shared" si="35"/>
        <v>135.78943999999998</v>
      </c>
    </row>
    <row r="738" spans="1:10" ht="18">
      <c r="A738" s="49">
        <v>3419</v>
      </c>
      <c r="B738" s="49" t="s">
        <v>853</v>
      </c>
      <c r="D738" s="49">
        <v>0</v>
      </c>
      <c r="E738" s="49">
        <v>0</v>
      </c>
      <c r="F738" s="49">
        <v>0</v>
      </c>
      <c r="G738" s="54">
        <v>-1</v>
      </c>
      <c r="H738" s="56">
        <f t="shared" si="33"/>
        <v>0</v>
      </c>
      <c r="I738" s="57">
        <f t="shared" si="34"/>
        <v>0</v>
      </c>
      <c r="J738" s="56">
        <f t="shared" si="35"/>
        <v>0</v>
      </c>
    </row>
    <row r="739" spans="1:10" ht="18">
      <c r="A739" s="49">
        <v>3426</v>
      </c>
      <c r="B739" s="49" t="s">
        <v>1393</v>
      </c>
      <c r="D739" s="49">
        <v>14.363999999999999</v>
      </c>
      <c r="E739" s="49">
        <v>17.657999999999998</v>
      </c>
      <c r="F739" s="49">
        <v>16.010999999999999</v>
      </c>
      <c r="G739" s="54">
        <v>2.36</v>
      </c>
      <c r="H739" s="56">
        <f t="shared" si="33"/>
        <v>33.899039999999992</v>
      </c>
      <c r="I739" s="57">
        <f t="shared" si="34"/>
        <v>37.785959999999996</v>
      </c>
      <c r="J739" s="56">
        <f t="shared" si="35"/>
        <v>41.672879999999992</v>
      </c>
    </row>
    <row r="740" spans="1:10" ht="18">
      <c r="A740" s="49">
        <v>3430</v>
      </c>
      <c r="B740" s="49" t="s">
        <v>1394</v>
      </c>
      <c r="D740" s="49">
        <v>0</v>
      </c>
      <c r="E740" s="49">
        <v>0</v>
      </c>
      <c r="F740" s="49">
        <v>0</v>
      </c>
      <c r="G740" s="54" t="s">
        <v>271</v>
      </c>
      <c r="H740" s="56" t="e">
        <f t="shared" si="33"/>
        <v>#VALUE!</v>
      </c>
      <c r="I740" s="57" t="e">
        <f t="shared" si="34"/>
        <v>#VALUE!</v>
      </c>
      <c r="J740" s="56" t="e">
        <f t="shared" si="35"/>
        <v>#VALUE!</v>
      </c>
    </row>
    <row r="741" spans="1:10" ht="18">
      <c r="A741" s="49">
        <v>3432</v>
      </c>
      <c r="B741" s="49" t="s">
        <v>854</v>
      </c>
      <c r="D741" s="49">
        <v>11.556000000000001</v>
      </c>
      <c r="E741" s="49">
        <v>22.572000000000003</v>
      </c>
      <c r="F741" s="49">
        <v>17.064</v>
      </c>
      <c r="G741" s="54">
        <v>-0.63</v>
      </c>
      <c r="H741" s="56">
        <f t="shared" si="33"/>
        <v>-7.2802800000000003</v>
      </c>
      <c r="I741" s="57">
        <f t="shared" si="34"/>
        <v>-10.75032</v>
      </c>
      <c r="J741" s="56">
        <f t="shared" si="35"/>
        <v>-14.220360000000001</v>
      </c>
    </row>
    <row r="742" spans="1:10" ht="18">
      <c r="A742" s="49">
        <v>3434</v>
      </c>
      <c r="B742" s="49" t="s">
        <v>1395</v>
      </c>
      <c r="D742" s="49">
        <v>14.26</v>
      </c>
      <c r="E742" s="49">
        <v>19.757999999999999</v>
      </c>
      <c r="F742" s="49">
        <v>17.009</v>
      </c>
      <c r="G742" s="54">
        <v>0.55000000000000004</v>
      </c>
      <c r="H742" s="56">
        <f t="shared" si="33"/>
        <v>7.8430000000000009</v>
      </c>
      <c r="I742" s="57">
        <f t="shared" si="34"/>
        <v>9.3549500000000005</v>
      </c>
      <c r="J742" s="56">
        <f t="shared" si="35"/>
        <v>10.866900000000001</v>
      </c>
    </row>
    <row r="743" spans="1:10" ht="18">
      <c r="A743" s="49">
        <v>3437</v>
      </c>
      <c r="B743" s="49" t="s">
        <v>855</v>
      </c>
      <c r="D743" s="49">
        <v>0</v>
      </c>
      <c r="E743" s="49">
        <v>0</v>
      </c>
      <c r="F743" s="49">
        <v>0</v>
      </c>
      <c r="G743" s="54">
        <v>-0.7</v>
      </c>
      <c r="H743" s="56">
        <f t="shared" si="33"/>
        <v>0</v>
      </c>
      <c r="I743" s="57">
        <f t="shared" si="34"/>
        <v>0</v>
      </c>
      <c r="J743" s="56">
        <f t="shared" si="35"/>
        <v>0</v>
      </c>
    </row>
    <row r="744" spans="1:10" ht="18">
      <c r="A744" s="49">
        <v>3438</v>
      </c>
      <c r="B744" s="49" t="s">
        <v>1396</v>
      </c>
      <c r="D744" s="49">
        <v>11.895999999999999</v>
      </c>
      <c r="E744" s="49">
        <v>24.2</v>
      </c>
      <c r="F744" s="49">
        <v>18.047999999999998</v>
      </c>
      <c r="G744" s="54">
        <v>2.0816681711721701E-17</v>
      </c>
      <c r="H744" s="56">
        <f t="shared" si="33"/>
        <v>2.4763524564264133E-16</v>
      </c>
      <c r="I744" s="57">
        <f t="shared" si="34"/>
        <v>3.7569947153315321E-16</v>
      </c>
      <c r="J744" s="56">
        <f t="shared" si="35"/>
        <v>5.0376369742366514E-16</v>
      </c>
    </row>
    <row r="745" spans="1:10" ht="18">
      <c r="A745" s="49">
        <v>3441</v>
      </c>
      <c r="B745" s="49" t="s">
        <v>1397</v>
      </c>
      <c r="D745" s="49">
        <v>18.234000000000002</v>
      </c>
      <c r="E745" s="49">
        <v>23.868000000000002</v>
      </c>
      <c r="F745" s="49">
        <v>21.051000000000002</v>
      </c>
      <c r="G745" s="54">
        <v>0.51</v>
      </c>
      <c r="H745" s="56">
        <f t="shared" si="33"/>
        <v>9.2993400000000008</v>
      </c>
      <c r="I745" s="57">
        <f t="shared" si="34"/>
        <v>10.736010000000002</v>
      </c>
      <c r="J745" s="56">
        <f t="shared" si="35"/>
        <v>12.172680000000001</v>
      </c>
    </row>
    <row r="746" spans="1:10" ht="18">
      <c r="A746" s="49">
        <v>3443</v>
      </c>
      <c r="B746" s="49" t="s">
        <v>856</v>
      </c>
      <c r="D746" s="49">
        <v>20.806000000000001</v>
      </c>
      <c r="E746" s="49">
        <v>29.434000000000005</v>
      </c>
      <c r="F746" s="49">
        <v>25.120000000000005</v>
      </c>
      <c r="G746" s="54">
        <v>26.18</v>
      </c>
      <c r="H746" s="56">
        <f t="shared" si="33"/>
        <v>544.70108000000005</v>
      </c>
      <c r="I746" s="57">
        <f t="shared" si="34"/>
        <v>657.64160000000015</v>
      </c>
      <c r="J746" s="56">
        <f t="shared" si="35"/>
        <v>770.58212000000015</v>
      </c>
    </row>
    <row r="747" spans="1:10" ht="18">
      <c r="A747" s="49">
        <v>3444</v>
      </c>
      <c r="B747" s="49" t="s">
        <v>1398</v>
      </c>
      <c r="D747" s="49">
        <v>9.7039999999999988</v>
      </c>
      <c r="E747" s="49">
        <v>20.946000000000002</v>
      </c>
      <c r="F747" s="49">
        <v>15.324999999999999</v>
      </c>
      <c r="G747" s="54">
        <v>2.16</v>
      </c>
      <c r="H747" s="56">
        <f t="shared" si="33"/>
        <v>20.960639999999998</v>
      </c>
      <c r="I747" s="57">
        <f t="shared" si="34"/>
        <v>33.102000000000004</v>
      </c>
      <c r="J747" s="56">
        <f t="shared" si="35"/>
        <v>45.243360000000003</v>
      </c>
    </row>
    <row r="748" spans="1:10" ht="18">
      <c r="A748" s="49">
        <v>3447</v>
      </c>
      <c r="B748" s="49" t="s">
        <v>857</v>
      </c>
      <c r="D748" s="49">
        <v>0</v>
      </c>
      <c r="E748" s="49">
        <v>0</v>
      </c>
      <c r="F748" s="49">
        <v>0</v>
      </c>
      <c r="G748" s="54" t="s">
        <v>271</v>
      </c>
      <c r="H748" s="56" t="e">
        <f t="shared" si="33"/>
        <v>#VALUE!</v>
      </c>
      <c r="I748" s="57" t="e">
        <f t="shared" si="34"/>
        <v>#VALUE!</v>
      </c>
      <c r="J748" s="56" t="e">
        <f t="shared" si="35"/>
        <v>#VALUE!</v>
      </c>
    </row>
    <row r="749" spans="1:10" ht="18">
      <c r="A749" s="49">
        <v>3450</v>
      </c>
      <c r="B749" s="49" t="s">
        <v>858</v>
      </c>
      <c r="D749" s="49">
        <v>9.8219999999999992</v>
      </c>
      <c r="E749" s="49">
        <v>23.97</v>
      </c>
      <c r="F749" s="49">
        <v>16.896000000000001</v>
      </c>
      <c r="G749" s="54">
        <v>-0.52</v>
      </c>
      <c r="H749" s="56">
        <f t="shared" si="33"/>
        <v>-5.1074399999999995</v>
      </c>
      <c r="I749" s="57">
        <f t="shared" si="34"/>
        <v>-8.7859200000000008</v>
      </c>
      <c r="J749" s="56">
        <f t="shared" si="35"/>
        <v>-12.464399999999999</v>
      </c>
    </row>
    <row r="750" spans="1:10" ht="18">
      <c r="A750" s="49">
        <v>3454</v>
      </c>
      <c r="B750" s="49" t="s">
        <v>859</v>
      </c>
      <c r="D750" s="49">
        <v>12.086</v>
      </c>
      <c r="E750" s="49">
        <v>30.660000000000004</v>
      </c>
      <c r="F750" s="49">
        <v>21.373000000000001</v>
      </c>
      <c r="G750" s="54">
        <v>5.65</v>
      </c>
      <c r="H750" s="56">
        <f t="shared" si="33"/>
        <v>68.285900000000012</v>
      </c>
      <c r="I750" s="57">
        <f t="shared" si="34"/>
        <v>120.75745000000002</v>
      </c>
      <c r="J750" s="56">
        <f t="shared" si="35"/>
        <v>173.22900000000004</v>
      </c>
    </row>
    <row r="751" spans="1:10" ht="18">
      <c r="A751" s="49">
        <v>3455</v>
      </c>
      <c r="B751" s="49" t="s">
        <v>1399</v>
      </c>
      <c r="D751" s="49">
        <v>7.1479999999999988</v>
      </c>
      <c r="E751" s="49">
        <v>21.702000000000002</v>
      </c>
      <c r="F751" s="49">
        <v>14.425000000000001</v>
      </c>
      <c r="G751" s="54">
        <v>5.25</v>
      </c>
      <c r="H751" s="56">
        <f t="shared" si="33"/>
        <v>37.526999999999994</v>
      </c>
      <c r="I751" s="57">
        <f t="shared" si="34"/>
        <v>75.731250000000003</v>
      </c>
      <c r="J751" s="56">
        <f t="shared" si="35"/>
        <v>113.9355</v>
      </c>
    </row>
    <row r="752" spans="1:10" ht="18">
      <c r="A752" s="49">
        <v>3465</v>
      </c>
      <c r="B752" s="49" t="s">
        <v>1400</v>
      </c>
      <c r="D752" s="49">
        <v>0</v>
      </c>
      <c r="E752" s="49">
        <v>0</v>
      </c>
      <c r="F752" s="49">
        <v>0</v>
      </c>
      <c r="G752" s="54">
        <v>0.36</v>
      </c>
      <c r="H752" s="56">
        <f t="shared" si="33"/>
        <v>0</v>
      </c>
      <c r="I752" s="57">
        <f t="shared" si="34"/>
        <v>0</v>
      </c>
      <c r="J752" s="56">
        <f t="shared" si="35"/>
        <v>0</v>
      </c>
    </row>
    <row r="753" spans="1:10" ht="18">
      <c r="A753" s="49">
        <v>3466</v>
      </c>
      <c r="B753" s="49" t="s">
        <v>1401</v>
      </c>
      <c r="D753" s="49">
        <v>12.816000000000003</v>
      </c>
      <c r="E753" s="49">
        <v>19.93</v>
      </c>
      <c r="F753" s="49">
        <v>16.373000000000001</v>
      </c>
      <c r="G753" s="54">
        <v>-3.01</v>
      </c>
      <c r="H753" s="56">
        <f t="shared" si="33"/>
        <v>-38.576160000000002</v>
      </c>
      <c r="I753" s="57">
        <f t="shared" si="34"/>
        <v>-49.282730000000001</v>
      </c>
      <c r="J753" s="56">
        <f t="shared" si="35"/>
        <v>-59.989299999999993</v>
      </c>
    </row>
    <row r="754" spans="1:10" ht="18">
      <c r="A754" s="49">
        <v>3479</v>
      </c>
      <c r="B754" s="49" t="s">
        <v>1402</v>
      </c>
      <c r="D754" s="49">
        <v>11.013999999999999</v>
      </c>
      <c r="E754" s="49">
        <v>17.077999999999999</v>
      </c>
      <c r="F754" s="49">
        <v>14.045999999999999</v>
      </c>
      <c r="G754" s="54">
        <v>8.3800000000000008</v>
      </c>
      <c r="H754" s="56">
        <f t="shared" si="33"/>
        <v>92.297319999999999</v>
      </c>
      <c r="I754" s="57">
        <f t="shared" si="34"/>
        <v>117.70548000000001</v>
      </c>
      <c r="J754" s="56">
        <f t="shared" si="35"/>
        <v>143.11364</v>
      </c>
    </row>
    <row r="755" spans="1:10" ht="18">
      <c r="A755" s="49">
        <v>3481</v>
      </c>
      <c r="B755" s="49" t="s">
        <v>860</v>
      </c>
      <c r="D755" s="49">
        <v>5.7200000000000006</v>
      </c>
      <c r="E755" s="49">
        <v>22.782</v>
      </c>
      <c r="F755" s="49">
        <v>14.251000000000001</v>
      </c>
      <c r="G755" s="54">
        <v>-2.0099999999999998</v>
      </c>
      <c r="H755" s="56">
        <f t="shared" si="33"/>
        <v>-11.497199999999999</v>
      </c>
      <c r="I755" s="57">
        <f t="shared" si="34"/>
        <v>-28.64451</v>
      </c>
      <c r="J755" s="56">
        <f t="shared" si="35"/>
        <v>-45.791819999999994</v>
      </c>
    </row>
    <row r="756" spans="1:10" ht="18">
      <c r="A756" s="49">
        <v>3483</v>
      </c>
      <c r="B756" s="49" t="s">
        <v>1403</v>
      </c>
      <c r="D756" s="49">
        <v>9.6379999999999999</v>
      </c>
      <c r="E756" s="49">
        <v>29.661999999999999</v>
      </c>
      <c r="F756" s="49">
        <v>19.649999999999999</v>
      </c>
      <c r="G756" s="54">
        <v>8.0299999999999994</v>
      </c>
      <c r="H756" s="56">
        <f t="shared" si="33"/>
        <v>77.393139999999988</v>
      </c>
      <c r="I756" s="57">
        <f t="shared" si="34"/>
        <v>157.78949999999998</v>
      </c>
      <c r="J756" s="56">
        <f t="shared" si="35"/>
        <v>238.18585999999996</v>
      </c>
    </row>
    <row r="757" spans="1:10" ht="18">
      <c r="A757" s="49">
        <v>3484</v>
      </c>
      <c r="B757" s="49" t="s">
        <v>1404</v>
      </c>
      <c r="D757" s="49">
        <v>8.652000000000001</v>
      </c>
      <c r="E757" s="49">
        <v>16.612000000000002</v>
      </c>
      <c r="F757" s="49">
        <v>12.632000000000001</v>
      </c>
      <c r="G757" s="54">
        <v>1.55</v>
      </c>
      <c r="H757" s="56">
        <f t="shared" si="33"/>
        <v>13.410600000000002</v>
      </c>
      <c r="I757" s="57">
        <f t="shared" si="34"/>
        <v>19.579600000000003</v>
      </c>
      <c r="J757" s="56">
        <f t="shared" si="35"/>
        <v>25.748600000000003</v>
      </c>
    </row>
    <row r="758" spans="1:10" ht="18">
      <c r="A758" s="49">
        <v>3489</v>
      </c>
      <c r="B758" s="49" t="s">
        <v>1405</v>
      </c>
      <c r="D758" s="49">
        <v>13.474</v>
      </c>
      <c r="E758" s="49">
        <v>25.291999999999998</v>
      </c>
      <c r="F758" s="49">
        <v>19.382999999999999</v>
      </c>
      <c r="G758" s="54">
        <v>0.12</v>
      </c>
      <c r="H758" s="56">
        <f t="shared" si="33"/>
        <v>1.6168799999999999</v>
      </c>
      <c r="I758" s="57">
        <f t="shared" si="34"/>
        <v>2.3259599999999998</v>
      </c>
      <c r="J758" s="56">
        <f t="shared" si="35"/>
        <v>3.0350399999999995</v>
      </c>
    </row>
    <row r="759" spans="1:10" ht="18">
      <c r="A759" s="49">
        <v>3490</v>
      </c>
      <c r="B759" s="49" t="s">
        <v>1406</v>
      </c>
      <c r="D759" s="49">
        <v>8.5839999999999996</v>
      </c>
      <c r="E759" s="49">
        <v>20.167999999999999</v>
      </c>
      <c r="F759" s="49">
        <v>14.375999999999999</v>
      </c>
      <c r="G759" s="54">
        <v>0.94</v>
      </c>
      <c r="H759" s="56">
        <f t="shared" si="33"/>
        <v>8.0689599999999988</v>
      </c>
      <c r="I759" s="57">
        <f t="shared" si="34"/>
        <v>13.513439999999999</v>
      </c>
      <c r="J759" s="56">
        <f t="shared" si="35"/>
        <v>18.957919999999998</v>
      </c>
    </row>
    <row r="760" spans="1:10" ht="18">
      <c r="A760" s="49">
        <v>3491</v>
      </c>
      <c r="B760" s="49" t="s">
        <v>1407</v>
      </c>
      <c r="D760" s="49">
        <v>15.693999999999999</v>
      </c>
      <c r="E760" s="49">
        <v>26.276</v>
      </c>
      <c r="F760" s="49">
        <v>20.984999999999999</v>
      </c>
      <c r="G760" s="54">
        <v>3.2</v>
      </c>
      <c r="H760" s="56">
        <f t="shared" si="33"/>
        <v>50.220799999999997</v>
      </c>
      <c r="I760" s="57">
        <f t="shared" si="34"/>
        <v>67.152000000000001</v>
      </c>
      <c r="J760" s="56">
        <f t="shared" si="35"/>
        <v>84.083200000000005</v>
      </c>
    </row>
    <row r="761" spans="1:10" ht="18">
      <c r="A761" s="49">
        <v>3492</v>
      </c>
      <c r="B761" s="49" t="s">
        <v>1408</v>
      </c>
      <c r="D761" s="49">
        <v>12.481999999999999</v>
      </c>
      <c r="E761" s="49">
        <v>18.423999999999999</v>
      </c>
      <c r="F761" s="49">
        <v>15.452999999999999</v>
      </c>
      <c r="G761" s="54">
        <v>0.63</v>
      </c>
      <c r="H761" s="56">
        <f t="shared" si="33"/>
        <v>7.8636599999999994</v>
      </c>
      <c r="I761" s="57">
        <f t="shared" si="34"/>
        <v>9.7353899999999989</v>
      </c>
      <c r="J761" s="56">
        <f t="shared" si="35"/>
        <v>11.60712</v>
      </c>
    </row>
    <row r="762" spans="1:10" ht="18">
      <c r="A762" s="49">
        <v>3494</v>
      </c>
      <c r="B762" s="49" t="s">
        <v>861</v>
      </c>
      <c r="D762" s="49">
        <v>23.152000000000005</v>
      </c>
      <c r="E762" s="49">
        <v>23.152000000000005</v>
      </c>
      <c r="F762" s="49">
        <v>23.152000000000005</v>
      </c>
      <c r="G762" s="54">
        <v>-1.52</v>
      </c>
      <c r="H762" s="56">
        <f t="shared" si="33"/>
        <v>-35.191040000000008</v>
      </c>
      <c r="I762" s="57">
        <f t="shared" si="34"/>
        <v>-35.191040000000008</v>
      </c>
      <c r="J762" s="56">
        <f t="shared" si="35"/>
        <v>-35.191040000000008</v>
      </c>
    </row>
    <row r="763" spans="1:10" ht="18">
      <c r="A763" s="49">
        <v>3498</v>
      </c>
      <c r="B763" s="49" t="s">
        <v>1409</v>
      </c>
      <c r="D763" s="49">
        <v>10.545999999999999</v>
      </c>
      <c r="E763" s="49">
        <v>17.939999999999998</v>
      </c>
      <c r="F763" s="49">
        <v>14.242999999999999</v>
      </c>
      <c r="G763" s="54">
        <v>-2.42</v>
      </c>
      <c r="H763" s="56">
        <f t="shared" si="33"/>
        <v>-25.521319999999999</v>
      </c>
      <c r="I763" s="57">
        <f t="shared" si="34"/>
        <v>-34.468059999999994</v>
      </c>
      <c r="J763" s="56">
        <f t="shared" si="35"/>
        <v>-43.414799999999993</v>
      </c>
    </row>
    <row r="764" spans="1:10" ht="18">
      <c r="A764" s="49">
        <v>3499</v>
      </c>
      <c r="B764" s="49" t="s">
        <v>1410</v>
      </c>
      <c r="D764" s="49">
        <v>0</v>
      </c>
      <c r="E764" s="49">
        <v>0</v>
      </c>
      <c r="F764" s="49">
        <v>0</v>
      </c>
      <c r="G764" s="54">
        <v>-0.61</v>
      </c>
      <c r="H764" s="56">
        <f t="shared" si="33"/>
        <v>0</v>
      </c>
      <c r="I764" s="57">
        <f t="shared" si="34"/>
        <v>0</v>
      </c>
      <c r="J764" s="56">
        <f t="shared" si="35"/>
        <v>0</v>
      </c>
    </row>
    <row r="765" spans="1:10" ht="18">
      <c r="A765" s="49">
        <v>3501</v>
      </c>
      <c r="B765" s="49" t="s">
        <v>862</v>
      </c>
      <c r="D765" s="49">
        <v>8.0259999999999998</v>
      </c>
      <c r="E765" s="49">
        <v>14.788</v>
      </c>
      <c r="F765" s="49">
        <v>11.407</v>
      </c>
      <c r="G765" s="54">
        <v>4.29</v>
      </c>
      <c r="H765" s="56">
        <f t="shared" si="33"/>
        <v>34.431539999999998</v>
      </c>
      <c r="I765" s="57">
        <f t="shared" si="34"/>
        <v>48.936030000000002</v>
      </c>
      <c r="J765" s="56">
        <f t="shared" si="35"/>
        <v>63.440519999999999</v>
      </c>
    </row>
    <row r="766" spans="1:10" ht="18">
      <c r="A766" s="49">
        <v>3504</v>
      </c>
      <c r="B766" s="49" t="s">
        <v>863</v>
      </c>
      <c r="D766" s="49">
        <v>13.782</v>
      </c>
      <c r="E766" s="49">
        <v>17.553999999999998</v>
      </c>
      <c r="F766" s="49">
        <v>15.667999999999999</v>
      </c>
      <c r="G766" s="54">
        <v>-2.52</v>
      </c>
      <c r="H766" s="56">
        <f t="shared" si="33"/>
        <v>-34.730640000000001</v>
      </c>
      <c r="I766" s="57">
        <f t="shared" si="34"/>
        <v>-39.483359999999998</v>
      </c>
      <c r="J766" s="56">
        <f t="shared" si="35"/>
        <v>-44.236079999999994</v>
      </c>
    </row>
    <row r="767" spans="1:10" ht="18">
      <c r="A767" s="49">
        <v>3508</v>
      </c>
      <c r="B767" s="49" t="s">
        <v>1411</v>
      </c>
      <c r="D767" s="49">
        <v>17.497999999999998</v>
      </c>
      <c r="E767" s="49">
        <v>17.497999999999998</v>
      </c>
      <c r="F767" s="49">
        <v>17.497999999999998</v>
      </c>
      <c r="G767" s="54">
        <v>-1.95</v>
      </c>
      <c r="H767" s="56">
        <f t="shared" si="33"/>
        <v>-34.121099999999991</v>
      </c>
      <c r="I767" s="57">
        <f t="shared" si="34"/>
        <v>-34.121099999999991</v>
      </c>
      <c r="J767" s="56">
        <f t="shared" si="35"/>
        <v>-34.121099999999991</v>
      </c>
    </row>
    <row r="768" spans="1:10" ht="18">
      <c r="A768" s="49">
        <v>3511</v>
      </c>
      <c r="B768" s="49" t="s">
        <v>1412</v>
      </c>
      <c r="D768" s="49">
        <v>13.356</v>
      </c>
      <c r="E768" s="49">
        <v>23.585999999999999</v>
      </c>
      <c r="F768" s="49">
        <v>18.471</v>
      </c>
      <c r="G768" s="54">
        <v>-1.04</v>
      </c>
      <c r="H768" s="56">
        <f t="shared" si="33"/>
        <v>-13.89024</v>
      </c>
      <c r="I768" s="57">
        <f t="shared" si="34"/>
        <v>-19.20984</v>
      </c>
      <c r="J768" s="56">
        <f t="shared" si="35"/>
        <v>-24.529440000000001</v>
      </c>
    </row>
    <row r="769" spans="1:10" ht="18">
      <c r="A769" s="49">
        <v>3512</v>
      </c>
      <c r="B769" s="49" t="s">
        <v>1413</v>
      </c>
      <c r="D769" s="49">
        <v>14.314000000000002</v>
      </c>
      <c r="E769" s="49">
        <v>18.55</v>
      </c>
      <c r="F769" s="49">
        <v>16.432000000000002</v>
      </c>
      <c r="G769" s="54">
        <v>5.45</v>
      </c>
      <c r="H769" s="56">
        <f t="shared" si="33"/>
        <v>78.011300000000006</v>
      </c>
      <c r="I769" s="57">
        <f t="shared" si="34"/>
        <v>89.554400000000015</v>
      </c>
      <c r="J769" s="56">
        <f t="shared" si="35"/>
        <v>101.09750000000001</v>
      </c>
    </row>
    <row r="770" spans="1:10" ht="18">
      <c r="A770" s="49">
        <v>3515</v>
      </c>
      <c r="B770" s="49" t="s">
        <v>864</v>
      </c>
      <c r="D770" s="49">
        <v>8.8960000000000008</v>
      </c>
      <c r="E770" s="49">
        <v>19.485999999999997</v>
      </c>
      <c r="F770" s="49">
        <v>14.190999999999999</v>
      </c>
      <c r="G770" s="54">
        <v>7.54</v>
      </c>
      <c r="H770" s="56">
        <f t="shared" si="33"/>
        <v>67.075839999999999</v>
      </c>
      <c r="I770" s="57">
        <f t="shared" si="34"/>
        <v>107.00013999999999</v>
      </c>
      <c r="J770" s="56">
        <f t="shared" si="35"/>
        <v>146.92443999999998</v>
      </c>
    </row>
    <row r="771" spans="1:10" ht="18">
      <c r="A771" s="49">
        <v>3516</v>
      </c>
      <c r="B771" s="49" t="s">
        <v>1414</v>
      </c>
      <c r="D771" s="49">
        <v>20.95</v>
      </c>
      <c r="E771" s="49">
        <v>20.95</v>
      </c>
      <c r="F771" s="49">
        <v>20.95</v>
      </c>
      <c r="G771" s="54">
        <v>0.28000000000000003</v>
      </c>
      <c r="H771" s="56">
        <f t="shared" ref="H771:H834" si="36">G771*D771</f>
        <v>5.8660000000000005</v>
      </c>
      <c r="I771" s="57">
        <f t="shared" ref="I771:I834" si="37">G771*F771</f>
        <v>5.8660000000000005</v>
      </c>
      <c r="J771" s="56">
        <f t="shared" ref="J771:J834" si="38">G771*E771</f>
        <v>5.8660000000000005</v>
      </c>
    </row>
    <row r="772" spans="1:10" ht="18">
      <c r="A772" s="49">
        <v>3518</v>
      </c>
      <c r="B772" s="49" t="s">
        <v>865</v>
      </c>
      <c r="D772" s="49">
        <v>0</v>
      </c>
      <c r="E772" s="49">
        <v>0</v>
      </c>
      <c r="F772" s="49">
        <v>0</v>
      </c>
      <c r="G772" s="54">
        <v>-0.59</v>
      </c>
      <c r="H772" s="56">
        <f t="shared" si="36"/>
        <v>0</v>
      </c>
      <c r="I772" s="57">
        <f t="shared" si="37"/>
        <v>0</v>
      </c>
      <c r="J772" s="56">
        <f t="shared" si="38"/>
        <v>0</v>
      </c>
    </row>
    <row r="773" spans="1:10" ht="18">
      <c r="A773" s="49">
        <v>3520</v>
      </c>
      <c r="B773" s="49" t="s">
        <v>1415</v>
      </c>
      <c r="D773" s="49">
        <v>16.878</v>
      </c>
      <c r="E773" s="49">
        <v>16.878</v>
      </c>
      <c r="F773" s="49">
        <v>16.878</v>
      </c>
      <c r="G773" s="54">
        <v>0.06</v>
      </c>
      <c r="H773" s="56">
        <f t="shared" si="36"/>
        <v>1.01268</v>
      </c>
      <c r="I773" s="57">
        <f t="shared" si="37"/>
        <v>1.01268</v>
      </c>
      <c r="J773" s="56">
        <f t="shared" si="38"/>
        <v>1.01268</v>
      </c>
    </row>
    <row r="774" spans="1:10" ht="18">
      <c r="A774" s="49">
        <v>3521</v>
      </c>
      <c r="B774" s="49" t="s">
        <v>1416</v>
      </c>
      <c r="D774" s="49">
        <v>0</v>
      </c>
      <c r="E774" s="49">
        <v>0</v>
      </c>
      <c r="F774" s="49">
        <v>0</v>
      </c>
      <c r="G774" s="54">
        <v>-2.76</v>
      </c>
      <c r="H774" s="56">
        <f t="shared" si="36"/>
        <v>0</v>
      </c>
      <c r="I774" s="57">
        <f t="shared" si="37"/>
        <v>0</v>
      </c>
      <c r="J774" s="56">
        <f t="shared" si="38"/>
        <v>0</v>
      </c>
    </row>
    <row r="775" spans="1:10" ht="18">
      <c r="A775" s="49">
        <v>3522</v>
      </c>
      <c r="B775" s="49" t="s">
        <v>1417</v>
      </c>
      <c r="D775" s="49">
        <v>11.43</v>
      </c>
      <c r="E775" s="49">
        <v>14.956</v>
      </c>
      <c r="F775" s="49">
        <v>13.193</v>
      </c>
      <c r="G775" s="54">
        <v>-2.06</v>
      </c>
      <c r="H775" s="56">
        <f t="shared" si="36"/>
        <v>-23.5458</v>
      </c>
      <c r="I775" s="57">
        <f t="shared" si="37"/>
        <v>-27.177579999999999</v>
      </c>
      <c r="J775" s="56">
        <f t="shared" si="38"/>
        <v>-30.809359999999998</v>
      </c>
    </row>
    <row r="776" spans="1:10" ht="18">
      <c r="A776" s="49">
        <v>3523</v>
      </c>
      <c r="B776" s="49" t="s">
        <v>1418</v>
      </c>
      <c r="D776" s="49">
        <v>0</v>
      </c>
      <c r="E776" s="49">
        <v>0</v>
      </c>
      <c r="F776" s="49">
        <v>0</v>
      </c>
      <c r="G776" s="54">
        <v>-2.7</v>
      </c>
      <c r="H776" s="56">
        <f t="shared" si="36"/>
        <v>0</v>
      </c>
      <c r="I776" s="57">
        <f t="shared" si="37"/>
        <v>0</v>
      </c>
      <c r="J776" s="56">
        <f t="shared" si="38"/>
        <v>0</v>
      </c>
    </row>
    <row r="777" spans="1:10" ht="18">
      <c r="A777" s="49">
        <v>3526</v>
      </c>
      <c r="B777" s="49" t="s">
        <v>1419</v>
      </c>
      <c r="D777" s="49">
        <v>9.702</v>
      </c>
      <c r="E777" s="49">
        <v>18.667999999999999</v>
      </c>
      <c r="F777" s="49">
        <v>14.184999999999999</v>
      </c>
      <c r="G777" s="54">
        <v>11.68</v>
      </c>
      <c r="H777" s="56">
        <f t="shared" si="36"/>
        <v>113.31936</v>
      </c>
      <c r="I777" s="57">
        <f t="shared" si="37"/>
        <v>165.68079999999998</v>
      </c>
      <c r="J777" s="56">
        <f t="shared" si="38"/>
        <v>218.04223999999999</v>
      </c>
    </row>
    <row r="778" spans="1:10" ht="18">
      <c r="A778" s="49">
        <v>3527</v>
      </c>
      <c r="B778" s="49" t="s">
        <v>1420</v>
      </c>
      <c r="D778" s="49">
        <v>9.9280000000000008</v>
      </c>
      <c r="E778" s="49">
        <v>20.462</v>
      </c>
      <c r="F778" s="49">
        <v>15.195</v>
      </c>
      <c r="G778" s="54">
        <v>-0.28000000000000003</v>
      </c>
      <c r="H778" s="56">
        <f t="shared" si="36"/>
        <v>-2.7798400000000005</v>
      </c>
      <c r="I778" s="57">
        <f t="shared" si="37"/>
        <v>-4.2546000000000008</v>
      </c>
      <c r="J778" s="56">
        <f t="shared" si="38"/>
        <v>-5.7293600000000007</v>
      </c>
    </row>
    <row r="779" spans="1:10" ht="18">
      <c r="A779" s="49">
        <v>3528</v>
      </c>
      <c r="B779" s="49" t="s">
        <v>866</v>
      </c>
      <c r="D779" s="49">
        <v>9.3979999999999997</v>
      </c>
      <c r="E779" s="49">
        <v>14.618</v>
      </c>
      <c r="F779" s="49">
        <v>12.007999999999999</v>
      </c>
      <c r="G779" s="54">
        <v>1.65</v>
      </c>
      <c r="H779" s="56">
        <f t="shared" si="36"/>
        <v>15.506699999999999</v>
      </c>
      <c r="I779" s="57">
        <f t="shared" si="37"/>
        <v>19.813199999999998</v>
      </c>
      <c r="J779" s="56">
        <f t="shared" si="38"/>
        <v>24.119699999999998</v>
      </c>
    </row>
    <row r="780" spans="1:10" ht="18">
      <c r="A780" s="49">
        <v>3529</v>
      </c>
      <c r="B780" s="49" t="s">
        <v>1421</v>
      </c>
      <c r="D780" s="49">
        <v>0</v>
      </c>
      <c r="E780" s="49">
        <v>0</v>
      </c>
      <c r="F780" s="49">
        <v>0</v>
      </c>
      <c r="G780" s="54">
        <v>19.760000000000002</v>
      </c>
      <c r="H780" s="56">
        <f t="shared" si="36"/>
        <v>0</v>
      </c>
      <c r="I780" s="57">
        <f t="shared" si="37"/>
        <v>0</v>
      </c>
      <c r="J780" s="56">
        <f t="shared" si="38"/>
        <v>0</v>
      </c>
    </row>
    <row r="781" spans="1:10" ht="18">
      <c r="A781" s="49">
        <v>3530</v>
      </c>
      <c r="B781" s="49" t="s">
        <v>867</v>
      </c>
      <c r="D781" s="49">
        <v>0</v>
      </c>
      <c r="E781" s="49">
        <v>0</v>
      </c>
      <c r="F781" s="49">
        <v>0</v>
      </c>
      <c r="G781" s="54">
        <v>-0.18</v>
      </c>
      <c r="H781" s="56">
        <f t="shared" si="36"/>
        <v>0</v>
      </c>
      <c r="I781" s="57">
        <f t="shared" si="37"/>
        <v>0</v>
      </c>
      <c r="J781" s="56">
        <f t="shared" si="38"/>
        <v>0</v>
      </c>
    </row>
    <row r="782" spans="1:10" ht="18">
      <c r="A782" s="49">
        <v>3531</v>
      </c>
      <c r="B782" s="49" t="s">
        <v>1422</v>
      </c>
      <c r="D782" s="49">
        <v>9.5259999999999998</v>
      </c>
      <c r="E782" s="49">
        <v>20.172000000000001</v>
      </c>
      <c r="F782" s="49">
        <v>14.849</v>
      </c>
      <c r="G782" s="54">
        <v>2.4300000000000002</v>
      </c>
      <c r="H782" s="56">
        <f t="shared" si="36"/>
        <v>23.14818</v>
      </c>
      <c r="I782" s="57">
        <f t="shared" si="37"/>
        <v>36.083069999999999</v>
      </c>
      <c r="J782" s="56">
        <f t="shared" si="38"/>
        <v>49.017960000000002</v>
      </c>
    </row>
    <row r="783" spans="1:10" ht="18">
      <c r="A783" s="49">
        <v>3532</v>
      </c>
      <c r="B783" s="49" t="s">
        <v>868</v>
      </c>
      <c r="D783" s="49">
        <v>13.053999999999998</v>
      </c>
      <c r="E783" s="49">
        <v>14.807999999999998</v>
      </c>
      <c r="F783" s="49">
        <v>13.930999999999997</v>
      </c>
      <c r="G783" s="54">
        <v>8.92</v>
      </c>
      <c r="H783" s="56">
        <f t="shared" si="36"/>
        <v>116.44167999999999</v>
      </c>
      <c r="I783" s="57">
        <f t="shared" si="37"/>
        <v>124.26451999999998</v>
      </c>
      <c r="J783" s="56">
        <f t="shared" si="38"/>
        <v>132.08735999999999</v>
      </c>
    </row>
    <row r="784" spans="1:10" ht="18">
      <c r="A784" s="49">
        <v>3533</v>
      </c>
      <c r="B784" s="49" t="s">
        <v>869</v>
      </c>
      <c r="D784" s="49">
        <v>8.7480000000000011</v>
      </c>
      <c r="E784" s="49">
        <v>27.881999999999998</v>
      </c>
      <c r="F784" s="49">
        <v>18.314999999999998</v>
      </c>
      <c r="G784" s="54">
        <v>50.65</v>
      </c>
      <c r="H784" s="56">
        <f t="shared" si="36"/>
        <v>443.08620000000002</v>
      </c>
      <c r="I784" s="57">
        <f t="shared" si="37"/>
        <v>927.65474999999981</v>
      </c>
      <c r="J784" s="56">
        <f t="shared" si="38"/>
        <v>1412.2232999999999</v>
      </c>
    </row>
    <row r="785" spans="1:10" ht="18">
      <c r="A785" s="49">
        <v>3535</v>
      </c>
      <c r="B785" s="49" t="s">
        <v>870</v>
      </c>
      <c r="D785" s="49">
        <v>10.654</v>
      </c>
      <c r="E785" s="49">
        <v>16.125999999999998</v>
      </c>
      <c r="F785" s="49">
        <v>13.389999999999999</v>
      </c>
      <c r="G785" s="54">
        <v>-0.42</v>
      </c>
      <c r="H785" s="56">
        <f t="shared" si="36"/>
        <v>-4.4746800000000002</v>
      </c>
      <c r="I785" s="57">
        <f t="shared" si="37"/>
        <v>-5.6237999999999992</v>
      </c>
      <c r="J785" s="56">
        <f t="shared" si="38"/>
        <v>-6.7729199999999992</v>
      </c>
    </row>
    <row r="786" spans="1:10" ht="18">
      <c r="A786" s="49">
        <v>3536</v>
      </c>
      <c r="B786" s="49" t="s">
        <v>871</v>
      </c>
      <c r="D786" s="49">
        <v>0</v>
      </c>
      <c r="E786" s="49">
        <v>0</v>
      </c>
      <c r="F786" s="49">
        <v>0</v>
      </c>
      <c r="G786" s="54">
        <v>-0.36</v>
      </c>
      <c r="H786" s="56">
        <f t="shared" si="36"/>
        <v>0</v>
      </c>
      <c r="I786" s="57">
        <f t="shared" si="37"/>
        <v>0</v>
      </c>
      <c r="J786" s="56">
        <f t="shared" si="38"/>
        <v>0</v>
      </c>
    </row>
    <row r="787" spans="1:10" ht="18">
      <c r="A787" s="49">
        <v>3537</v>
      </c>
      <c r="B787" s="49" t="s">
        <v>1423</v>
      </c>
      <c r="D787" s="49">
        <v>9.4540000000000006</v>
      </c>
      <c r="E787" s="49">
        <v>18.826000000000001</v>
      </c>
      <c r="F787" s="49">
        <v>14.14</v>
      </c>
      <c r="G787" s="54">
        <v>2.78</v>
      </c>
      <c r="H787" s="56">
        <f t="shared" si="36"/>
        <v>26.282119999999999</v>
      </c>
      <c r="I787" s="57">
        <f t="shared" si="37"/>
        <v>39.309199999999997</v>
      </c>
      <c r="J787" s="56">
        <f t="shared" si="38"/>
        <v>52.336279999999995</v>
      </c>
    </row>
    <row r="788" spans="1:10" ht="18">
      <c r="A788" s="49">
        <v>3540</v>
      </c>
      <c r="B788" s="49" t="s">
        <v>1424</v>
      </c>
      <c r="D788" s="49">
        <v>9.6859999999999999</v>
      </c>
      <c r="E788" s="49">
        <v>24.256</v>
      </c>
      <c r="F788" s="49">
        <v>16.971</v>
      </c>
      <c r="G788" s="54">
        <v>1.4</v>
      </c>
      <c r="H788" s="56">
        <f t="shared" si="36"/>
        <v>13.5604</v>
      </c>
      <c r="I788" s="57">
        <f t="shared" si="37"/>
        <v>23.759399999999999</v>
      </c>
      <c r="J788" s="56">
        <f t="shared" si="38"/>
        <v>33.958399999999997</v>
      </c>
    </row>
    <row r="789" spans="1:10" ht="18">
      <c r="A789" s="49">
        <v>3541</v>
      </c>
      <c r="B789" s="49" t="s">
        <v>1425</v>
      </c>
      <c r="D789" s="49">
        <v>10.634</v>
      </c>
      <c r="E789" s="49">
        <v>21.448</v>
      </c>
      <c r="F789" s="49">
        <v>16.041</v>
      </c>
      <c r="G789" s="54">
        <v>-5.54</v>
      </c>
      <c r="H789" s="56">
        <f t="shared" si="36"/>
        <v>-58.91236</v>
      </c>
      <c r="I789" s="57">
        <f t="shared" si="37"/>
        <v>-88.867140000000006</v>
      </c>
      <c r="J789" s="56">
        <f t="shared" si="38"/>
        <v>-118.82192000000001</v>
      </c>
    </row>
    <row r="790" spans="1:10" ht="18">
      <c r="A790" s="49">
        <v>3543</v>
      </c>
      <c r="B790" s="49" t="s">
        <v>872</v>
      </c>
      <c r="D790" s="49">
        <v>0</v>
      </c>
      <c r="E790" s="49">
        <v>0</v>
      </c>
      <c r="F790" s="49">
        <v>0</v>
      </c>
      <c r="G790" s="54" t="s">
        <v>271</v>
      </c>
      <c r="H790" s="56" t="e">
        <f t="shared" si="36"/>
        <v>#VALUE!</v>
      </c>
      <c r="I790" s="57" t="e">
        <f t="shared" si="37"/>
        <v>#VALUE!</v>
      </c>
      <c r="J790" s="56" t="e">
        <f t="shared" si="38"/>
        <v>#VALUE!</v>
      </c>
    </row>
    <row r="791" spans="1:10" ht="18">
      <c r="A791" s="49">
        <v>3545</v>
      </c>
      <c r="B791" s="49" t="s">
        <v>873</v>
      </c>
      <c r="D791" s="49">
        <v>13.548000000000002</v>
      </c>
      <c r="E791" s="49">
        <v>28.653999999999996</v>
      </c>
      <c r="F791" s="49">
        <v>21.100999999999999</v>
      </c>
      <c r="G791" s="54">
        <v>1.74</v>
      </c>
      <c r="H791" s="56">
        <f t="shared" si="36"/>
        <v>23.573520000000002</v>
      </c>
      <c r="I791" s="57">
        <f t="shared" si="37"/>
        <v>36.715739999999997</v>
      </c>
      <c r="J791" s="56">
        <f t="shared" si="38"/>
        <v>49.857959999999991</v>
      </c>
    </row>
    <row r="792" spans="1:10" ht="18">
      <c r="A792" s="49">
        <v>3546</v>
      </c>
      <c r="B792" s="49" t="s">
        <v>1426</v>
      </c>
      <c r="D792" s="49">
        <v>13.251999999999999</v>
      </c>
      <c r="E792" s="49">
        <v>27.554000000000002</v>
      </c>
      <c r="F792" s="49">
        <v>20.402999999999999</v>
      </c>
      <c r="G792" s="54">
        <v>4.1900000000000004</v>
      </c>
      <c r="H792" s="56">
        <f t="shared" si="36"/>
        <v>55.525880000000001</v>
      </c>
      <c r="I792" s="57">
        <f t="shared" si="37"/>
        <v>85.488569999999996</v>
      </c>
      <c r="J792" s="56">
        <f t="shared" si="38"/>
        <v>115.45126000000002</v>
      </c>
    </row>
    <row r="793" spans="1:10" ht="18">
      <c r="A793" s="49">
        <v>3548</v>
      </c>
      <c r="B793" s="49" t="s">
        <v>1427</v>
      </c>
      <c r="D793" s="49">
        <v>7.3680000000000003</v>
      </c>
      <c r="E793" s="49">
        <v>20.308</v>
      </c>
      <c r="F793" s="49">
        <v>13.838000000000001</v>
      </c>
      <c r="G793" s="54">
        <v>8.69</v>
      </c>
      <c r="H793" s="56">
        <f t="shared" si="36"/>
        <v>64.027919999999995</v>
      </c>
      <c r="I793" s="57">
        <f t="shared" si="37"/>
        <v>120.25222000000001</v>
      </c>
      <c r="J793" s="56">
        <f t="shared" si="38"/>
        <v>176.47651999999999</v>
      </c>
    </row>
    <row r="794" spans="1:10" ht="18">
      <c r="A794" s="49">
        <v>3550</v>
      </c>
      <c r="B794" s="49" t="s">
        <v>874</v>
      </c>
      <c r="D794" s="49">
        <v>11.452</v>
      </c>
      <c r="E794" s="49">
        <v>20.881999999999998</v>
      </c>
      <c r="F794" s="49">
        <v>16.166999999999998</v>
      </c>
      <c r="G794" s="54">
        <v>-4.1399999999999997</v>
      </c>
      <c r="H794" s="56">
        <f t="shared" si="36"/>
        <v>-47.411279999999998</v>
      </c>
      <c r="I794" s="57">
        <f t="shared" si="37"/>
        <v>-66.93137999999999</v>
      </c>
      <c r="J794" s="56">
        <f t="shared" si="38"/>
        <v>-86.451479999999989</v>
      </c>
    </row>
    <row r="795" spans="1:10" ht="18">
      <c r="A795" s="49">
        <v>3551</v>
      </c>
      <c r="B795" s="49" t="s">
        <v>1428</v>
      </c>
      <c r="D795" s="49">
        <v>8.0640000000000001</v>
      </c>
      <c r="E795" s="49">
        <v>17.411999999999999</v>
      </c>
      <c r="F795" s="49">
        <v>12.738</v>
      </c>
      <c r="G795" s="54">
        <v>5.58</v>
      </c>
      <c r="H795" s="56">
        <f t="shared" si="36"/>
        <v>44.997120000000002</v>
      </c>
      <c r="I795" s="57">
        <f t="shared" si="37"/>
        <v>71.078040000000001</v>
      </c>
      <c r="J795" s="56">
        <f t="shared" si="38"/>
        <v>97.158959999999993</v>
      </c>
    </row>
    <row r="796" spans="1:10" ht="18">
      <c r="A796" s="49">
        <v>3552</v>
      </c>
      <c r="B796" s="49" t="s">
        <v>1429</v>
      </c>
      <c r="D796" s="49">
        <v>16.634</v>
      </c>
      <c r="E796" s="49">
        <v>29.262</v>
      </c>
      <c r="F796" s="49">
        <v>22.948</v>
      </c>
      <c r="G796" s="54">
        <v>4.51</v>
      </c>
      <c r="H796" s="56">
        <f t="shared" si="36"/>
        <v>75.01934</v>
      </c>
      <c r="I796" s="57">
        <f t="shared" si="37"/>
        <v>103.49548</v>
      </c>
      <c r="J796" s="56">
        <f t="shared" si="38"/>
        <v>131.97162</v>
      </c>
    </row>
    <row r="797" spans="1:10" ht="18">
      <c r="A797" s="49">
        <v>3555</v>
      </c>
      <c r="B797" s="49" t="s">
        <v>1430</v>
      </c>
      <c r="D797" s="49">
        <v>0</v>
      </c>
      <c r="E797" s="49">
        <v>0</v>
      </c>
      <c r="F797" s="49">
        <v>0</v>
      </c>
      <c r="G797" s="54">
        <v>-0.71</v>
      </c>
      <c r="H797" s="56">
        <f t="shared" si="36"/>
        <v>0</v>
      </c>
      <c r="I797" s="57">
        <f t="shared" si="37"/>
        <v>0</v>
      </c>
      <c r="J797" s="56">
        <f t="shared" si="38"/>
        <v>0</v>
      </c>
    </row>
    <row r="798" spans="1:10" ht="18">
      <c r="A798" s="49">
        <v>3556</v>
      </c>
      <c r="B798" s="49" t="s">
        <v>1431</v>
      </c>
      <c r="D798" s="49">
        <v>11.062000000000001</v>
      </c>
      <c r="E798" s="49">
        <v>24.119999999999997</v>
      </c>
      <c r="F798" s="49">
        <v>17.591000000000001</v>
      </c>
      <c r="G798" s="54">
        <v>0.97</v>
      </c>
      <c r="H798" s="56">
        <f t="shared" si="36"/>
        <v>10.73014</v>
      </c>
      <c r="I798" s="57">
        <f t="shared" si="37"/>
        <v>17.063269999999999</v>
      </c>
      <c r="J798" s="56">
        <f t="shared" si="38"/>
        <v>23.396399999999996</v>
      </c>
    </row>
    <row r="799" spans="1:10" ht="18">
      <c r="A799" s="49">
        <v>3557</v>
      </c>
      <c r="B799" s="49" t="s">
        <v>875</v>
      </c>
      <c r="D799" s="49">
        <v>8.5839999999999996</v>
      </c>
      <c r="E799" s="49">
        <v>8.5839999999999996</v>
      </c>
      <c r="F799" s="49">
        <v>8.5839999999999996</v>
      </c>
      <c r="G799" s="54">
        <v>4.8099999999999996</v>
      </c>
      <c r="H799" s="56">
        <f t="shared" si="36"/>
        <v>41.289039999999993</v>
      </c>
      <c r="I799" s="57">
        <f t="shared" si="37"/>
        <v>41.289039999999993</v>
      </c>
      <c r="J799" s="56">
        <f t="shared" si="38"/>
        <v>41.289039999999993</v>
      </c>
    </row>
    <row r="800" spans="1:10" ht="18">
      <c r="A800" s="49">
        <v>3558</v>
      </c>
      <c r="B800" s="49" t="s">
        <v>1432</v>
      </c>
      <c r="D800" s="49">
        <v>10.962</v>
      </c>
      <c r="E800" s="49">
        <v>15.059999999999999</v>
      </c>
      <c r="F800" s="49">
        <v>13.010999999999999</v>
      </c>
      <c r="G800" s="54">
        <v>16.88</v>
      </c>
      <c r="H800" s="56">
        <f t="shared" si="36"/>
        <v>185.03855999999999</v>
      </c>
      <c r="I800" s="57">
        <f t="shared" si="37"/>
        <v>219.62567999999996</v>
      </c>
      <c r="J800" s="56">
        <f t="shared" si="38"/>
        <v>254.21279999999996</v>
      </c>
    </row>
    <row r="801" spans="1:10" ht="18">
      <c r="A801" s="49">
        <v>3563</v>
      </c>
      <c r="B801" s="49" t="s">
        <v>876</v>
      </c>
      <c r="D801" s="49">
        <v>10.010000000000002</v>
      </c>
      <c r="E801" s="49">
        <v>20.684000000000001</v>
      </c>
      <c r="F801" s="49">
        <v>15.347000000000001</v>
      </c>
      <c r="G801" s="54">
        <v>8.2100000000000009</v>
      </c>
      <c r="H801" s="56">
        <f t="shared" si="36"/>
        <v>82.18210000000002</v>
      </c>
      <c r="I801" s="57">
        <f t="shared" si="37"/>
        <v>125.99887000000003</v>
      </c>
      <c r="J801" s="56">
        <f t="shared" si="38"/>
        <v>169.81564000000003</v>
      </c>
    </row>
    <row r="802" spans="1:10" ht="18">
      <c r="A802" s="49">
        <v>3564</v>
      </c>
      <c r="B802" s="49" t="s">
        <v>1433</v>
      </c>
      <c r="D802" s="49">
        <v>15.479999999999999</v>
      </c>
      <c r="E802" s="49">
        <v>20.618000000000002</v>
      </c>
      <c r="F802" s="49">
        <v>18.048999999999999</v>
      </c>
      <c r="G802" s="54">
        <v>0.45</v>
      </c>
      <c r="H802" s="56">
        <f t="shared" si="36"/>
        <v>6.9659999999999993</v>
      </c>
      <c r="I802" s="57">
        <f t="shared" si="37"/>
        <v>8.1220499999999998</v>
      </c>
      <c r="J802" s="56">
        <f t="shared" si="38"/>
        <v>9.278100000000002</v>
      </c>
    </row>
    <row r="803" spans="1:10" ht="18">
      <c r="A803" s="49">
        <v>3567</v>
      </c>
      <c r="B803" s="49" t="s">
        <v>1434</v>
      </c>
      <c r="D803" s="49">
        <v>9.76</v>
      </c>
      <c r="E803" s="49">
        <v>15.057999999999998</v>
      </c>
      <c r="F803" s="49">
        <v>12.408999999999999</v>
      </c>
      <c r="G803" s="54">
        <v>3.01</v>
      </c>
      <c r="H803" s="56">
        <f t="shared" si="36"/>
        <v>29.377599999999997</v>
      </c>
      <c r="I803" s="57">
        <f t="shared" si="37"/>
        <v>37.351089999999992</v>
      </c>
      <c r="J803" s="56">
        <f t="shared" si="38"/>
        <v>45.32457999999999</v>
      </c>
    </row>
    <row r="804" spans="1:10" ht="18">
      <c r="A804" s="49">
        <v>3570</v>
      </c>
      <c r="B804" s="49" t="s">
        <v>1435</v>
      </c>
      <c r="D804" s="49">
        <v>8.1679999999999993</v>
      </c>
      <c r="E804" s="49">
        <v>24.545999999999999</v>
      </c>
      <c r="F804" s="49">
        <v>16.356999999999999</v>
      </c>
      <c r="G804" s="54">
        <v>11.62</v>
      </c>
      <c r="H804" s="56">
        <f t="shared" si="36"/>
        <v>94.912159999999986</v>
      </c>
      <c r="I804" s="57">
        <f t="shared" si="37"/>
        <v>190.06833999999998</v>
      </c>
      <c r="J804" s="56">
        <f t="shared" si="38"/>
        <v>285.22451999999998</v>
      </c>
    </row>
    <row r="805" spans="1:10" ht="18">
      <c r="A805" s="49">
        <v>3576</v>
      </c>
      <c r="B805" s="49" t="s">
        <v>877</v>
      </c>
      <c r="D805" s="49">
        <v>0</v>
      </c>
      <c r="E805" s="49">
        <v>0</v>
      </c>
      <c r="F805" s="49">
        <v>0</v>
      </c>
      <c r="G805" s="54">
        <v>-2.39</v>
      </c>
      <c r="H805" s="56">
        <f t="shared" si="36"/>
        <v>0</v>
      </c>
      <c r="I805" s="57">
        <f t="shared" si="37"/>
        <v>0</v>
      </c>
      <c r="J805" s="56">
        <f t="shared" si="38"/>
        <v>0</v>
      </c>
    </row>
    <row r="806" spans="1:10" ht="18">
      <c r="A806" s="49">
        <v>3577</v>
      </c>
      <c r="B806" s="49" t="s">
        <v>1436</v>
      </c>
      <c r="D806" s="49">
        <v>13.719999999999999</v>
      </c>
      <c r="E806" s="49">
        <v>24.954000000000001</v>
      </c>
      <c r="F806" s="49">
        <v>19.337</v>
      </c>
      <c r="G806" s="54">
        <v>1.22</v>
      </c>
      <c r="H806" s="56">
        <f t="shared" si="36"/>
        <v>16.738399999999999</v>
      </c>
      <c r="I806" s="57">
        <f t="shared" si="37"/>
        <v>23.591139999999999</v>
      </c>
      <c r="J806" s="56">
        <f t="shared" si="38"/>
        <v>30.44388</v>
      </c>
    </row>
    <row r="807" spans="1:10" ht="18">
      <c r="A807" s="49">
        <v>3580</v>
      </c>
      <c r="B807" s="49" t="s">
        <v>1437</v>
      </c>
      <c r="D807" s="49">
        <v>12.152000000000001</v>
      </c>
      <c r="E807" s="49">
        <v>20.49</v>
      </c>
      <c r="F807" s="49">
        <v>16.320999999999998</v>
      </c>
      <c r="G807" s="54">
        <v>2.63</v>
      </c>
      <c r="H807" s="56">
        <f t="shared" si="36"/>
        <v>31.959760000000003</v>
      </c>
      <c r="I807" s="57">
        <f t="shared" si="37"/>
        <v>42.924229999999994</v>
      </c>
      <c r="J807" s="56">
        <f t="shared" si="38"/>
        <v>53.888699999999993</v>
      </c>
    </row>
    <row r="808" spans="1:10" ht="18">
      <c r="A808" s="49">
        <v>3581</v>
      </c>
      <c r="B808" s="49" t="s">
        <v>1438</v>
      </c>
      <c r="D808" s="49">
        <v>14.215999999999999</v>
      </c>
      <c r="E808" s="49">
        <v>20.195999999999998</v>
      </c>
      <c r="F808" s="49">
        <v>17.206</v>
      </c>
      <c r="G808" s="54">
        <v>0.55000000000000004</v>
      </c>
      <c r="H808" s="56">
        <f t="shared" si="36"/>
        <v>7.8188000000000004</v>
      </c>
      <c r="I808" s="57">
        <f t="shared" si="37"/>
        <v>9.4633000000000003</v>
      </c>
      <c r="J808" s="56">
        <f t="shared" si="38"/>
        <v>11.107799999999999</v>
      </c>
    </row>
    <row r="809" spans="1:10" ht="18">
      <c r="A809" s="49">
        <v>3583</v>
      </c>
      <c r="B809" s="49" t="s">
        <v>878</v>
      </c>
      <c r="D809" s="49">
        <v>13.692000000000002</v>
      </c>
      <c r="E809" s="49">
        <v>24.655999999999999</v>
      </c>
      <c r="F809" s="49">
        <v>19.173999999999999</v>
      </c>
      <c r="G809" s="54">
        <v>8.1</v>
      </c>
      <c r="H809" s="56">
        <f t="shared" si="36"/>
        <v>110.90520000000001</v>
      </c>
      <c r="I809" s="57">
        <f t="shared" si="37"/>
        <v>155.30939999999998</v>
      </c>
      <c r="J809" s="56">
        <f t="shared" si="38"/>
        <v>199.71359999999999</v>
      </c>
    </row>
    <row r="810" spans="1:10" ht="18">
      <c r="A810" s="49">
        <v>3587</v>
      </c>
      <c r="B810" s="49" t="s">
        <v>1439</v>
      </c>
      <c r="D810" s="49">
        <v>13.336000000000002</v>
      </c>
      <c r="E810" s="49">
        <v>19.521999999999998</v>
      </c>
      <c r="F810" s="49">
        <v>16.429000000000002</v>
      </c>
      <c r="G810" s="54">
        <v>10.81</v>
      </c>
      <c r="H810" s="56">
        <f t="shared" si="36"/>
        <v>144.16216000000003</v>
      </c>
      <c r="I810" s="57">
        <f t="shared" si="37"/>
        <v>177.59749000000002</v>
      </c>
      <c r="J810" s="56">
        <f t="shared" si="38"/>
        <v>211.03281999999999</v>
      </c>
    </row>
    <row r="811" spans="1:10" ht="18">
      <c r="A811" s="49">
        <v>3588</v>
      </c>
      <c r="B811" s="49" t="s">
        <v>879</v>
      </c>
      <c r="D811" s="49">
        <v>14.453999999999999</v>
      </c>
      <c r="E811" s="49">
        <v>24.753999999999998</v>
      </c>
      <c r="F811" s="49">
        <v>19.603999999999999</v>
      </c>
      <c r="G811" s="54">
        <v>0.51</v>
      </c>
      <c r="H811" s="56">
        <f t="shared" si="36"/>
        <v>7.3715399999999995</v>
      </c>
      <c r="I811" s="57">
        <f t="shared" si="37"/>
        <v>9.9980399999999996</v>
      </c>
      <c r="J811" s="56">
        <f t="shared" si="38"/>
        <v>12.62454</v>
      </c>
    </row>
    <row r="812" spans="1:10" ht="18">
      <c r="A812" s="49">
        <v>3591</v>
      </c>
      <c r="B812" s="49" t="s">
        <v>880</v>
      </c>
      <c r="D812" s="49">
        <v>0</v>
      </c>
      <c r="E812" s="49">
        <v>0</v>
      </c>
      <c r="F812" s="49">
        <v>0</v>
      </c>
      <c r="G812" s="54">
        <v>0.35</v>
      </c>
      <c r="H812" s="56">
        <f t="shared" si="36"/>
        <v>0</v>
      </c>
      <c r="I812" s="57">
        <f t="shared" si="37"/>
        <v>0</v>
      </c>
      <c r="J812" s="56">
        <f t="shared" si="38"/>
        <v>0</v>
      </c>
    </row>
    <row r="813" spans="1:10" ht="18">
      <c r="A813" s="49">
        <v>3592</v>
      </c>
      <c r="B813" s="49" t="s">
        <v>881</v>
      </c>
      <c r="D813" s="49">
        <v>0</v>
      </c>
      <c r="E813" s="49">
        <v>0</v>
      </c>
      <c r="F813" s="49">
        <v>0</v>
      </c>
      <c r="G813" s="54" t="s">
        <v>271</v>
      </c>
      <c r="H813" s="56" t="e">
        <f t="shared" si="36"/>
        <v>#VALUE!</v>
      </c>
      <c r="I813" s="57" t="e">
        <f t="shared" si="37"/>
        <v>#VALUE!</v>
      </c>
      <c r="J813" s="56" t="e">
        <f t="shared" si="38"/>
        <v>#VALUE!</v>
      </c>
    </row>
    <row r="814" spans="1:10" ht="18">
      <c r="A814" s="49">
        <v>3593</v>
      </c>
      <c r="B814" s="49" t="s">
        <v>882</v>
      </c>
      <c r="D814" s="49">
        <v>0</v>
      </c>
      <c r="E814" s="49">
        <v>0</v>
      </c>
      <c r="F814" s="49">
        <v>0</v>
      </c>
      <c r="G814" s="54">
        <v>-0.75</v>
      </c>
      <c r="H814" s="56">
        <f t="shared" si="36"/>
        <v>0</v>
      </c>
      <c r="I814" s="57">
        <f t="shared" si="37"/>
        <v>0</v>
      </c>
      <c r="J814" s="56">
        <f t="shared" si="38"/>
        <v>0</v>
      </c>
    </row>
    <row r="815" spans="1:10" ht="18">
      <c r="A815" s="49">
        <v>3594</v>
      </c>
      <c r="B815" s="49" t="s">
        <v>1440</v>
      </c>
      <c r="D815" s="49">
        <v>20.308</v>
      </c>
      <c r="E815" s="49">
        <v>28.246000000000002</v>
      </c>
      <c r="F815" s="49">
        <v>24.277000000000001</v>
      </c>
      <c r="G815" s="54">
        <v>1.3</v>
      </c>
      <c r="H815" s="56">
        <f t="shared" si="36"/>
        <v>26.400400000000001</v>
      </c>
      <c r="I815" s="57">
        <f t="shared" si="37"/>
        <v>31.560100000000002</v>
      </c>
      <c r="J815" s="56">
        <f t="shared" si="38"/>
        <v>36.719800000000006</v>
      </c>
    </row>
    <row r="816" spans="1:10" ht="18">
      <c r="A816" s="49">
        <v>3596</v>
      </c>
      <c r="B816" s="49" t="s">
        <v>883</v>
      </c>
      <c r="D816" s="49">
        <v>9.7539999999999996</v>
      </c>
      <c r="E816" s="49">
        <v>16.846</v>
      </c>
      <c r="F816" s="49">
        <v>13.3</v>
      </c>
      <c r="G816" s="54">
        <v>10.98</v>
      </c>
      <c r="H816" s="56">
        <f t="shared" si="36"/>
        <v>107.09891999999999</v>
      </c>
      <c r="I816" s="57">
        <f t="shared" si="37"/>
        <v>146.03400000000002</v>
      </c>
      <c r="J816" s="56">
        <f t="shared" si="38"/>
        <v>184.96908000000002</v>
      </c>
    </row>
    <row r="817" spans="1:10" ht="18">
      <c r="A817" s="49">
        <v>3597</v>
      </c>
      <c r="B817" s="49" t="s">
        <v>1441</v>
      </c>
      <c r="D817" s="49">
        <v>0</v>
      </c>
      <c r="E817" s="49">
        <v>0</v>
      </c>
      <c r="F817" s="49">
        <v>0</v>
      </c>
      <c r="G817" s="54" t="s">
        <v>271</v>
      </c>
      <c r="H817" s="56" t="e">
        <f t="shared" si="36"/>
        <v>#VALUE!</v>
      </c>
      <c r="I817" s="57" t="e">
        <f t="shared" si="37"/>
        <v>#VALUE!</v>
      </c>
      <c r="J817" s="56" t="e">
        <f t="shared" si="38"/>
        <v>#VALUE!</v>
      </c>
    </row>
    <row r="818" spans="1:10" ht="18">
      <c r="A818" s="49">
        <v>3605</v>
      </c>
      <c r="B818" s="49" t="s">
        <v>884</v>
      </c>
      <c r="D818" s="49">
        <v>10.654</v>
      </c>
      <c r="E818" s="49">
        <v>20.669999999999998</v>
      </c>
      <c r="F818" s="49">
        <v>15.661999999999999</v>
      </c>
      <c r="G818" s="54">
        <v>-1.98</v>
      </c>
      <c r="H818" s="56">
        <f t="shared" si="36"/>
        <v>-21.094919999999998</v>
      </c>
      <c r="I818" s="57">
        <f t="shared" si="37"/>
        <v>-31.010759999999998</v>
      </c>
      <c r="J818" s="56">
        <f t="shared" si="38"/>
        <v>-40.926599999999993</v>
      </c>
    </row>
    <row r="819" spans="1:10" ht="18">
      <c r="A819" s="49">
        <v>3607</v>
      </c>
      <c r="B819" s="49" t="s">
        <v>885</v>
      </c>
      <c r="D819" s="49">
        <v>11.2</v>
      </c>
      <c r="E819" s="49">
        <v>18.342000000000002</v>
      </c>
      <c r="F819" s="49">
        <v>14.771000000000001</v>
      </c>
      <c r="G819" s="54">
        <v>-0.36</v>
      </c>
      <c r="H819" s="56">
        <f t="shared" si="36"/>
        <v>-4.032</v>
      </c>
      <c r="I819" s="57">
        <f t="shared" si="37"/>
        <v>-5.3175600000000003</v>
      </c>
      <c r="J819" s="56">
        <f t="shared" si="38"/>
        <v>-6.6031200000000005</v>
      </c>
    </row>
    <row r="820" spans="1:10" ht="18">
      <c r="A820" s="49">
        <v>3609</v>
      </c>
      <c r="B820" s="49" t="s">
        <v>1442</v>
      </c>
      <c r="D820" s="49">
        <v>0</v>
      </c>
      <c r="E820" s="49">
        <v>0</v>
      </c>
      <c r="F820" s="49">
        <v>0</v>
      </c>
      <c r="G820" s="54">
        <v>-5.73</v>
      </c>
      <c r="H820" s="56">
        <f t="shared" si="36"/>
        <v>0</v>
      </c>
      <c r="I820" s="57">
        <f t="shared" si="37"/>
        <v>0</v>
      </c>
      <c r="J820" s="56">
        <f t="shared" si="38"/>
        <v>0</v>
      </c>
    </row>
    <row r="821" spans="1:10" ht="18">
      <c r="A821" s="49">
        <v>3611</v>
      </c>
      <c r="B821" s="49" t="s">
        <v>1443</v>
      </c>
      <c r="D821" s="49">
        <v>9.31</v>
      </c>
      <c r="E821" s="49">
        <v>18.148000000000003</v>
      </c>
      <c r="F821" s="49">
        <v>13.729000000000003</v>
      </c>
      <c r="G821" s="54">
        <v>19.32</v>
      </c>
      <c r="H821" s="56">
        <f t="shared" si="36"/>
        <v>179.86920000000001</v>
      </c>
      <c r="I821" s="57">
        <f t="shared" si="37"/>
        <v>265.24428000000006</v>
      </c>
      <c r="J821" s="56">
        <f t="shared" si="38"/>
        <v>350.61936000000009</v>
      </c>
    </row>
    <row r="822" spans="1:10" ht="18">
      <c r="A822" s="49">
        <v>3615</v>
      </c>
      <c r="B822" s="49" t="s">
        <v>1444</v>
      </c>
      <c r="D822" s="49">
        <v>19.75</v>
      </c>
      <c r="E822" s="49">
        <v>31.574000000000002</v>
      </c>
      <c r="F822" s="49">
        <v>25.661999999999999</v>
      </c>
      <c r="G822" s="54">
        <v>0.88</v>
      </c>
      <c r="H822" s="56">
        <f t="shared" si="36"/>
        <v>17.38</v>
      </c>
      <c r="I822" s="57">
        <f t="shared" si="37"/>
        <v>22.582560000000001</v>
      </c>
      <c r="J822" s="56">
        <f t="shared" si="38"/>
        <v>27.785120000000003</v>
      </c>
    </row>
    <row r="823" spans="1:10" ht="18">
      <c r="A823" s="49">
        <v>3617</v>
      </c>
      <c r="B823" s="49" t="s">
        <v>886</v>
      </c>
      <c r="D823" s="49">
        <v>10.986000000000001</v>
      </c>
      <c r="E823" s="49">
        <v>21.173999999999999</v>
      </c>
      <c r="F823" s="49">
        <v>16.079999999999998</v>
      </c>
      <c r="G823" s="54">
        <v>16.46</v>
      </c>
      <c r="H823" s="56">
        <f t="shared" si="36"/>
        <v>180.82956000000001</v>
      </c>
      <c r="I823" s="57">
        <f t="shared" si="37"/>
        <v>264.67679999999996</v>
      </c>
      <c r="J823" s="56">
        <f t="shared" si="38"/>
        <v>348.52404000000001</v>
      </c>
    </row>
    <row r="824" spans="1:10" ht="18">
      <c r="A824" s="49">
        <v>3622</v>
      </c>
      <c r="B824" s="49" t="s">
        <v>887</v>
      </c>
      <c r="D824" s="49">
        <v>12.746</v>
      </c>
      <c r="E824" s="49">
        <v>23.598000000000003</v>
      </c>
      <c r="F824" s="49">
        <v>18.172000000000001</v>
      </c>
      <c r="G824" s="54">
        <v>3.75</v>
      </c>
      <c r="H824" s="56">
        <f t="shared" si="36"/>
        <v>47.797499999999999</v>
      </c>
      <c r="I824" s="57">
        <f t="shared" si="37"/>
        <v>68.144999999999996</v>
      </c>
      <c r="J824" s="56">
        <f t="shared" si="38"/>
        <v>88.492500000000007</v>
      </c>
    </row>
    <row r="825" spans="1:10" ht="18">
      <c r="A825" s="49">
        <v>3623</v>
      </c>
      <c r="B825" s="49" t="s">
        <v>1445</v>
      </c>
      <c r="D825" s="49">
        <v>13.63</v>
      </c>
      <c r="E825" s="49">
        <v>17.57</v>
      </c>
      <c r="F825" s="49">
        <v>15.600000000000001</v>
      </c>
      <c r="G825" s="54">
        <v>-0.34</v>
      </c>
      <c r="H825" s="56">
        <f t="shared" si="36"/>
        <v>-4.6342000000000008</v>
      </c>
      <c r="I825" s="57">
        <f t="shared" si="37"/>
        <v>-5.3040000000000012</v>
      </c>
      <c r="J825" s="56">
        <f t="shared" si="38"/>
        <v>-5.9738000000000007</v>
      </c>
    </row>
    <row r="826" spans="1:10" ht="18">
      <c r="A826" s="49">
        <v>3624</v>
      </c>
      <c r="B826" s="49" t="s">
        <v>1446</v>
      </c>
      <c r="D826" s="49">
        <v>12.536</v>
      </c>
      <c r="E826" s="49">
        <v>31.423999999999999</v>
      </c>
      <c r="F826" s="49">
        <v>21.98</v>
      </c>
      <c r="G826" s="54">
        <v>2.23</v>
      </c>
      <c r="H826" s="56">
        <f t="shared" si="36"/>
        <v>27.955279999999998</v>
      </c>
      <c r="I826" s="57">
        <f t="shared" si="37"/>
        <v>49.0154</v>
      </c>
      <c r="J826" s="56">
        <f t="shared" si="38"/>
        <v>70.075519999999997</v>
      </c>
    </row>
    <row r="827" spans="1:10" ht="18">
      <c r="A827" s="49">
        <v>3625</v>
      </c>
      <c r="B827" s="49" t="s">
        <v>1447</v>
      </c>
      <c r="D827" s="49">
        <v>19.107999999999997</v>
      </c>
      <c r="E827" s="49">
        <v>20.23</v>
      </c>
      <c r="F827" s="49">
        <v>19.668999999999997</v>
      </c>
      <c r="G827" s="54">
        <v>-1.05</v>
      </c>
      <c r="H827" s="56">
        <f t="shared" si="36"/>
        <v>-20.063399999999998</v>
      </c>
      <c r="I827" s="57">
        <f t="shared" si="37"/>
        <v>-20.652449999999998</v>
      </c>
      <c r="J827" s="56">
        <f t="shared" si="38"/>
        <v>-21.241500000000002</v>
      </c>
    </row>
    <row r="828" spans="1:10" ht="18">
      <c r="A828" s="49">
        <v>3628</v>
      </c>
      <c r="B828" s="49" t="s">
        <v>1448</v>
      </c>
      <c r="D828" s="49">
        <v>12.774000000000001</v>
      </c>
      <c r="E828" s="49">
        <v>22.116000000000003</v>
      </c>
      <c r="F828" s="49">
        <v>17.445</v>
      </c>
      <c r="G828" s="54">
        <v>1.95</v>
      </c>
      <c r="H828" s="56">
        <f t="shared" si="36"/>
        <v>24.909300000000002</v>
      </c>
      <c r="I828" s="57">
        <f t="shared" si="37"/>
        <v>34.017749999999999</v>
      </c>
      <c r="J828" s="56">
        <f t="shared" si="38"/>
        <v>43.126200000000004</v>
      </c>
    </row>
    <row r="829" spans="1:10" ht="18">
      <c r="A829" s="49">
        <v>3629</v>
      </c>
      <c r="B829" s="49" t="s">
        <v>1449</v>
      </c>
      <c r="D829" s="49">
        <v>0</v>
      </c>
      <c r="E829" s="49">
        <v>0</v>
      </c>
      <c r="F829" s="49">
        <v>0</v>
      </c>
      <c r="G829" s="54">
        <v>-2.29</v>
      </c>
      <c r="H829" s="56">
        <f t="shared" si="36"/>
        <v>0</v>
      </c>
      <c r="I829" s="57">
        <f t="shared" si="37"/>
        <v>0</v>
      </c>
      <c r="J829" s="56">
        <f t="shared" si="38"/>
        <v>0</v>
      </c>
    </row>
    <row r="830" spans="1:10" ht="18">
      <c r="A830" s="49">
        <v>3630</v>
      </c>
      <c r="B830" s="49" t="s">
        <v>1450</v>
      </c>
      <c r="D830" s="49">
        <v>0</v>
      </c>
      <c r="E830" s="49">
        <v>0</v>
      </c>
      <c r="F830" s="49">
        <v>0</v>
      </c>
      <c r="G830" s="54">
        <v>-3.35</v>
      </c>
      <c r="H830" s="56">
        <f t="shared" si="36"/>
        <v>0</v>
      </c>
      <c r="I830" s="57">
        <f t="shared" si="37"/>
        <v>0</v>
      </c>
      <c r="J830" s="56">
        <f t="shared" si="38"/>
        <v>0</v>
      </c>
    </row>
    <row r="831" spans="1:10" ht="18">
      <c r="A831" s="49">
        <v>3631</v>
      </c>
      <c r="B831" s="49" t="s">
        <v>1451</v>
      </c>
      <c r="D831" s="49">
        <v>21.310000000000002</v>
      </c>
      <c r="E831" s="49">
        <v>21.310000000000002</v>
      </c>
      <c r="F831" s="49">
        <v>21.310000000000002</v>
      </c>
      <c r="G831" s="54">
        <v>-0.6</v>
      </c>
      <c r="H831" s="56">
        <f t="shared" si="36"/>
        <v>-12.786000000000001</v>
      </c>
      <c r="I831" s="57">
        <f t="shared" si="37"/>
        <v>-12.786000000000001</v>
      </c>
      <c r="J831" s="56">
        <f t="shared" si="38"/>
        <v>-12.786000000000001</v>
      </c>
    </row>
    <row r="832" spans="1:10" ht="18">
      <c r="A832" s="49">
        <v>3632</v>
      </c>
      <c r="B832" s="49" t="s">
        <v>1452</v>
      </c>
      <c r="D832" s="49">
        <v>24.887999999999998</v>
      </c>
      <c r="E832" s="49">
        <v>24.887999999999998</v>
      </c>
      <c r="F832" s="49">
        <v>24.887999999999998</v>
      </c>
      <c r="G832" s="54">
        <v>0.11</v>
      </c>
      <c r="H832" s="56">
        <f t="shared" si="36"/>
        <v>2.7376799999999997</v>
      </c>
      <c r="I832" s="57">
        <f t="shared" si="37"/>
        <v>2.7376799999999997</v>
      </c>
      <c r="J832" s="56">
        <f t="shared" si="38"/>
        <v>2.7376799999999997</v>
      </c>
    </row>
    <row r="833" spans="1:10" ht="18">
      <c r="A833" s="49">
        <v>3645</v>
      </c>
      <c r="B833" s="49" t="s">
        <v>888</v>
      </c>
      <c r="D833" s="49">
        <v>14.898</v>
      </c>
      <c r="E833" s="49">
        <v>33.642000000000003</v>
      </c>
      <c r="F833" s="49">
        <v>24.270000000000003</v>
      </c>
      <c r="G833" s="54">
        <v>-1.06</v>
      </c>
      <c r="H833" s="56">
        <f t="shared" si="36"/>
        <v>-15.791880000000001</v>
      </c>
      <c r="I833" s="57">
        <f t="shared" si="37"/>
        <v>-25.726200000000006</v>
      </c>
      <c r="J833" s="56">
        <f t="shared" si="38"/>
        <v>-35.660520000000005</v>
      </c>
    </row>
    <row r="834" spans="1:10" ht="18">
      <c r="A834" s="49">
        <v>3646</v>
      </c>
      <c r="B834" s="49" t="s">
        <v>1453</v>
      </c>
      <c r="D834" s="49">
        <v>14.038</v>
      </c>
      <c r="E834" s="49">
        <v>30.896000000000004</v>
      </c>
      <c r="F834" s="49">
        <v>22.467000000000002</v>
      </c>
      <c r="G834" s="54">
        <v>1.35</v>
      </c>
      <c r="H834" s="56">
        <f t="shared" si="36"/>
        <v>18.951300000000003</v>
      </c>
      <c r="I834" s="57">
        <f t="shared" si="37"/>
        <v>30.330450000000006</v>
      </c>
      <c r="J834" s="56">
        <f t="shared" si="38"/>
        <v>41.709600000000009</v>
      </c>
    </row>
    <row r="835" spans="1:10" ht="18">
      <c r="A835" s="49">
        <v>3652</v>
      </c>
      <c r="B835" s="49" t="s">
        <v>889</v>
      </c>
      <c r="D835" s="49">
        <v>18.425999999999998</v>
      </c>
      <c r="E835" s="49">
        <v>26.815999999999995</v>
      </c>
      <c r="F835" s="49">
        <v>22.620999999999995</v>
      </c>
      <c r="G835" s="54">
        <v>0.54</v>
      </c>
      <c r="H835" s="56">
        <f t="shared" ref="H835:H898" si="39">G835*D835</f>
        <v>9.9500399999999996</v>
      </c>
      <c r="I835" s="57">
        <f t="shared" ref="I835:I898" si="40">G835*F835</f>
        <v>12.215339999999998</v>
      </c>
      <c r="J835" s="56">
        <f t="shared" ref="J835:J898" si="41">G835*E835</f>
        <v>14.480639999999999</v>
      </c>
    </row>
    <row r="836" spans="1:10" ht="18">
      <c r="A836" s="49">
        <v>3653</v>
      </c>
      <c r="B836" s="49" t="s">
        <v>890</v>
      </c>
      <c r="D836" s="49">
        <v>18.413999999999998</v>
      </c>
      <c r="E836" s="49">
        <v>30.812000000000001</v>
      </c>
      <c r="F836" s="49">
        <v>24.613</v>
      </c>
      <c r="G836" s="54">
        <v>16.59</v>
      </c>
      <c r="H836" s="56">
        <f t="shared" si="39"/>
        <v>305.48825999999997</v>
      </c>
      <c r="I836" s="57">
        <f t="shared" si="40"/>
        <v>408.32966999999996</v>
      </c>
      <c r="J836" s="56">
        <f t="shared" si="41"/>
        <v>511.17108000000002</v>
      </c>
    </row>
    <row r="837" spans="1:10" ht="18">
      <c r="A837" s="49">
        <v>3661</v>
      </c>
      <c r="B837" s="49" t="s">
        <v>891</v>
      </c>
      <c r="D837" s="49">
        <v>23.175999999999998</v>
      </c>
      <c r="E837" s="49">
        <v>23.175999999999998</v>
      </c>
      <c r="F837" s="49">
        <v>23.175999999999998</v>
      </c>
      <c r="G837" s="54">
        <v>45.47</v>
      </c>
      <c r="H837" s="56">
        <f t="shared" si="39"/>
        <v>1053.8127199999999</v>
      </c>
      <c r="I837" s="57">
        <f t="shared" si="40"/>
        <v>1053.8127199999999</v>
      </c>
      <c r="J837" s="56">
        <f t="shared" si="41"/>
        <v>1053.8127199999999</v>
      </c>
    </row>
    <row r="838" spans="1:10" ht="18">
      <c r="A838" s="49">
        <v>3663</v>
      </c>
      <c r="B838" s="49" t="s">
        <v>1454</v>
      </c>
      <c r="D838" s="49">
        <v>0</v>
      </c>
      <c r="E838" s="49">
        <v>0</v>
      </c>
      <c r="F838" s="49">
        <v>0</v>
      </c>
      <c r="G838" s="54">
        <v>0.54</v>
      </c>
      <c r="H838" s="56">
        <f t="shared" si="39"/>
        <v>0</v>
      </c>
      <c r="I838" s="57">
        <f t="shared" si="40"/>
        <v>0</v>
      </c>
      <c r="J838" s="56">
        <f t="shared" si="41"/>
        <v>0</v>
      </c>
    </row>
    <row r="839" spans="1:10" ht="18">
      <c r="A839" s="49">
        <v>3664</v>
      </c>
      <c r="B839" s="49" t="s">
        <v>1455</v>
      </c>
      <c r="D839" s="49">
        <v>0</v>
      </c>
      <c r="E839" s="49">
        <v>0</v>
      </c>
      <c r="F839" s="49">
        <v>0</v>
      </c>
      <c r="G839" s="54">
        <v>-0.39</v>
      </c>
      <c r="H839" s="56">
        <f t="shared" si="39"/>
        <v>0</v>
      </c>
      <c r="I839" s="57">
        <f t="shared" si="40"/>
        <v>0</v>
      </c>
      <c r="J839" s="56">
        <f t="shared" si="41"/>
        <v>0</v>
      </c>
    </row>
    <row r="840" spans="1:10" ht="18">
      <c r="A840" s="49">
        <v>3665</v>
      </c>
      <c r="B840" s="49" t="s">
        <v>892</v>
      </c>
      <c r="D840" s="49">
        <v>10.714</v>
      </c>
      <c r="E840" s="49">
        <v>21.722000000000001</v>
      </c>
      <c r="F840" s="49">
        <v>16.218</v>
      </c>
      <c r="G840" s="54">
        <v>14.33</v>
      </c>
      <c r="H840" s="56">
        <f t="shared" si="39"/>
        <v>153.53162</v>
      </c>
      <c r="I840" s="57">
        <f t="shared" si="40"/>
        <v>232.40394000000001</v>
      </c>
      <c r="J840" s="56">
        <f t="shared" si="41"/>
        <v>311.27626000000004</v>
      </c>
    </row>
    <row r="841" spans="1:10" ht="18">
      <c r="A841" s="49">
        <v>3666</v>
      </c>
      <c r="B841" s="49" t="s">
        <v>1456</v>
      </c>
      <c r="D841" s="49">
        <v>0</v>
      </c>
      <c r="E841" s="49">
        <v>0</v>
      </c>
      <c r="F841" s="49">
        <v>0</v>
      </c>
      <c r="G841" s="54">
        <v>-5.64</v>
      </c>
      <c r="H841" s="56">
        <f t="shared" si="39"/>
        <v>0</v>
      </c>
      <c r="I841" s="57">
        <f t="shared" si="40"/>
        <v>0</v>
      </c>
      <c r="J841" s="56">
        <f t="shared" si="41"/>
        <v>0</v>
      </c>
    </row>
    <row r="842" spans="1:10" ht="18">
      <c r="A842" s="49">
        <v>3669</v>
      </c>
      <c r="B842" s="49" t="s">
        <v>893</v>
      </c>
      <c r="D842" s="49">
        <v>11.488</v>
      </c>
      <c r="E842" s="49">
        <v>21.259999999999998</v>
      </c>
      <c r="F842" s="49">
        <v>16.373999999999999</v>
      </c>
      <c r="G842" s="54">
        <v>2.69</v>
      </c>
      <c r="H842" s="56">
        <f t="shared" si="39"/>
        <v>30.902719999999999</v>
      </c>
      <c r="I842" s="57">
        <f t="shared" si="40"/>
        <v>44.046059999999997</v>
      </c>
      <c r="J842" s="56">
        <f t="shared" si="41"/>
        <v>57.189399999999992</v>
      </c>
    </row>
    <row r="843" spans="1:10" ht="18">
      <c r="A843" s="49">
        <v>3672</v>
      </c>
      <c r="B843" s="49" t="s">
        <v>1457</v>
      </c>
      <c r="D843" s="49">
        <v>0</v>
      </c>
      <c r="E843" s="49">
        <v>0</v>
      </c>
      <c r="F843" s="49">
        <v>0</v>
      </c>
      <c r="G843" s="54">
        <v>-1.21</v>
      </c>
      <c r="H843" s="56">
        <f t="shared" si="39"/>
        <v>0</v>
      </c>
      <c r="I843" s="57">
        <f t="shared" si="40"/>
        <v>0</v>
      </c>
      <c r="J843" s="56">
        <f t="shared" si="41"/>
        <v>0</v>
      </c>
    </row>
    <row r="844" spans="1:10" ht="18">
      <c r="A844" s="49">
        <v>3673</v>
      </c>
      <c r="B844" s="49" t="s">
        <v>894</v>
      </c>
      <c r="D844" s="49">
        <v>11.856</v>
      </c>
      <c r="E844" s="49">
        <v>21.995999999999999</v>
      </c>
      <c r="F844" s="49">
        <v>16.925999999999998</v>
      </c>
      <c r="G844" s="54">
        <v>0.51</v>
      </c>
      <c r="H844" s="56">
        <f t="shared" si="39"/>
        <v>6.0465600000000004</v>
      </c>
      <c r="I844" s="57">
        <f t="shared" si="40"/>
        <v>8.6322599999999987</v>
      </c>
      <c r="J844" s="56">
        <f t="shared" si="41"/>
        <v>11.21796</v>
      </c>
    </row>
    <row r="845" spans="1:10" ht="18">
      <c r="A845" s="49">
        <v>3675</v>
      </c>
      <c r="B845" s="49" t="s">
        <v>1458</v>
      </c>
      <c r="D845" s="49">
        <v>15.247999999999999</v>
      </c>
      <c r="E845" s="49">
        <v>26.736000000000001</v>
      </c>
      <c r="F845" s="49">
        <v>20.992000000000001</v>
      </c>
      <c r="G845" s="54">
        <v>6.53</v>
      </c>
      <c r="H845" s="56">
        <f t="shared" si="39"/>
        <v>99.56944</v>
      </c>
      <c r="I845" s="57">
        <f t="shared" si="40"/>
        <v>137.07776000000001</v>
      </c>
      <c r="J845" s="56">
        <f t="shared" si="41"/>
        <v>174.58608000000001</v>
      </c>
    </row>
    <row r="846" spans="1:10" ht="18">
      <c r="A846" s="49">
        <v>3679</v>
      </c>
      <c r="B846" s="49" t="s">
        <v>895</v>
      </c>
      <c r="D846" s="49">
        <v>8.4160000000000004</v>
      </c>
      <c r="E846" s="49">
        <v>13.388</v>
      </c>
      <c r="F846" s="49">
        <v>10.902000000000001</v>
      </c>
      <c r="G846" s="54">
        <v>7.77</v>
      </c>
      <c r="H846" s="56">
        <f t="shared" si="39"/>
        <v>65.392319999999998</v>
      </c>
      <c r="I846" s="57">
        <f t="shared" si="40"/>
        <v>84.708539999999999</v>
      </c>
      <c r="J846" s="56">
        <f t="shared" si="41"/>
        <v>104.02476</v>
      </c>
    </row>
    <row r="847" spans="1:10" ht="18">
      <c r="A847" s="49">
        <v>3680</v>
      </c>
      <c r="B847" s="49" t="s">
        <v>1459</v>
      </c>
      <c r="D847" s="49">
        <v>28.332000000000001</v>
      </c>
      <c r="E847" s="49">
        <v>36.524000000000001</v>
      </c>
      <c r="F847" s="49">
        <v>32.427999999999997</v>
      </c>
      <c r="G847" s="54">
        <v>10.24</v>
      </c>
      <c r="H847" s="56">
        <f t="shared" si="39"/>
        <v>290.11968000000002</v>
      </c>
      <c r="I847" s="57">
        <f t="shared" si="40"/>
        <v>332.06271999999996</v>
      </c>
      <c r="J847" s="56">
        <f t="shared" si="41"/>
        <v>374.00576000000001</v>
      </c>
    </row>
    <row r="848" spans="1:10" ht="18">
      <c r="A848" s="49">
        <v>3682</v>
      </c>
      <c r="B848" s="49" t="s">
        <v>896</v>
      </c>
      <c r="D848" s="49">
        <v>0</v>
      </c>
      <c r="E848" s="49">
        <v>0</v>
      </c>
      <c r="F848" s="49">
        <v>0</v>
      </c>
      <c r="G848" s="54">
        <v>-0.84</v>
      </c>
      <c r="H848" s="56">
        <f t="shared" si="39"/>
        <v>0</v>
      </c>
      <c r="I848" s="57">
        <f t="shared" si="40"/>
        <v>0</v>
      </c>
      <c r="J848" s="56">
        <f t="shared" si="41"/>
        <v>0</v>
      </c>
    </row>
    <row r="849" spans="1:10" ht="18">
      <c r="A849" s="49">
        <v>3684</v>
      </c>
      <c r="B849" s="49" t="s">
        <v>1460</v>
      </c>
      <c r="D849" s="49">
        <v>11.034000000000001</v>
      </c>
      <c r="E849" s="49">
        <v>19.166</v>
      </c>
      <c r="F849" s="49">
        <v>15.100000000000001</v>
      </c>
      <c r="G849" s="54">
        <v>1.08</v>
      </c>
      <c r="H849" s="56">
        <f t="shared" si="39"/>
        <v>11.916720000000002</v>
      </c>
      <c r="I849" s="57">
        <f t="shared" si="40"/>
        <v>16.308000000000003</v>
      </c>
      <c r="J849" s="56">
        <f t="shared" si="41"/>
        <v>20.699280000000002</v>
      </c>
    </row>
    <row r="850" spans="1:10" ht="18">
      <c r="A850" s="49">
        <v>3685</v>
      </c>
      <c r="B850" s="49" t="s">
        <v>1461</v>
      </c>
      <c r="D850" s="49">
        <v>18.321999999999999</v>
      </c>
      <c r="E850" s="49">
        <v>18.321999999999999</v>
      </c>
      <c r="F850" s="49">
        <v>18.321999999999999</v>
      </c>
      <c r="G850" s="54">
        <v>-0.77</v>
      </c>
      <c r="H850" s="56">
        <f t="shared" si="39"/>
        <v>-14.107939999999999</v>
      </c>
      <c r="I850" s="57">
        <f t="shared" si="40"/>
        <v>-14.107939999999999</v>
      </c>
      <c r="J850" s="56">
        <f t="shared" si="41"/>
        <v>-14.107939999999999</v>
      </c>
    </row>
    <row r="851" spans="1:10" ht="18">
      <c r="A851" s="49">
        <v>3686</v>
      </c>
      <c r="B851" s="49" t="s">
        <v>897</v>
      </c>
      <c r="D851" s="49">
        <v>0</v>
      </c>
      <c r="E851" s="49">
        <v>0</v>
      </c>
      <c r="F851" s="49">
        <v>0</v>
      </c>
      <c r="G851" s="54">
        <v>-0.38</v>
      </c>
      <c r="H851" s="56">
        <f t="shared" si="39"/>
        <v>0</v>
      </c>
      <c r="I851" s="57">
        <f t="shared" si="40"/>
        <v>0</v>
      </c>
      <c r="J851" s="56">
        <f t="shared" si="41"/>
        <v>0</v>
      </c>
    </row>
    <row r="852" spans="1:10" ht="18">
      <c r="A852" s="49">
        <v>3687</v>
      </c>
      <c r="B852" s="49" t="s">
        <v>1462</v>
      </c>
      <c r="D852" s="49">
        <v>0</v>
      </c>
      <c r="E852" s="49">
        <v>0</v>
      </c>
      <c r="F852" s="49">
        <v>0</v>
      </c>
      <c r="G852" s="54">
        <v>1.75</v>
      </c>
      <c r="H852" s="56">
        <f t="shared" si="39"/>
        <v>0</v>
      </c>
      <c r="I852" s="57">
        <f t="shared" si="40"/>
        <v>0</v>
      </c>
      <c r="J852" s="56">
        <f t="shared" si="41"/>
        <v>0</v>
      </c>
    </row>
    <row r="853" spans="1:10" ht="18">
      <c r="A853" s="49">
        <v>3689</v>
      </c>
      <c r="B853" s="49" t="s">
        <v>1463</v>
      </c>
      <c r="D853" s="49">
        <v>9.9559999999999995</v>
      </c>
      <c r="E853" s="49">
        <v>19.356000000000002</v>
      </c>
      <c r="F853" s="49">
        <v>14.656000000000001</v>
      </c>
      <c r="G853" s="54">
        <v>4.9400000000000004</v>
      </c>
      <c r="H853" s="56">
        <f t="shared" si="39"/>
        <v>49.182639999999999</v>
      </c>
      <c r="I853" s="57">
        <f t="shared" si="40"/>
        <v>72.40064000000001</v>
      </c>
      <c r="J853" s="56">
        <f t="shared" si="41"/>
        <v>95.618640000000013</v>
      </c>
    </row>
    <row r="854" spans="1:10" ht="18">
      <c r="A854" s="49">
        <v>3691</v>
      </c>
      <c r="B854" s="49" t="s">
        <v>1464</v>
      </c>
      <c r="D854" s="49">
        <v>16.794</v>
      </c>
      <c r="E854" s="49">
        <v>20.490000000000002</v>
      </c>
      <c r="F854" s="49">
        <v>18.642000000000003</v>
      </c>
      <c r="G854" s="54">
        <v>-8.82</v>
      </c>
      <c r="H854" s="56">
        <f t="shared" si="39"/>
        <v>-148.12308000000002</v>
      </c>
      <c r="I854" s="57">
        <f t="shared" si="40"/>
        <v>-164.42244000000002</v>
      </c>
      <c r="J854" s="56">
        <f t="shared" si="41"/>
        <v>-180.72180000000003</v>
      </c>
    </row>
    <row r="855" spans="1:10" ht="18">
      <c r="A855" s="49">
        <v>3693</v>
      </c>
      <c r="B855" s="49" t="s">
        <v>1465</v>
      </c>
      <c r="D855" s="49">
        <v>14.894</v>
      </c>
      <c r="E855" s="49">
        <v>23.594000000000001</v>
      </c>
      <c r="F855" s="49">
        <v>19.244</v>
      </c>
      <c r="G855" s="54">
        <v>24.1</v>
      </c>
      <c r="H855" s="56">
        <f t="shared" si="39"/>
        <v>358.94540000000001</v>
      </c>
      <c r="I855" s="57">
        <f t="shared" si="40"/>
        <v>463.78040000000004</v>
      </c>
      <c r="J855" s="56">
        <f t="shared" si="41"/>
        <v>568.61540000000002</v>
      </c>
    </row>
    <row r="856" spans="1:10" ht="18">
      <c r="A856" s="49">
        <v>3694</v>
      </c>
      <c r="B856" s="49" t="s">
        <v>898</v>
      </c>
      <c r="D856" s="49">
        <v>15.35</v>
      </c>
      <c r="E856" s="49">
        <v>15.35</v>
      </c>
      <c r="F856" s="49">
        <v>15.35</v>
      </c>
      <c r="G856" s="54">
        <v>2.1800000000000002</v>
      </c>
      <c r="H856" s="56">
        <f t="shared" si="39"/>
        <v>33.463000000000001</v>
      </c>
      <c r="I856" s="57">
        <f t="shared" si="40"/>
        <v>33.463000000000001</v>
      </c>
      <c r="J856" s="56">
        <f t="shared" si="41"/>
        <v>33.463000000000001</v>
      </c>
    </row>
    <row r="857" spans="1:10" ht="18">
      <c r="A857" s="49">
        <v>3701</v>
      </c>
      <c r="B857" s="49" t="s">
        <v>899</v>
      </c>
      <c r="D857" s="49">
        <v>20.875999999999998</v>
      </c>
      <c r="E857" s="49">
        <v>20.875999999999998</v>
      </c>
      <c r="F857" s="49">
        <v>20.875999999999998</v>
      </c>
      <c r="G857" s="54">
        <v>1.49</v>
      </c>
      <c r="H857" s="56">
        <f t="shared" si="39"/>
        <v>31.105239999999995</v>
      </c>
      <c r="I857" s="57">
        <f t="shared" si="40"/>
        <v>31.105239999999995</v>
      </c>
      <c r="J857" s="56">
        <f t="shared" si="41"/>
        <v>31.105239999999995</v>
      </c>
    </row>
    <row r="858" spans="1:10" ht="18">
      <c r="A858" s="49">
        <v>3702</v>
      </c>
      <c r="B858" s="49" t="s">
        <v>900</v>
      </c>
      <c r="D858" s="49">
        <v>7.8679999999999994</v>
      </c>
      <c r="E858" s="49">
        <v>17.591999999999999</v>
      </c>
      <c r="F858" s="49">
        <v>12.729999999999999</v>
      </c>
      <c r="G858" s="54">
        <v>4.59</v>
      </c>
      <c r="H858" s="56">
        <f t="shared" si="39"/>
        <v>36.11412</v>
      </c>
      <c r="I858" s="57">
        <f t="shared" si="40"/>
        <v>58.430699999999995</v>
      </c>
      <c r="J858" s="56">
        <f t="shared" si="41"/>
        <v>80.747279999999989</v>
      </c>
    </row>
    <row r="859" spans="1:10" ht="18">
      <c r="A859" s="49">
        <v>3703</v>
      </c>
      <c r="B859" s="49" t="s">
        <v>901</v>
      </c>
      <c r="D859" s="49">
        <v>7.8179999999999996</v>
      </c>
      <c r="E859" s="49">
        <v>20.266000000000002</v>
      </c>
      <c r="F859" s="49">
        <v>14.042000000000002</v>
      </c>
      <c r="G859" s="54">
        <v>2.09</v>
      </c>
      <c r="H859" s="56">
        <f t="shared" si="39"/>
        <v>16.339619999999996</v>
      </c>
      <c r="I859" s="57">
        <f t="shared" si="40"/>
        <v>29.34778</v>
      </c>
      <c r="J859" s="56">
        <f t="shared" si="41"/>
        <v>42.355940000000004</v>
      </c>
    </row>
    <row r="860" spans="1:10" ht="18">
      <c r="A860" s="49">
        <v>3704</v>
      </c>
      <c r="B860" s="49" t="s">
        <v>902</v>
      </c>
      <c r="D860" s="49">
        <v>11.103999999999999</v>
      </c>
      <c r="E860" s="49">
        <v>17.314</v>
      </c>
      <c r="F860" s="49">
        <v>14.209</v>
      </c>
      <c r="G860" s="54">
        <v>3.38</v>
      </c>
      <c r="H860" s="56">
        <f t="shared" si="39"/>
        <v>37.531519999999993</v>
      </c>
      <c r="I860" s="57">
        <f t="shared" si="40"/>
        <v>48.026419999999995</v>
      </c>
      <c r="J860" s="56">
        <f t="shared" si="41"/>
        <v>58.521319999999996</v>
      </c>
    </row>
    <row r="861" spans="1:10" ht="18">
      <c r="A861" s="49">
        <v>3705</v>
      </c>
      <c r="B861" s="49" t="s">
        <v>903</v>
      </c>
      <c r="D861" s="49">
        <v>14.634</v>
      </c>
      <c r="E861" s="49">
        <v>20.830000000000002</v>
      </c>
      <c r="F861" s="49">
        <v>17.731999999999999</v>
      </c>
      <c r="G861" s="54">
        <v>3.11</v>
      </c>
      <c r="H861" s="56">
        <f t="shared" si="39"/>
        <v>45.511739999999996</v>
      </c>
      <c r="I861" s="57">
        <f t="shared" si="40"/>
        <v>55.146519999999995</v>
      </c>
      <c r="J861" s="56">
        <f t="shared" si="41"/>
        <v>64.781300000000002</v>
      </c>
    </row>
    <row r="862" spans="1:10" ht="18">
      <c r="A862" s="49">
        <v>3706</v>
      </c>
      <c r="B862" s="49" t="s">
        <v>904</v>
      </c>
      <c r="D862" s="49">
        <v>6.8340000000000005</v>
      </c>
      <c r="E862" s="49">
        <v>18.059999999999999</v>
      </c>
      <c r="F862" s="49">
        <v>12.446999999999999</v>
      </c>
      <c r="G862" s="54">
        <v>1.48</v>
      </c>
      <c r="H862" s="56">
        <f t="shared" si="39"/>
        <v>10.114320000000001</v>
      </c>
      <c r="I862" s="57">
        <f t="shared" si="40"/>
        <v>18.421559999999999</v>
      </c>
      <c r="J862" s="56">
        <f t="shared" si="41"/>
        <v>26.728799999999996</v>
      </c>
    </row>
    <row r="863" spans="1:10" ht="18">
      <c r="A863" s="49">
        <v>3707</v>
      </c>
      <c r="B863" s="49" t="s">
        <v>1466</v>
      </c>
      <c r="D863" s="49">
        <v>0</v>
      </c>
      <c r="E863" s="49">
        <v>0</v>
      </c>
      <c r="F863" s="49">
        <v>0</v>
      </c>
      <c r="G863" s="54">
        <v>0.2</v>
      </c>
      <c r="H863" s="56">
        <f t="shared" si="39"/>
        <v>0</v>
      </c>
      <c r="I863" s="57">
        <f t="shared" si="40"/>
        <v>0</v>
      </c>
      <c r="J863" s="56">
        <f t="shared" si="41"/>
        <v>0</v>
      </c>
    </row>
    <row r="864" spans="1:10" ht="18">
      <c r="A864" s="49">
        <v>3708</v>
      </c>
      <c r="B864" s="49" t="s">
        <v>905</v>
      </c>
      <c r="D864" s="49">
        <v>10.34</v>
      </c>
      <c r="E864" s="49">
        <v>16.178000000000001</v>
      </c>
      <c r="F864" s="49">
        <v>13.259</v>
      </c>
      <c r="G864" s="54">
        <v>12.88</v>
      </c>
      <c r="H864" s="56">
        <f t="shared" si="39"/>
        <v>133.17920000000001</v>
      </c>
      <c r="I864" s="57">
        <f t="shared" si="40"/>
        <v>170.77592000000001</v>
      </c>
      <c r="J864" s="56">
        <f t="shared" si="41"/>
        <v>208.37264000000002</v>
      </c>
    </row>
    <row r="865" spans="1:10" ht="18">
      <c r="A865" s="49">
        <v>3709</v>
      </c>
      <c r="B865" s="49" t="s">
        <v>1467</v>
      </c>
      <c r="D865" s="49">
        <v>12.238</v>
      </c>
      <c r="E865" s="49">
        <v>14.937999999999999</v>
      </c>
      <c r="F865" s="49">
        <v>13.587999999999999</v>
      </c>
      <c r="G865" s="54">
        <v>1.34</v>
      </c>
      <c r="H865" s="56">
        <f t="shared" si="39"/>
        <v>16.39892</v>
      </c>
      <c r="I865" s="57">
        <f t="shared" si="40"/>
        <v>18.207920000000001</v>
      </c>
      <c r="J865" s="56">
        <f t="shared" si="41"/>
        <v>20.016919999999999</v>
      </c>
    </row>
    <row r="866" spans="1:10" ht="18">
      <c r="A866" s="49">
        <v>3710</v>
      </c>
      <c r="B866" s="49" t="s">
        <v>1468</v>
      </c>
      <c r="D866" s="49">
        <v>0</v>
      </c>
      <c r="E866" s="49">
        <v>0</v>
      </c>
      <c r="F866" s="49">
        <v>0</v>
      </c>
      <c r="G866" s="54">
        <v>-0.78</v>
      </c>
      <c r="H866" s="56">
        <f t="shared" si="39"/>
        <v>0</v>
      </c>
      <c r="I866" s="57">
        <f t="shared" si="40"/>
        <v>0</v>
      </c>
      <c r="J866" s="56">
        <f t="shared" si="41"/>
        <v>0</v>
      </c>
    </row>
    <row r="867" spans="1:10" ht="18">
      <c r="A867" s="49">
        <v>3711</v>
      </c>
      <c r="B867" s="49" t="s">
        <v>906</v>
      </c>
      <c r="D867" s="49">
        <v>13.580000000000002</v>
      </c>
      <c r="E867" s="49">
        <v>13.580000000000002</v>
      </c>
      <c r="F867" s="49">
        <v>13.580000000000002</v>
      </c>
      <c r="G867" s="54">
        <v>1.32</v>
      </c>
      <c r="H867" s="56">
        <f t="shared" si="39"/>
        <v>17.925600000000003</v>
      </c>
      <c r="I867" s="57">
        <f t="shared" si="40"/>
        <v>17.925600000000003</v>
      </c>
      <c r="J867" s="56">
        <f t="shared" si="41"/>
        <v>17.925600000000003</v>
      </c>
    </row>
    <row r="868" spans="1:10" ht="18">
      <c r="A868" s="49">
        <v>3712</v>
      </c>
      <c r="B868" s="49" t="s">
        <v>907</v>
      </c>
      <c r="D868" s="49">
        <v>0</v>
      </c>
      <c r="E868" s="49">
        <v>0</v>
      </c>
      <c r="F868" s="49">
        <v>0</v>
      </c>
      <c r="G868" s="54">
        <v>0.75</v>
      </c>
      <c r="H868" s="56">
        <f t="shared" si="39"/>
        <v>0</v>
      </c>
      <c r="I868" s="57">
        <f t="shared" si="40"/>
        <v>0</v>
      </c>
      <c r="J868" s="56">
        <f t="shared" si="41"/>
        <v>0</v>
      </c>
    </row>
    <row r="869" spans="1:10" ht="18">
      <c r="A869" s="49">
        <v>3713</v>
      </c>
      <c r="B869" s="49" t="s">
        <v>1469</v>
      </c>
      <c r="D869" s="49">
        <v>0</v>
      </c>
      <c r="E869" s="49">
        <v>0</v>
      </c>
      <c r="F869" s="49">
        <v>0</v>
      </c>
      <c r="G869" s="54" t="s">
        <v>271</v>
      </c>
      <c r="H869" s="56" t="e">
        <f t="shared" si="39"/>
        <v>#VALUE!</v>
      </c>
      <c r="I869" s="57" t="e">
        <f t="shared" si="40"/>
        <v>#VALUE!</v>
      </c>
      <c r="J869" s="56" t="e">
        <f t="shared" si="41"/>
        <v>#VALUE!</v>
      </c>
    </row>
    <row r="870" spans="1:10" ht="18">
      <c r="A870" s="49">
        <v>3714</v>
      </c>
      <c r="B870" s="49" t="s">
        <v>908</v>
      </c>
      <c r="D870" s="49">
        <v>0</v>
      </c>
      <c r="E870" s="49">
        <v>0</v>
      </c>
      <c r="F870" s="49">
        <v>0</v>
      </c>
      <c r="G870" s="54" t="s">
        <v>271</v>
      </c>
      <c r="H870" s="56" t="e">
        <f t="shared" si="39"/>
        <v>#VALUE!</v>
      </c>
      <c r="I870" s="57" t="e">
        <f t="shared" si="40"/>
        <v>#VALUE!</v>
      </c>
      <c r="J870" s="56" t="e">
        <f t="shared" si="41"/>
        <v>#VALUE!</v>
      </c>
    </row>
    <row r="871" spans="1:10" ht="18">
      <c r="A871" s="49">
        <v>3715</v>
      </c>
      <c r="B871" s="49" t="s">
        <v>909</v>
      </c>
      <c r="D871" s="49">
        <v>0</v>
      </c>
      <c r="E871" s="49">
        <v>0</v>
      </c>
      <c r="F871" s="49">
        <v>0</v>
      </c>
      <c r="G871" s="54" t="s">
        <v>271</v>
      </c>
      <c r="H871" s="56" t="e">
        <f t="shared" si="39"/>
        <v>#VALUE!</v>
      </c>
      <c r="I871" s="57" t="e">
        <f t="shared" si="40"/>
        <v>#VALUE!</v>
      </c>
      <c r="J871" s="56" t="e">
        <f t="shared" si="41"/>
        <v>#VALUE!</v>
      </c>
    </row>
    <row r="872" spans="1:10" ht="18">
      <c r="A872" s="49">
        <v>4102</v>
      </c>
      <c r="B872" s="49" t="s">
        <v>1470</v>
      </c>
      <c r="D872" s="49">
        <v>24.297999999999998</v>
      </c>
      <c r="E872" s="49">
        <v>28.879999999999995</v>
      </c>
      <c r="F872" s="49">
        <v>26.588999999999999</v>
      </c>
      <c r="G872" s="54">
        <v>1.48</v>
      </c>
      <c r="H872" s="56">
        <f t="shared" si="39"/>
        <v>35.961039999999997</v>
      </c>
      <c r="I872" s="57">
        <f t="shared" si="40"/>
        <v>39.35172</v>
      </c>
      <c r="J872" s="56">
        <f t="shared" si="41"/>
        <v>42.742399999999989</v>
      </c>
    </row>
    <row r="873" spans="1:10" ht="18">
      <c r="A873" s="49">
        <v>4104</v>
      </c>
      <c r="B873" s="49" t="s">
        <v>910</v>
      </c>
      <c r="D873" s="49">
        <v>13.372</v>
      </c>
      <c r="E873" s="49">
        <v>23.222000000000001</v>
      </c>
      <c r="F873" s="49">
        <v>18.297000000000001</v>
      </c>
      <c r="G873" s="54">
        <v>4.74</v>
      </c>
      <c r="H873" s="56">
        <f t="shared" si="39"/>
        <v>63.383279999999999</v>
      </c>
      <c r="I873" s="57">
        <f t="shared" si="40"/>
        <v>86.72778000000001</v>
      </c>
      <c r="J873" s="56">
        <f t="shared" si="41"/>
        <v>110.07228000000001</v>
      </c>
    </row>
    <row r="874" spans="1:10" ht="18">
      <c r="A874" s="49">
        <v>4105</v>
      </c>
      <c r="B874" s="49" t="s">
        <v>1471</v>
      </c>
      <c r="D874" s="49">
        <v>14.904</v>
      </c>
      <c r="E874" s="49">
        <v>26.954000000000001</v>
      </c>
      <c r="F874" s="49">
        <v>20.929000000000002</v>
      </c>
      <c r="G874" s="54">
        <v>4.54</v>
      </c>
      <c r="H874" s="56">
        <f t="shared" si="39"/>
        <v>67.664159999999995</v>
      </c>
      <c r="I874" s="57">
        <f t="shared" si="40"/>
        <v>95.017660000000006</v>
      </c>
      <c r="J874" s="56">
        <f t="shared" si="41"/>
        <v>122.37116</v>
      </c>
    </row>
    <row r="875" spans="1:10" ht="18">
      <c r="A875" s="49">
        <v>4106</v>
      </c>
      <c r="B875" s="49" t="s">
        <v>911</v>
      </c>
      <c r="D875" s="49">
        <v>12.048</v>
      </c>
      <c r="E875" s="49">
        <v>25.223999999999997</v>
      </c>
      <c r="F875" s="49">
        <v>18.635999999999999</v>
      </c>
      <c r="G875" s="54">
        <v>1.51</v>
      </c>
      <c r="H875" s="56">
        <f t="shared" si="39"/>
        <v>18.19248</v>
      </c>
      <c r="I875" s="57">
        <f t="shared" si="40"/>
        <v>28.140359999999998</v>
      </c>
      <c r="J875" s="56">
        <f t="shared" si="41"/>
        <v>38.088239999999992</v>
      </c>
    </row>
    <row r="876" spans="1:10" ht="18">
      <c r="A876" s="49">
        <v>4107</v>
      </c>
      <c r="B876" s="49" t="s">
        <v>1472</v>
      </c>
      <c r="D876" s="49">
        <v>13.644</v>
      </c>
      <c r="E876" s="49">
        <v>25.654000000000003</v>
      </c>
      <c r="F876" s="49">
        <v>19.649000000000001</v>
      </c>
      <c r="G876" s="54">
        <v>6.53</v>
      </c>
      <c r="H876" s="56">
        <f t="shared" si="39"/>
        <v>89.095320000000001</v>
      </c>
      <c r="I876" s="57">
        <f t="shared" si="40"/>
        <v>128.30797000000001</v>
      </c>
      <c r="J876" s="56">
        <f t="shared" si="41"/>
        <v>167.52062000000004</v>
      </c>
    </row>
    <row r="877" spans="1:10" ht="18">
      <c r="A877" s="49">
        <v>4108</v>
      </c>
      <c r="B877" s="49" t="s">
        <v>912</v>
      </c>
      <c r="D877" s="49">
        <v>0</v>
      </c>
      <c r="E877" s="49">
        <v>0</v>
      </c>
      <c r="F877" s="49">
        <v>0</v>
      </c>
      <c r="G877" s="54">
        <v>-0.24</v>
      </c>
      <c r="H877" s="56">
        <f t="shared" si="39"/>
        <v>0</v>
      </c>
      <c r="I877" s="57">
        <f t="shared" si="40"/>
        <v>0</v>
      </c>
      <c r="J877" s="56">
        <f t="shared" si="41"/>
        <v>0</v>
      </c>
    </row>
    <row r="878" spans="1:10" ht="18">
      <c r="A878" s="49">
        <v>4109</v>
      </c>
      <c r="B878" s="49" t="s">
        <v>1473</v>
      </c>
      <c r="D878" s="49">
        <v>0</v>
      </c>
      <c r="E878" s="49">
        <v>0</v>
      </c>
      <c r="F878" s="49">
        <v>0</v>
      </c>
      <c r="G878" s="54">
        <v>1.62</v>
      </c>
      <c r="H878" s="56">
        <f t="shared" si="39"/>
        <v>0</v>
      </c>
      <c r="I878" s="57">
        <f t="shared" si="40"/>
        <v>0</v>
      </c>
      <c r="J878" s="56">
        <f t="shared" si="41"/>
        <v>0</v>
      </c>
    </row>
    <row r="879" spans="1:10" ht="18">
      <c r="A879" s="49">
        <v>4111</v>
      </c>
      <c r="B879" s="49" t="s">
        <v>1474</v>
      </c>
      <c r="D879" s="49">
        <v>15.278</v>
      </c>
      <c r="E879" s="49">
        <v>29.393999999999998</v>
      </c>
      <c r="F879" s="49">
        <v>22.335999999999999</v>
      </c>
      <c r="G879" s="54">
        <v>1.21</v>
      </c>
      <c r="H879" s="56">
        <f t="shared" si="39"/>
        <v>18.48638</v>
      </c>
      <c r="I879" s="57">
        <f t="shared" si="40"/>
        <v>27.026559999999996</v>
      </c>
      <c r="J879" s="56">
        <f t="shared" si="41"/>
        <v>35.566739999999996</v>
      </c>
    </row>
    <row r="880" spans="1:10" ht="18">
      <c r="A880" s="49">
        <v>4113</v>
      </c>
      <c r="B880" s="49" t="s">
        <v>1475</v>
      </c>
      <c r="D880" s="49">
        <v>6.8639999999999999</v>
      </c>
      <c r="E880" s="49">
        <v>21.956</v>
      </c>
      <c r="F880" s="49">
        <v>14.41</v>
      </c>
      <c r="G880" s="54">
        <v>-0.69</v>
      </c>
      <c r="H880" s="56">
        <f t="shared" si="39"/>
        <v>-4.7361599999999999</v>
      </c>
      <c r="I880" s="57">
        <f t="shared" si="40"/>
        <v>-9.9428999999999998</v>
      </c>
      <c r="J880" s="56">
        <f t="shared" si="41"/>
        <v>-15.149639999999998</v>
      </c>
    </row>
    <row r="881" spans="1:10" ht="18">
      <c r="A881" s="49">
        <v>4114</v>
      </c>
      <c r="B881" s="49" t="s">
        <v>1476</v>
      </c>
      <c r="D881" s="49">
        <v>19.989999999999998</v>
      </c>
      <c r="E881" s="49">
        <v>23.302</v>
      </c>
      <c r="F881" s="49">
        <v>21.646000000000001</v>
      </c>
      <c r="G881" s="54">
        <v>1.58</v>
      </c>
      <c r="H881" s="56">
        <f t="shared" si="39"/>
        <v>31.584199999999999</v>
      </c>
      <c r="I881" s="57">
        <f t="shared" si="40"/>
        <v>34.200680000000006</v>
      </c>
      <c r="J881" s="56">
        <f t="shared" si="41"/>
        <v>36.817160000000001</v>
      </c>
    </row>
    <row r="882" spans="1:10" ht="18">
      <c r="A882" s="49">
        <v>4116</v>
      </c>
      <c r="B882" s="49" t="s">
        <v>1477</v>
      </c>
      <c r="D882" s="49">
        <v>21.733999999999998</v>
      </c>
      <c r="E882" s="49">
        <v>29.692</v>
      </c>
      <c r="F882" s="49">
        <v>25.713000000000001</v>
      </c>
      <c r="G882" s="54">
        <v>2.57</v>
      </c>
      <c r="H882" s="56">
        <f t="shared" si="39"/>
        <v>55.856379999999994</v>
      </c>
      <c r="I882" s="57">
        <f t="shared" si="40"/>
        <v>66.082409999999996</v>
      </c>
      <c r="J882" s="56">
        <f t="shared" si="41"/>
        <v>76.30843999999999</v>
      </c>
    </row>
    <row r="883" spans="1:10" ht="18">
      <c r="A883" s="49">
        <v>4119</v>
      </c>
      <c r="B883" s="49" t="s">
        <v>913</v>
      </c>
      <c r="D883" s="49">
        <v>12.639999999999999</v>
      </c>
      <c r="E883" s="49">
        <v>26.106000000000002</v>
      </c>
      <c r="F883" s="49">
        <v>19.373000000000001</v>
      </c>
      <c r="G883" s="54">
        <v>2.62</v>
      </c>
      <c r="H883" s="56">
        <f t="shared" si="39"/>
        <v>33.116799999999998</v>
      </c>
      <c r="I883" s="57">
        <f t="shared" si="40"/>
        <v>50.757260000000002</v>
      </c>
      <c r="J883" s="56">
        <f t="shared" si="41"/>
        <v>68.397720000000007</v>
      </c>
    </row>
    <row r="884" spans="1:10" ht="18">
      <c r="A884" s="49">
        <v>4120</v>
      </c>
      <c r="B884" s="49" t="s">
        <v>1478</v>
      </c>
      <c r="D884" s="49">
        <v>11.904</v>
      </c>
      <c r="E884" s="49">
        <v>20.46</v>
      </c>
      <c r="F884" s="49">
        <v>16.182000000000002</v>
      </c>
      <c r="G884" s="54">
        <v>1.66</v>
      </c>
      <c r="H884" s="56">
        <f t="shared" si="39"/>
        <v>19.760639999999999</v>
      </c>
      <c r="I884" s="57">
        <f t="shared" si="40"/>
        <v>26.862120000000001</v>
      </c>
      <c r="J884" s="56">
        <f t="shared" si="41"/>
        <v>33.9636</v>
      </c>
    </row>
    <row r="885" spans="1:10" ht="18">
      <c r="A885" s="49">
        <v>4121</v>
      </c>
      <c r="B885" s="49" t="s">
        <v>1479</v>
      </c>
      <c r="D885" s="49">
        <v>12.629999999999999</v>
      </c>
      <c r="E885" s="49">
        <v>23.79</v>
      </c>
      <c r="F885" s="49">
        <v>18.21</v>
      </c>
      <c r="G885" s="54">
        <v>-0.08</v>
      </c>
      <c r="H885" s="56">
        <f t="shared" si="39"/>
        <v>-1.0104</v>
      </c>
      <c r="I885" s="57">
        <f t="shared" si="40"/>
        <v>-1.4568000000000001</v>
      </c>
      <c r="J885" s="56">
        <f t="shared" si="41"/>
        <v>-1.9032</v>
      </c>
    </row>
    <row r="886" spans="1:10" ht="18">
      <c r="A886" s="49">
        <v>4123</v>
      </c>
      <c r="B886" s="49" t="s">
        <v>1480</v>
      </c>
      <c r="D886" s="49">
        <v>9.484</v>
      </c>
      <c r="E886" s="49">
        <v>15.435999999999998</v>
      </c>
      <c r="F886" s="49">
        <v>12.459999999999999</v>
      </c>
      <c r="G886" s="54">
        <v>-1.65</v>
      </c>
      <c r="H886" s="56">
        <f t="shared" si="39"/>
        <v>-15.648599999999998</v>
      </c>
      <c r="I886" s="57">
        <f t="shared" si="40"/>
        <v>-20.558999999999997</v>
      </c>
      <c r="J886" s="56">
        <f t="shared" si="41"/>
        <v>-25.469399999999997</v>
      </c>
    </row>
    <row r="887" spans="1:10" ht="18">
      <c r="A887" s="49">
        <v>4126</v>
      </c>
      <c r="B887" s="49" t="s">
        <v>1481</v>
      </c>
      <c r="D887" s="49">
        <v>12.27</v>
      </c>
      <c r="E887" s="49">
        <v>20.857999999999997</v>
      </c>
      <c r="F887" s="49">
        <v>16.564</v>
      </c>
      <c r="G887" s="54">
        <v>5.8</v>
      </c>
      <c r="H887" s="56">
        <f t="shared" si="39"/>
        <v>71.165999999999997</v>
      </c>
      <c r="I887" s="57">
        <f t="shared" si="40"/>
        <v>96.07119999999999</v>
      </c>
      <c r="J887" s="56">
        <f t="shared" si="41"/>
        <v>120.97639999999998</v>
      </c>
    </row>
    <row r="888" spans="1:10" ht="18">
      <c r="A888" s="49">
        <v>4127</v>
      </c>
      <c r="B888" s="49" t="s">
        <v>1482</v>
      </c>
      <c r="D888" s="49">
        <v>17.233999999999998</v>
      </c>
      <c r="E888" s="49">
        <v>21.886000000000003</v>
      </c>
      <c r="F888" s="49">
        <v>19.560000000000002</v>
      </c>
      <c r="G888" s="54">
        <v>0.39</v>
      </c>
      <c r="H888" s="56">
        <f t="shared" si="39"/>
        <v>6.7212599999999991</v>
      </c>
      <c r="I888" s="57">
        <f t="shared" si="40"/>
        <v>7.628400000000001</v>
      </c>
      <c r="J888" s="56">
        <f t="shared" si="41"/>
        <v>8.535540000000001</v>
      </c>
    </row>
    <row r="889" spans="1:10" ht="18">
      <c r="A889" s="49">
        <v>4128</v>
      </c>
      <c r="B889" s="49" t="s">
        <v>1483</v>
      </c>
      <c r="D889" s="49">
        <v>0</v>
      </c>
      <c r="E889" s="49">
        <v>0</v>
      </c>
      <c r="F889" s="49">
        <v>0</v>
      </c>
      <c r="G889" s="54">
        <v>-2.09</v>
      </c>
      <c r="H889" s="56">
        <f t="shared" si="39"/>
        <v>0</v>
      </c>
      <c r="I889" s="57">
        <f t="shared" si="40"/>
        <v>0</v>
      </c>
      <c r="J889" s="56">
        <f t="shared" si="41"/>
        <v>0</v>
      </c>
    </row>
    <row r="890" spans="1:10" ht="18">
      <c r="A890" s="49">
        <v>4129</v>
      </c>
      <c r="B890" s="49" t="s">
        <v>1484</v>
      </c>
      <c r="D890" s="49">
        <v>25.235999999999997</v>
      </c>
      <c r="E890" s="49">
        <v>32.525999999999996</v>
      </c>
      <c r="F890" s="49">
        <v>28.880999999999997</v>
      </c>
      <c r="G890" s="54">
        <v>4.5</v>
      </c>
      <c r="H890" s="56">
        <f t="shared" si="39"/>
        <v>113.56199999999998</v>
      </c>
      <c r="I890" s="57">
        <f t="shared" si="40"/>
        <v>129.96449999999999</v>
      </c>
      <c r="J890" s="56">
        <f t="shared" si="41"/>
        <v>146.36699999999999</v>
      </c>
    </row>
    <row r="891" spans="1:10" ht="18">
      <c r="A891" s="49">
        <v>4130</v>
      </c>
      <c r="B891" s="49" t="s">
        <v>1485</v>
      </c>
      <c r="D891" s="49">
        <v>0</v>
      </c>
      <c r="E891" s="49">
        <v>0</v>
      </c>
      <c r="F891" s="49">
        <v>0</v>
      </c>
      <c r="G891" s="54">
        <v>0.27</v>
      </c>
      <c r="H891" s="56">
        <f t="shared" si="39"/>
        <v>0</v>
      </c>
      <c r="I891" s="57">
        <f t="shared" si="40"/>
        <v>0</v>
      </c>
      <c r="J891" s="56">
        <f t="shared" si="41"/>
        <v>0</v>
      </c>
    </row>
    <row r="892" spans="1:10" ht="18">
      <c r="A892" s="49">
        <v>4131</v>
      </c>
      <c r="B892" s="49" t="s">
        <v>1486</v>
      </c>
      <c r="D892" s="49">
        <v>0</v>
      </c>
      <c r="E892" s="49">
        <v>0</v>
      </c>
      <c r="F892" s="49">
        <v>0</v>
      </c>
      <c r="G892" s="54">
        <v>-1.87</v>
      </c>
      <c r="H892" s="56">
        <f t="shared" si="39"/>
        <v>0</v>
      </c>
      <c r="I892" s="57">
        <f t="shared" si="40"/>
        <v>0</v>
      </c>
      <c r="J892" s="56">
        <f t="shared" si="41"/>
        <v>0</v>
      </c>
    </row>
    <row r="893" spans="1:10" ht="18">
      <c r="A893" s="49">
        <v>4133</v>
      </c>
      <c r="B893" s="49" t="s">
        <v>914</v>
      </c>
      <c r="D893" s="49">
        <v>32.475999999999999</v>
      </c>
      <c r="E893" s="49">
        <v>36.012</v>
      </c>
      <c r="F893" s="49">
        <v>34.244</v>
      </c>
      <c r="G893" s="54">
        <v>0.72</v>
      </c>
      <c r="H893" s="56">
        <f t="shared" si="39"/>
        <v>23.382719999999999</v>
      </c>
      <c r="I893" s="57">
        <f t="shared" si="40"/>
        <v>24.65568</v>
      </c>
      <c r="J893" s="56">
        <f t="shared" si="41"/>
        <v>25.928639999999998</v>
      </c>
    </row>
    <row r="894" spans="1:10" ht="18">
      <c r="A894" s="49">
        <v>4137</v>
      </c>
      <c r="B894" s="49" t="s">
        <v>915</v>
      </c>
      <c r="D894" s="49">
        <v>14.168000000000001</v>
      </c>
      <c r="E894" s="49">
        <v>24.68</v>
      </c>
      <c r="F894" s="49">
        <v>19.423999999999999</v>
      </c>
      <c r="G894" s="54">
        <v>13.03</v>
      </c>
      <c r="H894" s="56">
        <f t="shared" si="39"/>
        <v>184.60903999999999</v>
      </c>
      <c r="I894" s="57">
        <f t="shared" si="40"/>
        <v>253.09471999999997</v>
      </c>
      <c r="J894" s="56">
        <f t="shared" si="41"/>
        <v>321.5804</v>
      </c>
    </row>
    <row r="895" spans="1:10" ht="18">
      <c r="A895" s="49">
        <v>4138</v>
      </c>
      <c r="B895" s="49" t="s">
        <v>1487</v>
      </c>
      <c r="D895" s="49">
        <v>13.026</v>
      </c>
      <c r="E895" s="49">
        <v>18.716000000000001</v>
      </c>
      <c r="F895" s="49">
        <v>15.871</v>
      </c>
      <c r="G895" s="54">
        <v>6.2</v>
      </c>
      <c r="H895" s="56">
        <f t="shared" si="39"/>
        <v>80.761200000000002</v>
      </c>
      <c r="I895" s="57">
        <f t="shared" si="40"/>
        <v>98.400200000000012</v>
      </c>
      <c r="J895" s="56">
        <f t="shared" si="41"/>
        <v>116.03920000000001</v>
      </c>
    </row>
    <row r="896" spans="1:10" ht="18">
      <c r="A896" s="49">
        <v>4139</v>
      </c>
      <c r="B896" s="49" t="s">
        <v>1488</v>
      </c>
      <c r="D896" s="49">
        <v>0</v>
      </c>
      <c r="E896" s="49">
        <v>0</v>
      </c>
      <c r="F896" s="49">
        <v>0</v>
      </c>
      <c r="G896" s="54">
        <v>-1</v>
      </c>
      <c r="H896" s="56">
        <f t="shared" si="39"/>
        <v>0</v>
      </c>
      <c r="I896" s="57">
        <f t="shared" si="40"/>
        <v>0</v>
      </c>
      <c r="J896" s="56">
        <f t="shared" si="41"/>
        <v>0</v>
      </c>
    </row>
    <row r="897" spans="1:10" ht="18">
      <c r="A897" s="49">
        <v>4142</v>
      </c>
      <c r="B897" s="49" t="s">
        <v>916</v>
      </c>
      <c r="D897" s="49">
        <v>0</v>
      </c>
      <c r="E897" s="49">
        <v>0</v>
      </c>
      <c r="F897" s="49">
        <v>0</v>
      </c>
      <c r="G897" s="54">
        <v>-1.52</v>
      </c>
      <c r="H897" s="56">
        <f t="shared" si="39"/>
        <v>0</v>
      </c>
      <c r="I897" s="57">
        <f t="shared" si="40"/>
        <v>0</v>
      </c>
      <c r="J897" s="56">
        <f t="shared" si="41"/>
        <v>0</v>
      </c>
    </row>
    <row r="898" spans="1:10" ht="18">
      <c r="A898" s="49">
        <v>4147</v>
      </c>
      <c r="B898" s="49" t="s">
        <v>1489</v>
      </c>
      <c r="D898" s="49">
        <v>0</v>
      </c>
      <c r="E898" s="49">
        <v>0</v>
      </c>
      <c r="F898" s="49">
        <v>0</v>
      </c>
      <c r="G898" s="54">
        <v>-0.77</v>
      </c>
      <c r="H898" s="56">
        <f t="shared" si="39"/>
        <v>0</v>
      </c>
      <c r="I898" s="57">
        <f t="shared" si="40"/>
        <v>0</v>
      </c>
      <c r="J898" s="56">
        <f t="shared" si="41"/>
        <v>0</v>
      </c>
    </row>
    <row r="899" spans="1:10" ht="18">
      <c r="A899" s="49">
        <v>4148</v>
      </c>
      <c r="B899" s="49" t="s">
        <v>917</v>
      </c>
      <c r="D899" s="49">
        <v>15.646000000000001</v>
      </c>
      <c r="E899" s="49">
        <v>15.646000000000001</v>
      </c>
      <c r="F899" s="49">
        <v>15.646000000000001</v>
      </c>
      <c r="G899" s="54">
        <v>2.1800000000000002</v>
      </c>
      <c r="H899" s="56">
        <f t="shared" ref="H899:H962" si="42">G899*D899</f>
        <v>34.108280000000008</v>
      </c>
      <c r="I899" s="57">
        <f t="shared" ref="I899:I962" si="43">G899*F899</f>
        <v>34.108280000000008</v>
      </c>
      <c r="J899" s="56">
        <f t="shared" ref="J899:J962" si="44">G899*E899</f>
        <v>34.108280000000008</v>
      </c>
    </row>
    <row r="900" spans="1:10" ht="18">
      <c r="A900" s="49">
        <v>4153</v>
      </c>
      <c r="B900" s="49" t="s">
        <v>1490</v>
      </c>
      <c r="D900" s="49">
        <v>25.248000000000001</v>
      </c>
      <c r="E900" s="49">
        <v>25.248000000000001</v>
      </c>
      <c r="F900" s="49">
        <v>25.248000000000001</v>
      </c>
      <c r="G900" s="54">
        <v>1.25</v>
      </c>
      <c r="H900" s="56">
        <f t="shared" si="42"/>
        <v>31.560000000000002</v>
      </c>
      <c r="I900" s="57">
        <f t="shared" si="43"/>
        <v>31.560000000000002</v>
      </c>
      <c r="J900" s="56">
        <f t="shared" si="44"/>
        <v>31.560000000000002</v>
      </c>
    </row>
    <row r="901" spans="1:10" ht="18">
      <c r="A901" s="49">
        <v>4154</v>
      </c>
      <c r="B901" s="49" t="s">
        <v>1491</v>
      </c>
      <c r="D901" s="49">
        <v>20.34</v>
      </c>
      <c r="E901" s="49">
        <v>20.34</v>
      </c>
      <c r="F901" s="49">
        <v>20.34</v>
      </c>
      <c r="G901" s="54">
        <v>-3.05</v>
      </c>
      <c r="H901" s="56">
        <f t="shared" si="42"/>
        <v>-62.036999999999999</v>
      </c>
      <c r="I901" s="57">
        <f t="shared" si="43"/>
        <v>-62.036999999999999</v>
      </c>
      <c r="J901" s="56">
        <f t="shared" si="44"/>
        <v>-62.036999999999999</v>
      </c>
    </row>
    <row r="902" spans="1:10" ht="18">
      <c r="A902" s="49">
        <v>4155</v>
      </c>
      <c r="B902" s="49" t="s">
        <v>918</v>
      </c>
      <c r="D902" s="49">
        <v>18.827999999999999</v>
      </c>
      <c r="E902" s="49">
        <v>21.8</v>
      </c>
      <c r="F902" s="49">
        <v>20.314</v>
      </c>
      <c r="G902" s="54">
        <v>5.5511151231257802E-17</v>
      </c>
      <c r="H902" s="56">
        <f t="shared" si="42"/>
        <v>1.0451639553821219E-15</v>
      </c>
      <c r="I902" s="57">
        <f t="shared" si="43"/>
        <v>1.1276535261117709E-15</v>
      </c>
      <c r="J902" s="56">
        <f t="shared" si="44"/>
        <v>1.2101430968414201E-15</v>
      </c>
    </row>
    <row r="903" spans="1:10" ht="18">
      <c r="A903" s="49">
        <v>4157</v>
      </c>
      <c r="B903" s="49" t="s">
        <v>1492</v>
      </c>
      <c r="D903" s="49">
        <v>0</v>
      </c>
      <c r="E903" s="49">
        <v>0</v>
      </c>
      <c r="F903" s="49">
        <v>0</v>
      </c>
      <c r="G903" s="54">
        <v>0.19</v>
      </c>
      <c r="H903" s="56">
        <f t="shared" si="42"/>
        <v>0</v>
      </c>
      <c r="I903" s="57">
        <f t="shared" si="43"/>
        <v>0</v>
      </c>
      <c r="J903" s="56">
        <f t="shared" si="44"/>
        <v>0</v>
      </c>
    </row>
    <row r="904" spans="1:10" ht="18">
      <c r="A904" s="49">
        <v>4160</v>
      </c>
      <c r="B904" s="49" t="s">
        <v>1493</v>
      </c>
      <c r="D904" s="49">
        <v>0</v>
      </c>
      <c r="E904" s="49">
        <v>0</v>
      </c>
      <c r="F904" s="49">
        <v>0</v>
      </c>
      <c r="G904" s="54">
        <v>1.1100000000000001</v>
      </c>
      <c r="H904" s="56">
        <f t="shared" si="42"/>
        <v>0</v>
      </c>
      <c r="I904" s="57">
        <f t="shared" si="43"/>
        <v>0</v>
      </c>
      <c r="J904" s="56">
        <f t="shared" si="44"/>
        <v>0</v>
      </c>
    </row>
    <row r="905" spans="1:10" ht="18">
      <c r="A905" s="49">
        <v>4161</v>
      </c>
      <c r="B905" s="49" t="s">
        <v>1494</v>
      </c>
      <c r="D905" s="49">
        <v>0</v>
      </c>
      <c r="E905" s="49">
        <v>0</v>
      </c>
      <c r="F905" s="49">
        <v>0</v>
      </c>
      <c r="G905" s="54">
        <v>1.68</v>
      </c>
      <c r="H905" s="56">
        <f t="shared" si="42"/>
        <v>0</v>
      </c>
      <c r="I905" s="57">
        <f t="shared" si="43"/>
        <v>0</v>
      </c>
      <c r="J905" s="56">
        <f t="shared" si="44"/>
        <v>0</v>
      </c>
    </row>
    <row r="906" spans="1:10" ht="18">
      <c r="A906" s="49">
        <v>4162</v>
      </c>
      <c r="B906" s="49" t="s">
        <v>1495</v>
      </c>
      <c r="D906" s="49">
        <v>0</v>
      </c>
      <c r="E906" s="49">
        <v>0</v>
      </c>
      <c r="F906" s="49">
        <v>0</v>
      </c>
      <c r="G906" s="54">
        <v>1.91</v>
      </c>
      <c r="H906" s="56">
        <f t="shared" si="42"/>
        <v>0</v>
      </c>
      <c r="I906" s="57">
        <f t="shared" si="43"/>
        <v>0</v>
      </c>
      <c r="J906" s="56">
        <f t="shared" si="44"/>
        <v>0</v>
      </c>
    </row>
    <row r="907" spans="1:10" ht="18">
      <c r="A907" s="49">
        <v>4163</v>
      </c>
      <c r="B907" s="49" t="s">
        <v>1496</v>
      </c>
      <c r="D907" s="49">
        <v>14.591999999999999</v>
      </c>
      <c r="E907" s="49">
        <v>22.544</v>
      </c>
      <c r="F907" s="49">
        <v>18.567999999999998</v>
      </c>
      <c r="G907" s="54">
        <v>7.05</v>
      </c>
      <c r="H907" s="56">
        <f t="shared" si="42"/>
        <v>102.87359999999998</v>
      </c>
      <c r="I907" s="57">
        <f t="shared" si="43"/>
        <v>130.90439999999998</v>
      </c>
      <c r="J907" s="56">
        <f t="shared" si="44"/>
        <v>158.93520000000001</v>
      </c>
    </row>
    <row r="908" spans="1:10" ht="18">
      <c r="A908" s="49">
        <v>4164</v>
      </c>
      <c r="B908" s="49" t="s">
        <v>919</v>
      </c>
      <c r="D908" s="49">
        <v>17.47</v>
      </c>
      <c r="E908" s="49">
        <v>30.718</v>
      </c>
      <c r="F908" s="49">
        <v>24.094000000000001</v>
      </c>
      <c r="G908" s="54">
        <v>2.5499999999999998</v>
      </c>
      <c r="H908" s="56">
        <f t="shared" si="42"/>
        <v>44.548499999999997</v>
      </c>
      <c r="I908" s="57">
        <f t="shared" si="43"/>
        <v>61.439700000000002</v>
      </c>
      <c r="J908" s="56">
        <f t="shared" si="44"/>
        <v>78.3309</v>
      </c>
    </row>
    <row r="909" spans="1:10" ht="18">
      <c r="A909" s="49">
        <v>4167</v>
      </c>
      <c r="B909" s="49" t="s">
        <v>1497</v>
      </c>
      <c r="D909" s="49">
        <v>0</v>
      </c>
      <c r="E909" s="49">
        <v>0</v>
      </c>
      <c r="F909" s="49">
        <v>0</v>
      </c>
      <c r="G909" s="54">
        <v>0.09</v>
      </c>
      <c r="H909" s="56">
        <f t="shared" si="42"/>
        <v>0</v>
      </c>
      <c r="I909" s="57">
        <f t="shared" si="43"/>
        <v>0</v>
      </c>
      <c r="J909" s="56">
        <f t="shared" si="44"/>
        <v>0</v>
      </c>
    </row>
    <row r="910" spans="1:10" ht="18">
      <c r="A910" s="49">
        <v>4168</v>
      </c>
      <c r="B910" s="49" t="s">
        <v>1498</v>
      </c>
      <c r="D910" s="49">
        <v>0</v>
      </c>
      <c r="E910" s="49">
        <v>0</v>
      </c>
      <c r="F910" s="49">
        <v>0</v>
      </c>
      <c r="G910" s="54">
        <v>-1.65</v>
      </c>
      <c r="H910" s="56">
        <f t="shared" si="42"/>
        <v>0</v>
      </c>
      <c r="I910" s="57">
        <f t="shared" si="43"/>
        <v>0</v>
      </c>
      <c r="J910" s="56">
        <f t="shared" si="44"/>
        <v>0</v>
      </c>
    </row>
    <row r="911" spans="1:10" ht="18">
      <c r="A911" s="49">
        <v>4171</v>
      </c>
      <c r="B911" s="49" t="s">
        <v>1499</v>
      </c>
      <c r="D911" s="49">
        <v>0</v>
      </c>
      <c r="E911" s="49">
        <v>0</v>
      </c>
      <c r="F911" s="49">
        <v>0</v>
      </c>
      <c r="G911" s="54">
        <v>-2.73</v>
      </c>
      <c r="H911" s="56">
        <f t="shared" si="42"/>
        <v>0</v>
      </c>
      <c r="I911" s="57">
        <f t="shared" si="43"/>
        <v>0</v>
      </c>
      <c r="J911" s="56">
        <f t="shared" si="44"/>
        <v>0</v>
      </c>
    </row>
    <row r="912" spans="1:10" ht="18">
      <c r="A912" s="49">
        <v>4173</v>
      </c>
      <c r="B912" s="49" t="s">
        <v>1500</v>
      </c>
      <c r="D912" s="49">
        <v>21.1</v>
      </c>
      <c r="E912" s="49">
        <v>33.803999999999995</v>
      </c>
      <c r="F912" s="49">
        <v>27.451999999999998</v>
      </c>
      <c r="G912" s="54">
        <v>1.03</v>
      </c>
      <c r="H912" s="56">
        <f t="shared" si="42"/>
        <v>21.733000000000001</v>
      </c>
      <c r="I912" s="57">
        <f t="shared" si="43"/>
        <v>28.275559999999999</v>
      </c>
      <c r="J912" s="56">
        <f t="shared" si="44"/>
        <v>34.818119999999993</v>
      </c>
    </row>
    <row r="913" spans="1:10" ht="18">
      <c r="A913" s="49">
        <v>4174</v>
      </c>
      <c r="B913" s="49" t="s">
        <v>1501</v>
      </c>
      <c r="D913" s="49">
        <v>0</v>
      </c>
      <c r="E913" s="49">
        <v>0</v>
      </c>
      <c r="F913" s="49">
        <v>0</v>
      </c>
      <c r="G913" s="54">
        <v>-4.57</v>
      </c>
      <c r="H913" s="56">
        <f t="shared" si="42"/>
        <v>0</v>
      </c>
      <c r="I913" s="57">
        <f t="shared" si="43"/>
        <v>0</v>
      </c>
      <c r="J913" s="56">
        <f t="shared" si="44"/>
        <v>0</v>
      </c>
    </row>
    <row r="914" spans="1:10" ht="18">
      <c r="A914" s="49">
        <v>4175</v>
      </c>
      <c r="B914" s="49" t="s">
        <v>1502</v>
      </c>
      <c r="D914" s="49">
        <v>15.907999999999998</v>
      </c>
      <c r="E914" s="49">
        <v>21.544</v>
      </c>
      <c r="F914" s="49">
        <v>18.725999999999999</v>
      </c>
      <c r="G914" s="54">
        <v>1.0900000000000001</v>
      </c>
      <c r="H914" s="56">
        <f t="shared" si="42"/>
        <v>17.33972</v>
      </c>
      <c r="I914" s="57">
        <f t="shared" si="43"/>
        <v>20.411339999999999</v>
      </c>
      <c r="J914" s="56">
        <f t="shared" si="44"/>
        <v>23.482960000000002</v>
      </c>
    </row>
    <row r="915" spans="1:10" ht="18">
      <c r="A915" s="49">
        <v>4183</v>
      </c>
      <c r="B915" s="49" t="s">
        <v>1503</v>
      </c>
      <c r="D915" s="49">
        <v>20.021999999999998</v>
      </c>
      <c r="E915" s="49">
        <v>20.021999999999998</v>
      </c>
      <c r="F915" s="49">
        <v>20.021999999999998</v>
      </c>
      <c r="G915" s="54">
        <v>0.88</v>
      </c>
      <c r="H915" s="56">
        <f t="shared" si="42"/>
        <v>17.61936</v>
      </c>
      <c r="I915" s="57">
        <f t="shared" si="43"/>
        <v>17.61936</v>
      </c>
      <c r="J915" s="56">
        <f t="shared" si="44"/>
        <v>17.61936</v>
      </c>
    </row>
    <row r="916" spans="1:10" ht="18">
      <c r="A916" s="49">
        <v>4188</v>
      </c>
      <c r="B916" s="49" t="s">
        <v>1504</v>
      </c>
      <c r="D916" s="49">
        <v>0</v>
      </c>
      <c r="E916" s="49">
        <v>0</v>
      </c>
      <c r="F916" s="49">
        <v>0</v>
      </c>
      <c r="G916" s="54">
        <v>-0.85</v>
      </c>
      <c r="H916" s="56">
        <f t="shared" si="42"/>
        <v>0</v>
      </c>
      <c r="I916" s="57">
        <f t="shared" si="43"/>
        <v>0</v>
      </c>
      <c r="J916" s="56">
        <f t="shared" si="44"/>
        <v>0</v>
      </c>
    </row>
    <row r="917" spans="1:10" ht="18">
      <c r="A917" s="49">
        <v>4190</v>
      </c>
      <c r="B917" s="49" t="s">
        <v>920</v>
      </c>
      <c r="D917" s="49">
        <v>15.913999999999998</v>
      </c>
      <c r="E917" s="49">
        <v>24.016000000000002</v>
      </c>
      <c r="F917" s="49">
        <v>19.965</v>
      </c>
      <c r="G917" s="54">
        <v>5.5511151231257802E-17</v>
      </c>
      <c r="H917" s="56">
        <f t="shared" si="42"/>
        <v>8.8340446069423655E-16</v>
      </c>
      <c r="I917" s="57">
        <f t="shared" si="43"/>
        <v>1.1082801343320621E-15</v>
      </c>
      <c r="J917" s="56">
        <f t="shared" si="44"/>
        <v>1.3331558079698875E-15</v>
      </c>
    </row>
    <row r="918" spans="1:10" ht="18">
      <c r="A918" s="49">
        <v>4192</v>
      </c>
      <c r="B918" s="49" t="s">
        <v>1505</v>
      </c>
      <c r="D918" s="49">
        <v>0</v>
      </c>
      <c r="E918" s="49">
        <v>0</v>
      </c>
      <c r="F918" s="49">
        <v>0</v>
      </c>
      <c r="G918" s="54">
        <v>-1.76</v>
      </c>
      <c r="H918" s="56">
        <f t="shared" si="42"/>
        <v>0</v>
      </c>
      <c r="I918" s="57">
        <f t="shared" si="43"/>
        <v>0</v>
      </c>
      <c r="J918" s="56">
        <f t="shared" si="44"/>
        <v>0</v>
      </c>
    </row>
    <row r="919" spans="1:10" ht="18">
      <c r="A919" s="49">
        <v>4198</v>
      </c>
      <c r="B919" s="49" t="s">
        <v>1506</v>
      </c>
      <c r="D919" s="49">
        <v>0</v>
      </c>
      <c r="E919" s="49">
        <v>0</v>
      </c>
      <c r="F919" s="49">
        <v>0</v>
      </c>
      <c r="G919" s="54">
        <v>4.49</v>
      </c>
      <c r="H919" s="56">
        <f t="shared" si="42"/>
        <v>0</v>
      </c>
      <c r="I919" s="57">
        <f t="shared" si="43"/>
        <v>0</v>
      </c>
      <c r="J919" s="56">
        <f t="shared" si="44"/>
        <v>0</v>
      </c>
    </row>
    <row r="920" spans="1:10" ht="18">
      <c r="A920" s="49">
        <v>4205</v>
      </c>
      <c r="B920" s="49" t="s">
        <v>1507</v>
      </c>
      <c r="D920" s="49">
        <v>11.982000000000001</v>
      </c>
      <c r="E920" s="49">
        <v>27.669999999999998</v>
      </c>
      <c r="F920" s="49">
        <v>19.826000000000001</v>
      </c>
      <c r="G920" s="54">
        <v>3.91</v>
      </c>
      <c r="H920" s="56">
        <f t="shared" si="42"/>
        <v>46.849620000000009</v>
      </c>
      <c r="I920" s="57">
        <f t="shared" si="43"/>
        <v>77.519660000000002</v>
      </c>
      <c r="J920" s="56">
        <f t="shared" si="44"/>
        <v>108.1897</v>
      </c>
    </row>
    <row r="921" spans="1:10" ht="18">
      <c r="A921" s="49">
        <v>4207</v>
      </c>
      <c r="B921" s="49" t="s">
        <v>1508</v>
      </c>
      <c r="D921" s="49">
        <v>9.5039999999999996</v>
      </c>
      <c r="E921" s="49">
        <v>20.161999999999999</v>
      </c>
      <c r="F921" s="49">
        <v>14.832999999999998</v>
      </c>
      <c r="G921" s="54">
        <v>1.23</v>
      </c>
      <c r="H921" s="56">
        <f t="shared" si="42"/>
        <v>11.689919999999999</v>
      </c>
      <c r="I921" s="57">
        <f t="shared" si="43"/>
        <v>18.244589999999999</v>
      </c>
      <c r="J921" s="56">
        <f t="shared" si="44"/>
        <v>24.799259999999997</v>
      </c>
    </row>
    <row r="922" spans="1:10" ht="18">
      <c r="A922" s="49">
        <v>4303</v>
      </c>
      <c r="B922" s="49" t="s">
        <v>1509</v>
      </c>
      <c r="D922" s="49">
        <v>13.489999999999998</v>
      </c>
      <c r="E922" s="49">
        <v>22.178000000000004</v>
      </c>
      <c r="F922" s="49">
        <v>17.834000000000003</v>
      </c>
      <c r="G922" s="54">
        <v>1.83</v>
      </c>
      <c r="H922" s="56">
        <f t="shared" si="42"/>
        <v>24.686699999999998</v>
      </c>
      <c r="I922" s="57">
        <f t="shared" si="43"/>
        <v>32.636220000000009</v>
      </c>
      <c r="J922" s="56">
        <f t="shared" si="44"/>
        <v>40.585740000000008</v>
      </c>
    </row>
    <row r="923" spans="1:10" ht="18">
      <c r="A923" s="49">
        <v>4304</v>
      </c>
      <c r="B923" s="49" t="s">
        <v>1510</v>
      </c>
      <c r="D923" s="49">
        <v>0</v>
      </c>
      <c r="E923" s="49">
        <v>0</v>
      </c>
      <c r="F923" s="49">
        <v>0</v>
      </c>
      <c r="G923" s="54">
        <v>-3.35</v>
      </c>
      <c r="H923" s="56">
        <f t="shared" si="42"/>
        <v>0</v>
      </c>
      <c r="I923" s="57">
        <f t="shared" si="43"/>
        <v>0</v>
      </c>
      <c r="J923" s="56">
        <f t="shared" si="44"/>
        <v>0</v>
      </c>
    </row>
    <row r="924" spans="1:10" ht="18">
      <c r="A924" s="49">
        <v>4305</v>
      </c>
      <c r="B924" s="49" t="s">
        <v>1511</v>
      </c>
      <c r="D924" s="49">
        <v>10.010000000000002</v>
      </c>
      <c r="E924" s="49">
        <v>18.240000000000002</v>
      </c>
      <c r="F924" s="49">
        <v>14.125000000000002</v>
      </c>
      <c r="G924" s="54">
        <v>2.91</v>
      </c>
      <c r="H924" s="56">
        <f t="shared" si="42"/>
        <v>29.129100000000005</v>
      </c>
      <c r="I924" s="57">
        <f t="shared" si="43"/>
        <v>41.103750000000005</v>
      </c>
      <c r="J924" s="56">
        <f t="shared" si="44"/>
        <v>53.078400000000009</v>
      </c>
    </row>
    <row r="925" spans="1:10" ht="18">
      <c r="A925" s="49">
        <v>4306</v>
      </c>
      <c r="B925" s="49" t="s">
        <v>921</v>
      </c>
      <c r="D925" s="49">
        <v>8.0659999999999989</v>
      </c>
      <c r="E925" s="49">
        <v>28.468</v>
      </c>
      <c r="F925" s="49">
        <v>18.266999999999999</v>
      </c>
      <c r="G925" s="54">
        <v>1.3</v>
      </c>
      <c r="H925" s="56">
        <f t="shared" si="42"/>
        <v>10.485799999999999</v>
      </c>
      <c r="I925" s="57">
        <f t="shared" si="43"/>
        <v>23.7471</v>
      </c>
      <c r="J925" s="56">
        <f t="shared" si="44"/>
        <v>37.008400000000002</v>
      </c>
    </row>
    <row r="926" spans="1:10" ht="18">
      <c r="A926" s="49">
        <v>4401</v>
      </c>
      <c r="B926" s="49" t="s">
        <v>1512</v>
      </c>
      <c r="D926" s="49">
        <v>7.9719999999999995</v>
      </c>
      <c r="E926" s="49">
        <v>20.434000000000001</v>
      </c>
      <c r="F926" s="49">
        <v>14.202999999999999</v>
      </c>
      <c r="G926" s="54">
        <v>-0.13</v>
      </c>
      <c r="H926" s="56">
        <f t="shared" si="42"/>
        <v>-1.0363599999999999</v>
      </c>
      <c r="I926" s="57">
        <f t="shared" si="43"/>
        <v>-1.84639</v>
      </c>
      <c r="J926" s="56">
        <f t="shared" si="44"/>
        <v>-2.6564200000000002</v>
      </c>
    </row>
    <row r="927" spans="1:10" ht="18">
      <c r="A927" s="49">
        <v>4402</v>
      </c>
      <c r="B927" s="49" t="s">
        <v>1513</v>
      </c>
      <c r="D927" s="49">
        <v>0</v>
      </c>
      <c r="E927" s="49">
        <v>0</v>
      </c>
      <c r="F927" s="49">
        <v>0</v>
      </c>
      <c r="G927" s="54">
        <v>-0.43</v>
      </c>
      <c r="H927" s="56">
        <f t="shared" si="42"/>
        <v>0</v>
      </c>
      <c r="I927" s="57">
        <f t="shared" si="43"/>
        <v>0</v>
      </c>
      <c r="J927" s="56">
        <f t="shared" si="44"/>
        <v>0</v>
      </c>
    </row>
    <row r="928" spans="1:10" ht="18">
      <c r="A928" s="49">
        <v>4406</v>
      </c>
      <c r="B928" s="49" t="s">
        <v>1514</v>
      </c>
      <c r="D928" s="49">
        <v>15.294</v>
      </c>
      <c r="E928" s="49">
        <v>15.294</v>
      </c>
      <c r="F928" s="49">
        <v>15.294</v>
      </c>
      <c r="G928" s="54">
        <v>-0.39</v>
      </c>
      <c r="H928" s="56">
        <f t="shared" si="42"/>
        <v>-5.9646600000000003</v>
      </c>
      <c r="I928" s="57">
        <f t="shared" si="43"/>
        <v>-5.9646600000000003</v>
      </c>
      <c r="J928" s="56">
        <f t="shared" si="44"/>
        <v>-5.9646600000000003</v>
      </c>
    </row>
    <row r="929" spans="1:10" ht="18">
      <c r="A929" s="49">
        <v>4413</v>
      </c>
      <c r="B929" s="49" t="s">
        <v>1515</v>
      </c>
      <c r="D929" s="49">
        <v>19.212</v>
      </c>
      <c r="E929" s="49">
        <v>19.212</v>
      </c>
      <c r="F929" s="49">
        <v>19.212</v>
      </c>
      <c r="G929" s="54">
        <v>0.57999999999999996</v>
      </c>
      <c r="H929" s="56">
        <f t="shared" si="42"/>
        <v>11.142959999999999</v>
      </c>
      <c r="I929" s="57">
        <f t="shared" si="43"/>
        <v>11.142959999999999</v>
      </c>
      <c r="J929" s="56">
        <f t="shared" si="44"/>
        <v>11.142959999999999</v>
      </c>
    </row>
    <row r="930" spans="1:10" ht="18">
      <c r="A930" s="49">
        <v>4416</v>
      </c>
      <c r="B930" s="49" t="s">
        <v>1516</v>
      </c>
      <c r="D930" s="49">
        <v>8.1080000000000005</v>
      </c>
      <c r="E930" s="49">
        <v>20.610000000000003</v>
      </c>
      <c r="F930" s="49">
        <v>14.359000000000002</v>
      </c>
      <c r="G930" s="54">
        <v>-0.03</v>
      </c>
      <c r="H930" s="56">
        <f t="shared" si="42"/>
        <v>-0.24324000000000001</v>
      </c>
      <c r="I930" s="57">
        <f t="shared" si="43"/>
        <v>-0.43077000000000004</v>
      </c>
      <c r="J930" s="56">
        <f t="shared" si="44"/>
        <v>-0.61830000000000007</v>
      </c>
    </row>
    <row r="931" spans="1:10" ht="18">
      <c r="A931" s="49">
        <v>4417</v>
      </c>
      <c r="B931" s="49" t="s">
        <v>1517</v>
      </c>
      <c r="D931" s="49">
        <v>7.6379999999999999</v>
      </c>
      <c r="E931" s="49">
        <v>14.324000000000002</v>
      </c>
      <c r="F931" s="49">
        <v>10.981000000000002</v>
      </c>
      <c r="G931" s="54">
        <v>3.69</v>
      </c>
      <c r="H931" s="56">
        <f t="shared" si="42"/>
        <v>28.18422</v>
      </c>
      <c r="I931" s="57">
        <f t="shared" si="43"/>
        <v>40.519890000000004</v>
      </c>
      <c r="J931" s="56">
        <f t="shared" si="44"/>
        <v>52.855560000000004</v>
      </c>
    </row>
    <row r="932" spans="1:10" ht="18">
      <c r="A932" s="49">
        <v>4419</v>
      </c>
      <c r="B932" s="49" t="s">
        <v>1518</v>
      </c>
      <c r="D932" s="49">
        <v>0</v>
      </c>
      <c r="E932" s="49">
        <v>0</v>
      </c>
      <c r="F932" s="49">
        <v>0</v>
      </c>
      <c r="G932" s="54">
        <v>-0.31</v>
      </c>
      <c r="H932" s="56">
        <f t="shared" si="42"/>
        <v>0</v>
      </c>
      <c r="I932" s="57">
        <f t="shared" si="43"/>
        <v>0</v>
      </c>
      <c r="J932" s="56">
        <f t="shared" si="44"/>
        <v>0</v>
      </c>
    </row>
    <row r="933" spans="1:10" ht="18">
      <c r="A933" s="49">
        <v>4420</v>
      </c>
      <c r="B933" s="49" t="s">
        <v>1519</v>
      </c>
      <c r="D933" s="49">
        <v>8.4879999999999995</v>
      </c>
      <c r="E933" s="49">
        <v>20.518000000000001</v>
      </c>
      <c r="F933" s="49">
        <v>14.503</v>
      </c>
      <c r="G933" s="54">
        <v>40.44</v>
      </c>
      <c r="H933" s="56">
        <f t="shared" si="42"/>
        <v>343.25471999999996</v>
      </c>
      <c r="I933" s="57">
        <f t="shared" si="43"/>
        <v>586.50131999999996</v>
      </c>
      <c r="J933" s="56">
        <f t="shared" si="44"/>
        <v>829.74792000000002</v>
      </c>
    </row>
    <row r="934" spans="1:10" ht="18">
      <c r="A934" s="49">
        <v>4426</v>
      </c>
      <c r="B934" s="49" t="s">
        <v>922</v>
      </c>
      <c r="D934" s="49">
        <v>10.150000000000002</v>
      </c>
      <c r="E934" s="49">
        <v>24.224</v>
      </c>
      <c r="F934" s="49">
        <v>17.187000000000001</v>
      </c>
      <c r="G934" s="54">
        <v>-0.24</v>
      </c>
      <c r="H934" s="56">
        <f t="shared" si="42"/>
        <v>-2.4360000000000004</v>
      </c>
      <c r="I934" s="57">
        <f t="shared" si="43"/>
        <v>-4.1248800000000001</v>
      </c>
      <c r="J934" s="56">
        <f t="shared" si="44"/>
        <v>-5.8137600000000003</v>
      </c>
    </row>
    <row r="935" spans="1:10" ht="18">
      <c r="A935" s="49">
        <v>4430</v>
      </c>
      <c r="B935" s="49" t="s">
        <v>1520</v>
      </c>
      <c r="D935" s="49">
        <v>11.414</v>
      </c>
      <c r="E935" s="49">
        <v>21.86</v>
      </c>
      <c r="F935" s="49">
        <v>16.637</v>
      </c>
      <c r="G935" s="54">
        <v>-2.84</v>
      </c>
      <c r="H935" s="56">
        <f t="shared" si="42"/>
        <v>-32.415759999999999</v>
      </c>
      <c r="I935" s="57">
        <f t="shared" si="43"/>
        <v>-47.249079999999999</v>
      </c>
      <c r="J935" s="56">
        <f t="shared" si="44"/>
        <v>-62.082399999999993</v>
      </c>
    </row>
    <row r="936" spans="1:10" ht="18">
      <c r="A936" s="49">
        <v>4432</v>
      </c>
      <c r="B936" s="49" t="s">
        <v>1521</v>
      </c>
      <c r="D936" s="49">
        <v>11.306000000000001</v>
      </c>
      <c r="E936" s="49">
        <v>15.848000000000003</v>
      </c>
      <c r="F936" s="49">
        <v>13.577000000000002</v>
      </c>
      <c r="G936" s="54">
        <v>1.92</v>
      </c>
      <c r="H936" s="56">
        <f t="shared" si="42"/>
        <v>21.707520000000002</v>
      </c>
      <c r="I936" s="57">
        <f t="shared" si="43"/>
        <v>26.067840000000004</v>
      </c>
      <c r="J936" s="56">
        <f t="shared" si="44"/>
        <v>30.428160000000005</v>
      </c>
    </row>
    <row r="937" spans="1:10" ht="18">
      <c r="A937" s="49">
        <v>4433</v>
      </c>
      <c r="B937" s="49" t="s">
        <v>1522</v>
      </c>
      <c r="D937" s="49">
        <v>14.446000000000002</v>
      </c>
      <c r="E937" s="49">
        <v>22.212</v>
      </c>
      <c r="F937" s="49">
        <v>18.329000000000001</v>
      </c>
      <c r="G937" s="54">
        <v>0.53</v>
      </c>
      <c r="H937" s="56">
        <f t="shared" si="42"/>
        <v>7.6563800000000013</v>
      </c>
      <c r="I937" s="57">
        <f t="shared" si="43"/>
        <v>9.7143700000000006</v>
      </c>
      <c r="J937" s="56">
        <f t="shared" si="44"/>
        <v>11.772360000000001</v>
      </c>
    </row>
    <row r="938" spans="1:10" ht="18">
      <c r="A938" s="49">
        <v>4438</v>
      </c>
      <c r="B938" s="49" t="s">
        <v>923</v>
      </c>
      <c r="D938" s="49">
        <v>13.934000000000001</v>
      </c>
      <c r="E938" s="49">
        <v>20.297999999999998</v>
      </c>
      <c r="F938" s="49">
        <v>17.116</v>
      </c>
      <c r="G938" s="54">
        <v>7.1</v>
      </c>
      <c r="H938" s="56">
        <f t="shared" si="42"/>
        <v>98.931399999999996</v>
      </c>
      <c r="I938" s="57">
        <f t="shared" si="43"/>
        <v>121.52359999999999</v>
      </c>
      <c r="J938" s="56">
        <f t="shared" si="44"/>
        <v>144.11579999999998</v>
      </c>
    </row>
    <row r="939" spans="1:10" ht="18">
      <c r="A939" s="49">
        <v>4439</v>
      </c>
      <c r="B939" s="49" t="s">
        <v>924</v>
      </c>
      <c r="D939" s="49">
        <v>12.684000000000001</v>
      </c>
      <c r="E939" s="49">
        <v>12.684000000000001</v>
      </c>
      <c r="F939" s="49">
        <v>12.684000000000001</v>
      </c>
      <c r="G939" s="54">
        <v>1.7</v>
      </c>
      <c r="H939" s="56">
        <f t="shared" si="42"/>
        <v>21.562800000000003</v>
      </c>
      <c r="I939" s="57">
        <f t="shared" si="43"/>
        <v>21.562800000000003</v>
      </c>
      <c r="J939" s="56">
        <f t="shared" si="44"/>
        <v>21.562800000000003</v>
      </c>
    </row>
    <row r="940" spans="1:10" ht="18">
      <c r="A940" s="49">
        <v>4440</v>
      </c>
      <c r="B940" s="49" t="s">
        <v>925</v>
      </c>
      <c r="D940" s="49">
        <v>0</v>
      </c>
      <c r="E940" s="49">
        <v>0</v>
      </c>
      <c r="F940" s="49">
        <v>0</v>
      </c>
      <c r="G940" s="54" t="s">
        <v>271</v>
      </c>
      <c r="H940" s="56" t="e">
        <f t="shared" si="42"/>
        <v>#VALUE!</v>
      </c>
      <c r="I940" s="57" t="e">
        <f t="shared" si="43"/>
        <v>#VALUE!</v>
      </c>
      <c r="J940" s="56" t="e">
        <f t="shared" si="44"/>
        <v>#VALUE!</v>
      </c>
    </row>
    <row r="941" spans="1:10" ht="18">
      <c r="A941" s="49">
        <v>4502</v>
      </c>
      <c r="B941" s="49" t="s">
        <v>1523</v>
      </c>
      <c r="D941" s="49">
        <v>0</v>
      </c>
      <c r="E941" s="49">
        <v>0</v>
      </c>
      <c r="F941" s="49">
        <v>0</v>
      </c>
      <c r="G941" s="54">
        <v>0.15</v>
      </c>
      <c r="H941" s="56">
        <f t="shared" si="42"/>
        <v>0</v>
      </c>
      <c r="I941" s="57">
        <f t="shared" si="43"/>
        <v>0</v>
      </c>
      <c r="J941" s="56">
        <f t="shared" si="44"/>
        <v>0</v>
      </c>
    </row>
    <row r="942" spans="1:10" ht="18">
      <c r="A942" s="49">
        <v>4503</v>
      </c>
      <c r="B942" s="49" t="s">
        <v>1524</v>
      </c>
      <c r="D942" s="49">
        <v>0</v>
      </c>
      <c r="E942" s="49">
        <v>0</v>
      </c>
      <c r="F942" s="49">
        <v>0</v>
      </c>
      <c r="G942" s="54">
        <v>-1.27</v>
      </c>
      <c r="H942" s="56">
        <f t="shared" si="42"/>
        <v>0</v>
      </c>
      <c r="I942" s="57">
        <f t="shared" si="43"/>
        <v>0</v>
      </c>
      <c r="J942" s="56">
        <f t="shared" si="44"/>
        <v>0</v>
      </c>
    </row>
    <row r="943" spans="1:10" ht="18">
      <c r="A943" s="49">
        <v>4506</v>
      </c>
      <c r="B943" s="49" t="s">
        <v>1525</v>
      </c>
      <c r="D943" s="49">
        <v>11.276</v>
      </c>
      <c r="E943" s="49">
        <v>22.263999999999999</v>
      </c>
      <c r="F943" s="49">
        <v>16.77</v>
      </c>
      <c r="G943" s="54">
        <v>5.0599999999999996</v>
      </c>
      <c r="H943" s="56">
        <f t="shared" si="42"/>
        <v>57.056559999999998</v>
      </c>
      <c r="I943" s="57">
        <f t="shared" si="43"/>
        <v>84.856199999999987</v>
      </c>
      <c r="J943" s="56">
        <f t="shared" si="44"/>
        <v>112.65583999999998</v>
      </c>
    </row>
    <row r="944" spans="1:10" ht="18">
      <c r="A944" s="49">
        <v>4510</v>
      </c>
      <c r="B944" s="49" t="s">
        <v>1526</v>
      </c>
      <c r="D944" s="49">
        <v>13.125999999999999</v>
      </c>
      <c r="E944" s="49">
        <v>27.304000000000002</v>
      </c>
      <c r="F944" s="49">
        <v>20.215</v>
      </c>
      <c r="G944" s="54">
        <v>0.97</v>
      </c>
      <c r="H944" s="56">
        <f t="shared" si="42"/>
        <v>12.73222</v>
      </c>
      <c r="I944" s="57">
        <f t="shared" si="43"/>
        <v>19.608550000000001</v>
      </c>
      <c r="J944" s="56">
        <f t="shared" si="44"/>
        <v>26.48488</v>
      </c>
    </row>
    <row r="945" spans="1:10" ht="18">
      <c r="A945" s="49">
        <v>4513</v>
      </c>
      <c r="B945" s="49" t="s">
        <v>1527</v>
      </c>
      <c r="D945" s="49">
        <v>7.7740000000000009</v>
      </c>
      <c r="E945" s="49">
        <v>15.91</v>
      </c>
      <c r="F945" s="49">
        <v>11.842000000000001</v>
      </c>
      <c r="G945" s="54">
        <v>1.44</v>
      </c>
      <c r="H945" s="56">
        <f t="shared" si="42"/>
        <v>11.194560000000001</v>
      </c>
      <c r="I945" s="57">
        <f t="shared" si="43"/>
        <v>17.052479999999999</v>
      </c>
      <c r="J945" s="56">
        <f t="shared" si="44"/>
        <v>22.910399999999999</v>
      </c>
    </row>
    <row r="946" spans="1:10" ht="18">
      <c r="A946" s="49">
        <v>4523</v>
      </c>
      <c r="B946" s="49" t="s">
        <v>1528</v>
      </c>
      <c r="D946" s="49">
        <v>0</v>
      </c>
      <c r="E946" s="49">
        <v>0</v>
      </c>
      <c r="F946" s="49">
        <v>0</v>
      </c>
      <c r="G946" s="54">
        <v>-0.25</v>
      </c>
      <c r="H946" s="56">
        <f t="shared" si="42"/>
        <v>0</v>
      </c>
      <c r="I946" s="57">
        <f t="shared" si="43"/>
        <v>0</v>
      </c>
      <c r="J946" s="56">
        <f t="shared" si="44"/>
        <v>0</v>
      </c>
    </row>
    <row r="947" spans="1:10" ht="18">
      <c r="A947" s="49">
        <v>4526</v>
      </c>
      <c r="B947" s="49" t="s">
        <v>926</v>
      </c>
      <c r="D947" s="49">
        <v>10.472</v>
      </c>
      <c r="E947" s="49">
        <v>21.088000000000001</v>
      </c>
      <c r="F947" s="49">
        <v>15.780000000000001</v>
      </c>
      <c r="G947" s="54">
        <v>0.2</v>
      </c>
      <c r="H947" s="56">
        <f t="shared" si="42"/>
        <v>2.0943999999999998</v>
      </c>
      <c r="I947" s="57">
        <f t="shared" si="43"/>
        <v>3.1560000000000006</v>
      </c>
      <c r="J947" s="56">
        <f t="shared" si="44"/>
        <v>4.2176</v>
      </c>
    </row>
    <row r="948" spans="1:10" ht="18">
      <c r="A948" s="49">
        <v>4527</v>
      </c>
      <c r="B948" s="49" t="s">
        <v>1529</v>
      </c>
      <c r="D948" s="49">
        <v>9.2860000000000014</v>
      </c>
      <c r="E948" s="49">
        <v>19.774000000000001</v>
      </c>
      <c r="F948" s="49">
        <v>14.530000000000001</v>
      </c>
      <c r="G948" s="54">
        <v>3.39</v>
      </c>
      <c r="H948" s="56">
        <f t="shared" si="42"/>
        <v>31.479540000000007</v>
      </c>
      <c r="I948" s="57">
        <f t="shared" si="43"/>
        <v>49.256700000000002</v>
      </c>
      <c r="J948" s="56">
        <f t="shared" si="44"/>
        <v>67.033860000000004</v>
      </c>
    </row>
    <row r="949" spans="1:10" ht="18">
      <c r="A949" s="49">
        <v>4528</v>
      </c>
      <c r="B949" s="49" t="s">
        <v>1530</v>
      </c>
      <c r="D949" s="49">
        <v>9.43</v>
      </c>
      <c r="E949" s="49">
        <v>24.08</v>
      </c>
      <c r="F949" s="49">
        <v>16.754999999999999</v>
      </c>
      <c r="G949" s="54">
        <v>0.91</v>
      </c>
      <c r="H949" s="56">
        <f t="shared" si="42"/>
        <v>8.5813000000000006</v>
      </c>
      <c r="I949" s="57">
        <f t="shared" si="43"/>
        <v>15.24705</v>
      </c>
      <c r="J949" s="56">
        <f t="shared" si="44"/>
        <v>21.912800000000001</v>
      </c>
    </row>
    <row r="950" spans="1:10" ht="18">
      <c r="A950" s="49">
        <v>4529</v>
      </c>
      <c r="B950" s="49" t="s">
        <v>1531</v>
      </c>
      <c r="D950" s="49">
        <v>0</v>
      </c>
      <c r="E950" s="49">
        <v>0</v>
      </c>
      <c r="F950" s="49">
        <v>0</v>
      </c>
      <c r="G950" s="54">
        <v>-1.03</v>
      </c>
      <c r="H950" s="56">
        <f t="shared" si="42"/>
        <v>0</v>
      </c>
      <c r="I950" s="57">
        <f t="shared" si="43"/>
        <v>0</v>
      </c>
      <c r="J950" s="56">
        <f t="shared" si="44"/>
        <v>0</v>
      </c>
    </row>
    <row r="951" spans="1:10" ht="18">
      <c r="A951" s="49">
        <v>4530</v>
      </c>
      <c r="B951" s="49" t="s">
        <v>1532</v>
      </c>
      <c r="D951" s="49">
        <v>0</v>
      </c>
      <c r="E951" s="49">
        <v>0</v>
      </c>
      <c r="F951" s="49">
        <v>0</v>
      </c>
      <c r="G951" s="54">
        <v>-1.26</v>
      </c>
      <c r="H951" s="56">
        <f t="shared" si="42"/>
        <v>0</v>
      </c>
      <c r="I951" s="57">
        <f t="shared" si="43"/>
        <v>0</v>
      </c>
      <c r="J951" s="56">
        <f t="shared" si="44"/>
        <v>0</v>
      </c>
    </row>
    <row r="952" spans="1:10" ht="18">
      <c r="A952" s="49">
        <v>4532</v>
      </c>
      <c r="B952" s="49" t="s">
        <v>927</v>
      </c>
      <c r="D952" s="49">
        <v>11.790000000000001</v>
      </c>
      <c r="E952" s="49">
        <v>15.783999999999997</v>
      </c>
      <c r="F952" s="49">
        <v>13.786999999999999</v>
      </c>
      <c r="G952" s="54">
        <v>1.5</v>
      </c>
      <c r="H952" s="56">
        <f t="shared" si="42"/>
        <v>17.685000000000002</v>
      </c>
      <c r="I952" s="57">
        <f t="shared" si="43"/>
        <v>20.680499999999999</v>
      </c>
      <c r="J952" s="56">
        <f t="shared" si="44"/>
        <v>23.675999999999995</v>
      </c>
    </row>
    <row r="953" spans="1:10" ht="18">
      <c r="A953" s="49">
        <v>4533</v>
      </c>
      <c r="B953" s="49" t="s">
        <v>1533</v>
      </c>
      <c r="D953" s="49">
        <v>9.2680000000000007</v>
      </c>
      <c r="E953" s="49">
        <v>30.98</v>
      </c>
      <c r="F953" s="49">
        <v>20.124000000000002</v>
      </c>
      <c r="G953" s="54">
        <v>1.34</v>
      </c>
      <c r="H953" s="56">
        <f t="shared" si="42"/>
        <v>12.419120000000001</v>
      </c>
      <c r="I953" s="57">
        <f t="shared" si="43"/>
        <v>26.966160000000006</v>
      </c>
      <c r="J953" s="56">
        <f t="shared" si="44"/>
        <v>41.513200000000005</v>
      </c>
    </row>
    <row r="954" spans="1:10" ht="18">
      <c r="A954" s="49">
        <v>4534</v>
      </c>
      <c r="B954" s="49" t="s">
        <v>1534</v>
      </c>
      <c r="D954" s="49">
        <v>15.257999999999999</v>
      </c>
      <c r="E954" s="49">
        <v>17.378</v>
      </c>
      <c r="F954" s="49">
        <v>16.317999999999998</v>
      </c>
      <c r="G954" s="54">
        <v>-1.53</v>
      </c>
      <c r="H954" s="56">
        <f t="shared" si="42"/>
        <v>-23.344739999999998</v>
      </c>
      <c r="I954" s="57">
        <f t="shared" si="43"/>
        <v>-24.966539999999998</v>
      </c>
      <c r="J954" s="56">
        <f t="shared" si="44"/>
        <v>-26.588340000000002</v>
      </c>
    </row>
    <row r="955" spans="1:10" ht="18">
      <c r="A955" s="49">
        <v>4535</v>
      </c>
      <c r="B955" s="49" t="s">
        <v>1535</v>
      </c>
      <c r="D955" s="49">
        <v>10.34</v>
      </c>
      <c r="E955" s="49">
        <v>20.625999999999998</v>
      </c>
      <c r="F955" s="49">
        <v>15.482999999999999</v>
      </c>
      <c r="G955" s="54">
        <v>2.4</v>
      </c>
      <c r="H955" s="56">
        <f t="shared" si="42"/>
        <v>24.815999999999999</v>
      </c>
      <c r="I955" s="57">
        <f t="shared" si="43"/>
        <v>37.159199999999998</v>
      </c>
      <c r="J955" s="56">
        <f t="shared" si="44"/>
        <v>49.502399999999994</v>
      </c>
    </row>
    <row r="956" spans="1:10" ht="18">
      <c r="A956" s="49">
        <v>4536</v>
      </c>
      <c r="B956" s="49" t="s">
        <v>928</v>
      </c>
      <c r="D956" s="49">
        <v>11.504000000000001</v>
      </c>
      <c r="E956" s="49">
        <v>20.193999999999999</v>
      </c>
      <c r="F956" s="49">
        <v>15.849</v>
      </c>
      <c r="G956" s="54">
        <v>15.58</v>
      </c>
      <c r="H956" s="56">
        <f t="shared" si="42"/>
        <v>179.23232000000002</v>
      </c>
      <c r="I956" s="57">
        <f t="shared" si="43"/>
        <v>246.92742000000001</v>
      </c>
      <c r="J956" s="56">
        <f t="shared" si="44"/>
        <v>314.62252000000001</v>
      </c>
    </row>
    <row r="957" spans="1:10" ht="18">
      <c r="A957" s="49">
        <v>4538</v>
      </c>
      <c r="B957" s="49" t="s">
        <v>1536</v>
      </c>
      <c r="D957" s="49">
        <v>21.669999999999998</v>
      </c>
      <c r="E957" s="49">
        <v>21.669999999999998</v>
      </c>
      <c r="F957" s="49">
        <v>21.669999999999998</v>
      </c>
      <c r="G957" s="54">
        <v>0.13</v>
      </c>
      <c r="H957" s="56">
        <f t="shared" si="42"/>
        <v>2.8170999999999999</v>
      </c>
      <c r="I957" s="57">
        <f t="shared" si="43"/>
        <v>2.8170999999999999</v>
      </c>
      <c r="J957" s="56">
        <f t="shared" si="44"/>
        <v>2.8170999999999999</v>
      </c>
    </row>
    <row r="958" spans="1:10" ht="18">
      <c r="A958" s="49">
        <v>4540</v>
      </c>
      <c r="B958" s="49" t="s">
        <v>929</v>
      </c>
      <c r="D958" s="49">
        <v>0</v>
      </c>
      <c r="E958" s="49">
        <v>0</v>
      </c>
      <c r="F958" s="49">
        <v>0</v>
      </c>
      <c r="G958" s="54">
        <v>-1.71</v>
      </c>
      <c r="H958" s="56">
        <f t="shared" si="42"/>
        <v>0</v>
      </c>
      <c r="I958" s="57">
        <f t="shared" si="43"/>
        <v>0</v>
      </c>
      <c r="J958" s="56">
        <f t="shared" si="44"/>
        <v>0</v>
      </c>
    </row>
    <row r="959" spans="1:10" ht="18">
      <c r="A959" s="49">
        <v>4541</v>
      </c>
      <c r="B959" s="49" t="s">
        <v>1537</v>
      </c>
      <c r="D959" s="49">
        <v>22.601999999999997</v>
      </c>
      <c r="E959" s="49">
        <v>22.601999999999997</v>
      </c>
      <c r="F959" s="49">
        <v>22.601999999999997</v>
      </c>
      <c r="G959" s="54">
        <v>-1.1200000000000001</v>
      </c>
      <c r="H959" s="56">
        <f t="shared" si="42"/>
        <v>-25.314239999999998</v>
      </c>
      <c r="I959" s="57">
        <f t="shared" si="43"/>
        <v>-25.314239999999998</v>
      </c>
      <c r="J959" s="56">
        <f t="shared" si="44"/>
        <v>-25.314239999999998</v>
      </c>
    </row>
    <row r="960" spans="1:10" ht="18">
      <c r="A960" s="49">
        <v>4542</v>
      </c>
      <c r="B960" s="49" t="s">
        <v>1538</v>
      </c>
      <c r="D960" s="49">
        <v>12.817999999999998</v>
      </c>
      <c r="E960" s="49">
        <v>18.898</v>
      </c>
      <c r="F960" s="49">
        <v>15.857999999999999</v>
      </c>
      <c r="G960" s="54">
        <v>1.68</v>
      </c>
      <c r="H960" s="56">
        <f t="shared" si="42"/>
        <v>21.534239999999997</v>
      </c>
      <c r="I960" s="57">
        <f t="shared" si="43"/>
        <v>26.641439999999996</v>
      </c>
      <c r="J960" s="56">
        <f t="shared" si="44"/>
        <v>31.748639999999998</v>
      </c>
    </row>
    <row r="961" spans="1:10" ht="18">
      <c r="A961" s="49">
        <v>4543</v>
      </c>
      <c r="B961" s="49" t="s">
        <v>1539</v>
      </c>
      <c r="D961" s="49">
        <v>19.220000000000002</v>
      </c>
      <c r="E961" s="49">
        <v>27.856000000000002</v>
      </c>
      <c r="F961" s="49">
        <v>23.538000000000004</v>
      </c>
      <c r="G961" s="54">
        <v>2.41</v>
      </c>
      <c r="H961" s="56">
        <f t="shared" si="42"/>
        <v>46.320200000000007</v>
      </c>
      <c r="I961" s="57">
        <f t="shared" si="43"/>
        <v>56.726580000000013</v>
      </c>
      <c r="J961" s="56">
        <f t="shared" si="44"/>
        <v>67.132960000000011</v>
      </c>
    </row>
    <row r="962" spans="1:10" ht="18">
      <c r="A962" s="49">
        <v>4545</v>
      </c>
      <c r="B962" s="49" t="s">
        <v>930</v>
      </c>
      <c r="D962" s="49">
        <v>0</v>
      </c>
      <c r="E962" s="49">
        <v>0</v>
      </c>
      <c r="F962" s="49">
        <v>0</v>
      </c>
      <c r="G962" s="54">
        <v>1.08</v>
      </c>
      <c r="H962" s="56">
        <f t="shared" si="42"/>
        <v>0</v>
      </c>
      <c r="I962" s="57">
        <f t="shared" si="43"/>
        <v>0</v>
      </c>
      <c r="J962" s="56">
        <f t="shared" si="44"/>
        <v>0</v>
      </c>
    </row>
    <row r="963" spans="1:10" ht="18">
      <c r="A963" s="49">
        <v>4549</v>
      </c>
      <c r="B963" s="49" t="s">
        <v>1540</v>
      </c>
      <c r="D963" s="49">
        <v>14.709999999999999</v>
      </c>
      <c r="E963" s="49">
        <v>21.584</v>
      </c>
      <c r="F963" s="49">
        <v>18.146999999999998</v>
      </c>
      <c r="G963" s="54">
        <v>4.79</v>
      </c>
      <c r="H963" s="56">
        <f t="shared" ref="H963:H1026" si="45">G963*D963</f>
        <v>70.460899999999995</v>
      </c>
      <c r="I963" s="57">
        <f t="shared" ref="I963:I1026" si="46">G963*F963</f>
        <v>86.924129999999991</v>
      </c>
      <c r="J963" s="56">
        <f t="shared" ref="J963:J1026" si="47">G963*E963</f>
        <v>103.38736</v>
      </c>
    </row>
    <row r="964" spans="1:10" ht="18">
      <c r="A964" s="49">
        <v>4550</v>
      </c>
      <c r="B964" s="49" t="s">
        <v>1541</v>
      </c>
      <c r="D964" s="49">
        <v>9.402000000000001</v>
      </c>
      <c r="E964" s="49">
        <v>15.026</v>
      </c>
      <c r="F964" s="49">
        <v>12.214</v>
      </c>
      <c r="G964" s="54">
        <v>3.26</v>
      </c>
      <c r="H964" s="56">
        <f t="shared" si="45"/>
        <v>30.65052</v>
      </c>
      <c r="I964" s="57">
        <f t="shared" si="46"/>
        <v>39.817639999999997</v>
      </c>
      <c r="J964" s="56">
        <f t="shared" si="47"/>
        <v>48.984759999999994</v>
      </c>
    </row>
    <row r="965" spans="1:10" ht="18">
      <c r="A965" s="49">
        <v>4551</v>
      </c>
      <c r="B965" s="49" t="s">
        <v>931</v>
      </c>
      <c r="D965" s="49">
        <v>17.8</v>
      </c>
      <c r="E965" s="49">
        <v>26.020000000000003</v>
      </c>
      <c r="F965" s="49">
        <v>21.910000000000004</v>
      </c>
      <c r="G965" s="54">
        <v>4.47</v>
      </c>
      <c r="H965" s="56">
        <f t="shared" si="45"/>
        <v>79.566000000000003</v>
      </c>
      <c r="I965" s="57">
        <f t="shared" si="46"/>
        <v>97.937700000000007</v>
      </c>
      <c r="J965" s="56">
        <f t="shared" si="47"/>
        <v>116.30940000000001</v>
      </c>
    </row>
    <row r="966" spans="1:10" ht="18">
      <c r="A966" s="49">
        <v>4552</v>
      </c>
      <c r="B966" s="49" t="s">
        <v>932</v>
      </c>
      <c r="D966" s="49">
        <v>8.9479999999999986</v>
      </c>
      <c r="E966" s="49">
        <v>11.77</v>
      </c>
      <c r="F966" s="49">
        <v>10.358999999999998</v>
      </c>
      <c r="G966" s="54">
        <v>3.46</v>
      </c>
      <c r="H966" s="56">
        <f t="shared" si="45"/>
        <v>30.960079999999994</v>
      </c>
      <c r="I966" s="57">
        <f t="shared" si="46"/>
        <v>35.842139999999993</v>
      </c>
      <c r="J966" s="56">
        <f t="shared" si="47"/>
        <v>40.724199999999996</v>
      </c>
    </row>
    <row r="967" spans="1:10" ht="18">
      <c r="A967" s="49">
        <v>4554</v>
      </c>
      <c r="B967" s="49" t="s">
        <v>1542</v>
      </c>
      <c r="D967" s="49">
        <v>0</v>
      </c>
      <c r="E967" s="49">
        <v>0</v>
      </c>
      <c r="F967" s="49">
        <v>0</v>
      </c>
      <c r="G967" s="54">
        <v>1.06</v>
      </c>
      <c r="H967" s="56">
        <f t="shared" si="45"/>
        <v>0</v>
      </c>
      <c r="I967" s="57">
        <f t="shared" si="46"/>
        <v>0</v>
      </c>
      <c r="J967" s="56">
        <f t="shared" si="47"/>
        <v>0</v>
      </c>
    </row>
    <row r="968" spans="1:10" ht="18">
      <c r="A968" s="49">
        <v>4555</v>
      </c>
      <c r="B968" s="49" t="s">
        <v>933</v>
      </c>
      <c r="D968" s="49">
        <v>19.84</v>
      </c>
      <c r="E968" s="49">
        <v>26.615999999999996</v>
      </c>
      <c r="F968" s="49">
        <v>23.227999999999998</v>
      </c>
      <c r="G968" s="54">
        <v>-0.51</v>
      </c>
      <c r="H968" s="56">
        <f t="shared" si="45"/>
        <v>-10.118399999999999</v>
      </c>
      <c r="I968" s="57">
        <f t="shared" si="46"/>
        <v>-11.846279999999998</v>
      </c>
      <c r="J968" s="56">
        <f t="shared" si="47"/>
        <v>-13.574159999999999</v>
      </c>
    </row>
    <row r="969" spans="1:10" ht="18">
      <c r="A969" s="49">
        <v>4556</v>
      </c>
      <c r="B969" s="49" t="s">
        <v>1543</v>
      </c>
      <c r="D969" s="49">
        <v>0</v>
      </c>
      <c r="E969" s="49">
        <v>0</v>
      </c>
      <c r="F969" s="49">
        <v>0</v>
      </c>
      <c r="G969" s="54">
        <v>0.1</v>
      </c>
      <c r="H969" s="56">
        <f t="shared" si="45"/>
        <v>0</v>
      </c>
      <c r="I969" s="57">
        <f t="shared" si="46"/>
        <v>0</v>
      </c>
      <c r="J969" s="56">
        <f t="shared" si="47"/>
        <v>0</v>
      </c>
    </row>
    <row r="970" spans="1:10" ht="18">
      <c r="A970" s="49">
        <v>4557</v>
      </c>
      <c r="B970" s="49" t="s">
        <v>934</v>
      </c>
      <c r="D970" s="49">
        <v>11.437999999999999</v>
      </c>
      <c r="E970" s="49">
        <v>15.262</v>
      </c>
      <c r="F970" s="49">
        <v>13.35</v>
      </c>
      <c r="G970" s="54">
        <v>9.02</v>
      </c>
      <c r="H970" s="56">
        <f t="shared" si="45"/>
        <v>103.17075999999999</v>
      </c>
      <c r="I970" s="57">
        <f t="shared" si="46"/>
        <v>120.41699999999999</v>
      </c>
      <c r="J970" s="56">
        <f t="shared" si="47"/>
        <v>137.66324</v>
      </c>
    </row>
    <row r="971" spans="1:10" ht="18">
      <c r="A971" s="49">
        <v>4558</v>
      </c>
      <c r="B971" s="49" t="s">
        <v>1544</v>
      </c>
      <c r="D971" s="49">
        <v>0</v>
      </c>
      <c r="E971" s="49">
        <v>0</v>
      </c>
      <c r="F971" s="49">
        <v>0</v>
      </c>
      <c r="G971" s="54" t="s">
        <v>271</v>
      </c>
      <c r="H971" s="56" t="e">
        <f t="shared" si="45"/>
        <v>#VALUE!</v>
      </c>
      <c r="I971" s="57" t="e">
        <f t="shared" si="46"/>
        <v>#VALUE!</v>
      </c>
      <c r="J971" s="56" t="e">
        <f t="shared" si="47"/>
        <v>#VALUE!</v>
      </c>
    </row>
    <row r="972" spans="1:10" ht="18">
      <c r="A972" s="49">
        <v>4560</v>
      </c>
      <c r="B972" s="49" t="s">
        <v>935</v>
      </c>
      <c r="D972" s="49">
        <v>13.989999999999998</v>
      </c>
      <c r="E972" s="49">
        <v>19.033999999999999</v>
      </c>
      <c r="F972" s="49">
        <v>16.512</v>
      </c>
      <c r="G972" s="54">
        <v>1.06</v>
      </c>
      <c r="H972" s="56">
        <f t="shared" si="45"/>
        <v>14.8294</v>
      </c>
      <c r="I972" s="57">
        <f t="shared" si="46"/>
        <v>17.50272</v>
      </c>
      <c r="J972" s="56">
        <f t="shared" si="47"/>
        <v>20.17604</v>
      </c>
    </row>
    <row r="973" spans="1:10" ht="18">
      <c r="A973" s="49">
        <v>4561</v>
      </c>
      <c r="B973" s="49" t="s">
        <v>1545</v>
      </c>
      <c r="D973" s="49">
        <v>15.925999999999998</v>
      </c>
      <c r="E973" s="49">
        <v>15.925999999999998</v>
      </c>
      <c r="F973" s="49">
        <v>15.925999999999998</v>
      </c>
      <c r="G973" s="54">
        <v>0.94</v>
      </c>
      <c r="H973" s="56">
        <f t="shared" si="45"/>
        <v>14.970439999999998</v>
      </c>
      <c r="I973" s="57">
        <f t="shared" si="46"/>
        <v>14.970439999999998</v>
      </c>
      <c r="J973" s="56">
        <f t="shared" si="47"/>
        <v>14.970439999999998</v>
      </c>
    </row>
    <row r="974" spans="1:10" ht="18">
      <c r="A974" s="49">
        <v>4562</v>
      </c>
      <c r="B974" s="49" t="s">
        <v>936</v>
      </c>
      <c r="D974" s="49">
        <v>0</v>
      </c>
      <c r="E974" s="49">
        <v>0</v>
      </c>
      <c r="F974" s="49">
        <v>0</v>
      </c>
      <c r="G974" s="54">
        <v>-0.92</v>
      </c>
      <c r="H974" s="56">
        <f t="shared" si="45"/>
        <v>0</v>
      </c>
      <c r="I974" s="57">
        <f t="shared" si="46"/>
        <v>0</v>
      </c>
      <c r="J974" s="56">
        <f t="shared" si="47"/>
        <v>0</v>
      </c>
    </row>
    <row r="975" spans="1:10" ht="18">
      <c r="A975" s="49">
        <v>4563</v>
      </c>
      <c r="B975" s="49" t="s">
        <v>1546</v>
      </c>
      <c r="D975" s="49">
        <v>0</v>
      </c>
      <c r="E975" s="49">
        <v>0</v>
      </c>
      <c r="F975" s="49">
        <v>0</v>
      </c>
      <c r="G975" s="54">
        <v>0.87</v>
      </c>
      <c r="H975" s="56">
        <f t="shared" si="45"/>
        <v>0</v>
      </c>
      <c r="I975" s="57">
        <f t="shared" si="46"/>
        <v>0</v>
      </c>
      <c r="J975" s="56">
        <f t="shared" si="47"/>
        <v>0</v>
      </c>
    </row>
    <row r="976" spans="1:10" ht="18">
      <c r="A976" s="49">
        <v>4564</v>
      </c>
      <c r="B976" s="49" t="s">
        <v>937</v>
      </c>
      <c r="D976" s="49">
        <v>0</v>
      </c>
      <c r="E976" s="49">
        <v>0</v>
      </c>
      <c r="F976" s="49">
        <v>0</v>
      </c>
      <c r="G976" s="54">
        <v>-0.53</v>
      </c>
      <c r="H976" s="56">
        <f t="shared" si="45"/>
        <v>0</v>
      </c>
      <c r="I976" s="57">
        <f t="shared" si="46"/>
        <v>0</v>
      </c>
      <c r="J976" s="56">
        <f t="shared" si="47"/>
        <v>0</v>
      </c>
    </row>
    <row r="977" spans="1:10" ht="18">
      <c r="A977" s="49">
        <v>4566</v>
      </c>
      <c r="B977" s="49" t="s">
        <v>938</v>
      </c>
      <c r="D977" s="49">
        <v>14.622</v>
      </c>
      <c r="E977" s="49">
        <v>14.622</v>
      </c>
      <c r="F977" s="49">
        <v>14.622</v>
      </c>
      <c r="G977" s="54">
        <v>3.04</v>
      </c>
      <c r="H977" s="56">
        <f t="shared" si="45"/>
        <v>44.450879999999998</v>
      </c>
      <c r="I977" s="57">
        <f t="shared" si="46"/>
        <v>44.450879999999998</v>
      </c>
      <c r="J977" s="56">
        <f t="shared" si="47"/>
        <v>44.450879999999998</v>
      </c>
    </row>
    <row r="978" spans="1:10" ht="18">
      <c r="A978" s="49">
        <v>4568</v>
      </c>
      <c r="B978" s="49" t="s">
        <v>1547</v>
      </c>
      <c r="D978" s="49">
        <v>12.506</v>
      </c>
      <c r="E978" s="49">
        <v>12.506</v>
      </c>
      <c r="F978" s="49">
        <v>12.506</v>
      </c>
      <c r="G978" s="54">
        <v>0.5</v>
      </c>
      <c r="H978" s="56">
        <f t="shared" si="45"/>
        <v>6.2530000000000001</v>
      </c>
      <c r="I978" s="57">
        <f t="shared" si="46"/>
        <v>6.2530000000000001</v>
      </c>
      <c r="J978" s="56">
        <f t="shared" si="47"/>
        <v>6.2530000000000001</v>
      </c>
    </row>
    <row r="979" spans="1:10" ht="18">
      <c r="A979" s="49">
        <v>4571</v>
      </c>
      <c r="B979" s="49" t="s">
        <v>939</v>
      </c>
      <c r="D979" s="49">
        <v>13.860000000000003</v>
      </c>
      <c r="E979" s="49">
        <v>13.860000000000003</v>
      </c>
      <c r="F979" s="49">
        <v>13.860000000000003</v>
      </c>
      <c r="G979" s="54">
        <v>2.23</v>
      </c>
      <c r="H979" s="56">
        <f t="shared" si="45"/>
        <v>30.907800000000005</v>
      </c>
      <c r="I979" s="57">
        <f t="shared" si="46"/>
        <v>30.907800000000005</v>
      </c>
      <c r="J979" s="56">
        <f t="shared" si="47"/>
        <v>30.907800000000005</v>
      </c>
    </row>
    <row r="980" spans="1:10" ht="18">
      <c r="A980" s="49">
        <v>4572</v>
      </c>
      <c r="B980" s="49" t="s">
        <v>940</v>
      </c>
      <c r="D980" s="49">
        <v>0</v>
      </c>
      <c r="E980" s="49">
        <v>0</v>
      </c>
      <c r="F980" s="49">
        <v>0</v>
      </c>
      <c r="G980" s="54">
        <v>2.14</v>
      </c>
      <c r="H980" s="56">
        <f t="shared" si="45"/>
        <v>0</v>
      </c>
      <c r="I980" s="57">
        <f t="shared" si="46"/>
        <v>0</v>
      </c>
      <c r="J980" s="56">
        <f t="shared" si="47"/>
        <v>0</v>
      </c>
    </row>
    <row r="981" spans="1:10" ht="18">
      <c r="A981" s="49">
        <v>4576</v>
      </c>
      <c r="B981" s="49" t="s">
        <v>941</v>
      </c>
      <c r="D981" s="49">
        <v>0</v>
      </c>
      <c r="E981" s="49">
        <v>0</v>
      </c>
      <c r="F981" s="49">
        <v>0</v>
      </c>
      <c r="G981" s="54">
        <v>-0.19</v>
      </c>
      <c r="H981" s="56">
        <f t="shared" si="45"/>
        <v>0</v>
      </c>
      <c r="I981" s="57">
        <f t="shared" si="46"/>
        <v>0</v>
      </c>
      <c r="J981" s="56">
        <f t="shared" si="47"/>
        <v>0</v>
      </c>
    </row>
    <row r="982" spans="1:10" ht="18">
      <c r="A982" s="49">
        <v>4577</v>
      </c>
      <c r="B982" s="49" t="s">
        <v>1548</v>
      </c>
      <c r="D982" s="49">
        <v>0</v>
      </c>
      <c r="E982" s="49">
        <v>0</v>
      </c>
      <c r="F982" s="49">
        <v>0</v>
      </c>
      <c r="G982" s="54" t="s">
        <v>271</v>
      </c>
      <c r="H982" s="56" t="e">
        <f t="shared" si="45"/>
        <v>#VALUE!</v>
      </c>
      <c r="I982" s="57" t="e">
        <f t="shared" si="46"/>
        <v>#VALUE!</v>
      </c>
      <c r="J982" s="56" t="e">
        <f t="shared" si="47"/>
        <v>#VALUE!</v>
      </c>
    </row>
    <row r="983" spans="1:10" ht="18">
      <c r="A983" s="49">
        <v>4580</v>
      </c>
      <c r="B983" s="49" t="s">
        <v>1549</v>
      </c>
      <c r="D983" s="49">
        <v>0</v>
      </c>
      <c r="E983" s="49">
        <v>0</v>
      </c>
      <c r="F983" s="49">
        <v>0</v>
      </c>
      <c r="G983" s="54" t="s">
        <v>271</v>
      </c>
      <c r="H983" s="56" t="e">
        <f t="shared" si="45"/>
        <v>#VALUE!</v>
      </c>
      <c r="I983" s="57" t="e">
        <f t="shared" si="46"/>
        <v>#VALUE!</v>
      </c>
      <c r="J983" s="56" t="e">
        <f t="shared" si="47"/>
        <v>#VALUE!</v>
      </c>
    </row>
    <row r="984" spans="1:10" ht="18">
      <c r="A984" s="49">
        <v>4581</v>
      </c>
      <c r="B984" s="49" t="s">
        <v>942</v>
      </c>
      <c r="D984" s="49">
        <v>0</v>
      </c>
      <c r="E984" s="49">
        <v>0</v>
      </c>
      <c r="F984" s="49">
        <v>0</v>
      </c>
      <c r="G984" s="54" t="s">
        <v>271</v>
      </c>
      <c r="H984" s="56" t="e">
        <f t="shared" si="45"/>
        <v>#VALUE!</v>
      </c>
      <c r="I984" s="57" t="e">
        <f t="shared" si="46"/>
        <v>#VALUE!</v>
      </c>
      <c r="J984" s="56" t="e">
        <f t="shared" si="47"/>
        <v>#VALUE!</v>
      </c>
    </row>
    <row r="985" spans="1:10" ht="18">
      <c r="A985" s="49">
        <v>4583</v>
      </c>
      <c r="B985" s="49" t="s">
        <v>943</v>
      </c>
      <c r="D985" s="49">
        <v>0</v>
      </c>
      <c r="E985" s="49">
        <v>0</v>
      </c>
      <c r="F985" s="49">
        <v>0</v>
      </c>
      <c r="G985" s="54" t="s">
        <v>271</v>
      </c>
      <c r="H985" s="56" t="e">
        <f t="shared" si="45"/>
        <v>#VALUE!</v>
      </c>
      <c r="I985" s="57" t="e">
        <f t="shared" si="46"/>
        <v>#VALUE!</v>
      </c>
      <c r="J985" s="56" t="e">
        <f t="shared" si="47"/>
        <v>#VALUE!</v>
      </c>
    </row>
    <row r="986" spans="1:10" ht="18">
      <c r="A986" s="49">
        <v>4584</v>
      </c>
      <c r="B986" s="49" t="s">
        <v>1550</v>
      </c>
      <c r="D986" s="49">
        <v>0</v>
      </c>
      <c r="E986" s="49">
        <v>0</v>
      </c>
      <c r="F986" s="49">
        <v>0</v>
      </c>
      <c r="G986" s="54" t="s">
        <v>271</v>
      </c>
      <c r="H986" s="56" t="e">
        <f t="shared" si="45"/>
        <v>#VALUE!</v>
      </c>
      <c r="I986" s="57" t="e">
        <f t="shared" si="46"/>
        <v>#VALUE!</v>
      </c>
      <c r="J986" s="56" t="e">
        <f t="shared" si="47"/>
        <v>#VALUE!</v>
      </c>
    </row>
    <row r="987" spans="1:10" ht="18">
      <c r="A987" s="49">
        <v>4609</v>
      </c>
      <c r="B987" s="49" t="s">
        <v>1551</v>
      </c>
      <c r="D987" s="49">
        <v>17.937999999999999</v>
      </c>
      <c r="E987" s="49">
        <v>17.937999999999999</v>
      </c>
      <c r="F987" s="49">
        <v>17.937999999999999</v>
      </c>
      <c r="G987" s="54">
        <v>-0.78</v>
      </c>
      <c r="H987" s="56">
        <f t="shared" si="45"/>
        <v>-13.99164</v>
      </c>
      <c r="I987" s="57">
        <f t="shared" si="46"/>
        <v>-13.99164</v>
      </c>
      <c r="J987" s="56">
        <f t="shared" si="47"/>
        <v>-13.99164</v>
      </c>
    </row>
    <row r="988" spans="1:10" ht="18">
      <c r="A988" s="49">
        <v>4702</v>
      </c>
      <c r="B988" s="49" t="s">
        <v>1552</v>
      </c>
      <c r="D988" s="49">
        <v>15.651999999999997</v>
      </c>
      <c r="E988" s="49">
        <v>15.651999999999997</v>
      </c>
      <c r="F988" s="49">
        <v>15.651999999999997</v>
      </c>
      <c r="G988" s="54">
        <v>0.72</v>
      </c>
      <c r="H988" s="56">
        <f t="shared" si="45"/>
        <v>11.269439999999998</v>
      </c>
      <c r="I988" s="57">
        <f t="shared" si="46"/>
        <v>11.269439999999998</v>
      </c>
      <c r="J988" s="56">
        <f t="shared" si="47"/>
        <v>11.269439999999998</v>
      </c>
    </row>
    <row r="989" spans="1:10" ht="18">
      <c r="A989" s="49">
        <v>4706</v>
      </c>
      <c r="B989" s="49" t="s">
        <v>1553</v>
      </c>
      <c r="D989" s="49">
        <v>10.093999999999999</v>
      </c>
      <c r="E989" s="49">
        <v>18.124000000000002</v>
      </c>
      <c r="F989" s="49">
        <v>14.109000000000002</v>
      </c>
      <c r="G989" s="54">
        <v>7.0000000000000007E-2</v>
      </c>
      <c r="H989" s="56">
        <f t="shared" si="45"/>
        <v>0.70657999999999999</v>
      </c>
      <c r="I989" s="57">
        <f t="shared" si="46"/>
        <v>0.98763000000000023</v>
      </c>
      <c r="J989" s="56">
        <f t="shared" si="47"/>
        <v>1.2686800000000003</v>
      </c>
    </row>
    <row r="990" spans="1:10" ht="18">
      <c r="A990" s="49">
        <v>4707</v>
      </c>
      <c r="B990" s="49" t="s">
        <v>1554</v>
      </c>
      <c r="D990" s="49">
        <v>9.8039999999999985</v>
      </c>
      <c r="E990" s="49">
        <v>24.651999999999997</v>
      </c>
      <c r="F990" s="49">
        <v>17.227999999999998</v>
      </c>
      <c r="G990" s="54">
        <v>0.91</v>
      </c>
      <c r="H990" s="56">
        <f t="shared" si="45"/>
        <v>8.9216399999999982</v>
      </c>
      <c r="I990" s="57">
        <f t="shared" si="46"/>
        <v>15.677479999999999</v>
      </c>
      <c r="J990" s="56">
        <f t="shared" si="47"/>
        <v>22.433319999999998</v>
      </c>
    </row>
    <row r="991" spans="1:10" ht="18">
      <c r="A991" s="49">
        <v>4711</v>
      </c>
      <c r="B991" s="49" t="s">
        <v>1555</v>
      </c>
      <c r="D991" s="49">
        <v>10.7</v>
      </c>
      <c r="E991" s="49">
        <v>26.344000000000001</v>
      </c>
      <c r="F991" s="49">
        <v>18.521999999999998</v>
      </c>
      <c r="G991" s="54">
        <v>0.3</v>
      </c>
      <c r="H991" s="56">
        <f t="shared" si="45"/>
        <v>3.2099999999999995</v>
      </c>
      <c r="I991" s="57">
        <f t="shared" si="46"/>
        <v>5.5565999999999995</v>
      </c>
      <c r="J991" s="56">
        <f t="shared" si="47"/>
        <v>7.9032</v>
      </c>
    </row>
    <row r="992" spans="1:10" ht="18">
      <c r="A992" s="49">
        <v>4712</v>
      </c>
      <c r="B992" s="49" t="s">
        <v>1556</v>
      </c>
      <c r="D992" s="49">
        <v>0</v>
      </c>
      <c r="E992" s="49">
        <v>0</v>
      </c>
      <c r="F992" s="49">
        <v>0</v>
      </c>
      <c r="G992" s="54">
        <v>-0.7</v>
      </c>
      <c r="H992" s="56">
        <f t="shared" si="45"/>
        <v>0</v>
      </c>
      <c r="I992" s="57">
        <f t="shared" si="46"/>
        <v>0</v>
      </c>
      <c r="J992" s="56">
        <f t="shared" si="47"/>
        <v>0</v>
      </c>
    </row>
    <row r="993" spans="1:10" ht="18">
      <c r="A993" s="49">
        <v>4714</v>
      </c>
      <c r="B993" s="49" t="s">
        <v>1557</v>
      </c>
      <c r="D993" s="49">
        <v>11.141999999999999</v>
      </c>
      <c r="E993" s="49">
        <v>24.098000000000003</v>
      </c>
      <c r="F993" s="49">
        <v>17.62</v>
      </c>
      <c r="G993" s="54">
        <v>0.14000000000000001</v>
      </c>
      <c r="H993" s="56">
        <f t="shared" si="45"/>
        <v>1.5598800000000002</v>
      </c>
      <c r="I993" s="57">
        <f t="shared" si="46"/>
        <v>2.4668000000000005</v>
      </c>
      <c r="J993" s="56">
        <f t="shared" si="47"/>
        <v>3.3737200000000005</v>
      </c>
    </row>
    <row r="994" spans="1:10" ht="18">
      <c r="A994" s="49">
        <v>4716</v>
      </c>
      <c r="B994" s="49" t="s">
        <v>1558</v>
      </c>
      <c r="D994" s="49">
        <v>13.875999999999999</v>
      </c>
      <c r="E994" s="49">
        <v>26.405999999999999</v>
      </c>
      <c r="F994" s="49">
        <v>20.140999999999998</v>
      </c>
      <c r="G994" s="54">
        <v>-0.18</v>
      </c>
      <c r="H994" s="56">
        <f t="shared" si="45"/>
        <v>-2.4976799999999999</v>
      </c>
      <c r="I994" s="57">
        <f t="shared" si="46"/>
        <v>-3.6253799999999994</v>
      </c>
      <c r="J994" s="56">
        <f t="shared" si="47"/>
        <v>-4.7530799999999997</v>
      </c>
    </row>
    <row r="995" spans="1:10" ht="18">
      <c r="A995" s="49">
        <v>4720</v>
      </c>
      <c r="B995" s="49" t="s">
        <v>944</v>
      </c>
      <c r="D995" s="49">
        <v>13.059999999999999</v>
      </c>
      <c r="E995" s="49">
        <v>30.874000000000002</v>
      </c>
      <c r="F995" s="49">
        <v>21.966999999999999</v>
      </c>
      <c r="G995" s="54">
        <v>0.74</v>
      </c>
      <c r="H995" s="56">
        <f t="shared" si="45"/>
        <v>9.6643999999999988</v>
      </c>
      <c r="I995" s="57">
        <f t="shared" si="46"/>
        <v>16.255579999999998</v>
      </c>
      <c r="J995" s="56">
        <f t="shared" si="47"/>
        <v>22.84676</v>
      </c>
    </row>
    <row r="996" spans="1:10" ht="18">
      <c r="A996" s="49">
        <v>4721</v>
      </c>
      <c r="B996" s="49" t="s">
        <v>1559</v>
      </c>
      <c r="D996" s="49">
        <v>11.224</v>
      </c>
      <c r="E996" s="49">
        <v>30.134000000000004</v>
      </c>
      <c r="F996" s="49">
        <v>20.679000000000002</v>
      </c>
      <c r="G996" s="54">
        <v>-0.33</v>
      </c>
      <c r="H996" s="56">
        <f t="shared" si="45"/>
        <v>-3.7039200000000001</v>
      </c>
      <c r="I996" s="57">
        <f t="shared" si="46"/>
        <v>-6.8240700000000007</v>
      </c>
      <c r="J996" s="56">
        <f t="shared" si="47"/>
        <v>-9.9442200000000014</v>
      </c>
    </row>
    <row r="997" spans="1:10" ht="18">
      <c r="A997" s="49">
        <v>4722</v>
      </c>
      <c r="B997" s="49" t="s">
        <v>945</v>
      </c>
      <c r="D997" s="49">
        <v>9.14</v>
      </c>
      <c r="E997" s="49">
        <v>24.687999999999999</v>
      </c>
      <c r="F997" s="49">
        <v>16.914000000000001</v>
      </c>
      <c r="G997" s="54">
        <v>1.67</v>
      </c>
      <c r="H997" s="56">
        <f t="shared" si="45"/>
        <v>15.2638</v>
      </c>
      <c r="I997" s="57">
        <f t="shared" si="46"/>
        <v>28.246380000000002</v>
      </c>
      <c r="J997" s="56">
        <f t="shared" si="47"/>
        <v>41.228959999999994</v>
      </c>
    </row>
    <row r="998" spans="1:10" ht="18">
      <c r="A998" s="49">
        <v>4726</v>
      </c>
      <c r="B998" s="49" t="s">
        <v>1560</v>
      </c>
      <c r="D998" s="49">
        <v>0</v>
      </c>
      <c r="E998" s="49">
        <v>0</v>
      </c>
      <c r="F998" s="49">
        <v>0</v>
      </c>
      <c r="G998" s="54">
        <v>-3.32</v>
      </c>
      <c r="H998" s="56">
        <f t="shared" si="45"/>
        <v>0</v>
      </c>
      <c r="I998" s="57">
        <f t="shared" si="46"/>
        <v>0</v>
      </c>
      <c r="J998" s="56">
        <f t="shared" si="47"/>
        <v>0</v>
      </c>
    </row>
    <row r="999" spans="1:10" ht="18">
      <c r="A999" s="49">
        <v>4728</v>
      </c>
      <c r="B999" s="49" t="s">
        <v>1561</v>
      </c>
      <c r="D999" s="49">
        <v>23.571999999999999</v>
      </c>
      <c r="E999" s="49">
        <v>23.571999999999999</v>
      </c>
      <c r="F999" s="49">
        <v>23.571999999999999</v>
      </c>
      <c r="G999" s="54">
        <v>11.49</v>
      </c>
      <c r="H999" s="56">
        <f t="shared" si="45"/>
        <v>270.84228000000002</v>
      </c>
      <c r="I999" s="57">
        <f t="shared" si="46"/>
        <v>270.84228000000002</v>
      </c>
      <c r="J999" s="56">
        <f t="shared" si="47"/>
        <v>270.84228000000002</v>
      </c>
    </row>
    <row r="1000" spans="1:10" ht="18">
      <c r="A1000" s="49">
        <v>4729</v>
      </c>
      <c r="B1000" s="49" t="s">
        <v>1562</v>
      </c>
      <c r="D1000" s="49">
        <v>0</v>
      </c>
      <c r="E1000" s="49">
        <v>0</v>
      </c>
      <c r="F1000" s="49">
        <v>0</v>
      </c>
      <c r="G1000" s="54">
        <v>0.34</v>
      </c>
      <c r="H1000" s="56">
        <f t="shared" si="45"/>
        <v>0</v>
      </c>
      <c r="I1000" s="57">
        <f t="shared" si="46"/>
        <v>0</v>
      </c>
      <c r="J1000" s="56">
        <f t="shared" si="47"/>
        <v>0</v>
      </c>
    </row>
    <row r="1001" spans="1:10" ht="18">
      <c r="A1001" s="49">
        <v>4735</v>
      </c>
      <c r="B1001" s="49" t="s">
        <v>1563</v>
      </c>
      <c r="D1001" s="49">
        <v>10.782</v>
      </c>
      <c r="E1001" s="49">
        <v>17.788</v>
      </c>
      <c r="F1001" s="49">
        <v>14.285</v>
      </c>
      <c r="G1001" s="54">
        <v>1.17</v>
      </c>
      <c r="H1001" s="56">
        <f t="shared" si="45"/>
        <v>12.614939999999999</v>
      </c>
      <c r="I1001" s="57">
        <f t="shared" si="46"/>
        <v>16.713449999999998</v>
      </c>
      <c r="J1001" s="56">
        <f t="shared" si="47"/>
        <v>20.811959999999999</v>
      </c>
    </row>
    <row r="1002" spans="1:10" ht="18">
      <c r="A1002" s="49">
        <v>4736</v>
      </c>
      <c r="B1002" s="49" t="s">
        <v>1564</v>
      </c>
      <c r="D1002" s="49">
        <v>10.483999999999998</v>
      </c>
      <c r="E1002" s="49">
        <v>18.061999999999998</v>
      </c>
      <c r="F1002" s="49">
        <v>14.272999999999998</v>
      </c>
      <c r="G1002" s="54">
        <v>10.67</v>
      </c>
      <c r="H1002" s="56">
        <f t="shared" si="45"/>
        <v>111.86427999999998</v>
      </c>
      <c r="I1002" s="57">
        <f t="shared" si="46"/>
        <v>152.29290999999998</v>
      </c>
      <c r="J1002" s="56">
        <f t="shared" si="47"/>
        <v>192.72153999999998</v>
      </c>
    </row>
    <row r="1003" spans="1:10" ht="18">
      <c r="A1003" s="49">
        <v>4737</v>
      </c>
      <c r="B1003" s="49" t="s">
        <v>946</v>
      </c>
      <c r="D1003" s="49">
        <v>23.259999999999998</v>
      </c>
      <c r="E1003" s="49">
        <v>29</v>
      </c>
      <c r="F1003" s="49">
        <v>26.13</v>
      </c>
      <c r="G1003" s="54">
        <v>0.1</v>
      </c>
      <c r="H1003" s="56">
        <f t="shared" si="45"/>
        <v>2.3260000000000001</v>
      </c>
      <c r="I1003" s="57">
        <f t="shared" si="46"/>
        <v>2.613</v>
      </c>
      <c r="J1003" s="56">
        <f t="shared" si="47"/>
        <v>2.9000000000000004</v>
      </c>
    </row>
    <row r="1004" spans="1:10" ht="18">
      <c r="A1004" s="49">
        <v>4739</v>
      </c>
      <c r="B1004" s="49" t="s">
        <v>947</v>
      </c>
      <c r="D1004" s="49">
        <v>14.725999999999999</v>
      </c>
      <c r="E1004" s="49">
        <v>23.478000000000002</v>
      </c>
      <c r="F1004" s="49">
        <v>19.102</v>
      </c>
      <c r="G1004" s="54">
        <v>-0.93</v>
      </c>
      <c r="H1004" s="56">
        <f t="shared" si="45"/>
        <v>-13.695180000000001</v>
      </c>
      <c r="I1004" s="57">
        <f t="shared" si="46"/>
        <v>-17.764860000000002</v>
      </c>
      <c r="J1004" s="56">
        <f t="shared" si="47"/>
        <v>-21.834540000000004</v>
      </c>
    </row>
    <row r="1005" spans="1:10" ht="18">
      <c r="A1005" s="49">
        <v>4741</v>
      </c>
      <c r="B1005" s="49" t="s">
        <v>1565</v>
      </c>
      <c r="D1005" s="49">
        <v>18.516000000000002</v>
      </c>
      <c r="E1005" s="49">
        <v>21.404000000000003</v>
      </c>
      <c r="F1005" s="49">
        <v>19.96</v>
      </c>
      <c r="G1005" s="54">
        <v>2.02</v>
      </c>
      <c r="H1005" s="56">
        <f t="shared" si="45"/>
        <v>37.402320000000003</v>
      </c>
      <c r="I1005" s="57">
        <f t="shared" si="46"/>
        <v>40.319200000000002</v>
      </c>
      <c r="J1005" s="56">
        <f t="shared" si="47"/>
        <v>43.236080000000008</v>
      </c>
    </row>
    <row r="1006" spans="1:10" ht="18">
      <c r="A1006" s="49">
        <v>4743</v>
      </c>
      <c r="B1006" s="49" t="s">
        <v>1566</v>
      </c>
      <c r="D1006" s="49">
        <v>0</v>
      </c>
      <c r="E1006" s="49">
        <v>0</v>
      </c>
      <c r="F1006" s="49">
        <v>0</v>
      </c>
      <c r="G1006" s="54">
        <v>-2.82</v>
      </c>
      <c r="H1006" s="56">
        <f t="shared" si="45"/>
        <v>0</v>
      </c>
      <c r="I1006" s="57">
        <f t="shared" si="46"/>
        <v>0</v>
      </c>
      <c r="J1006" s="56">
        <f t="shared" si="47"/>
        <v>0</v>
      </c>
    </row>
    <row r="1007" spans="1:10" ht="18">
      <c r="A1007" s="49">
        <v>4744</v>
      </c>
      <c r="B1007" s="49" t="s">
        <v>1567</v>
      </c>
      <c r="D1007" s="49">
        <v>20.405999999999999</v>
      </c>
      <c r="E1007" s="49">
        <v>20.405999999999999</v>
      </c>
      <c r="F1007" s="49">
        <v>20.405999999999999</v>
      </c>
      <c r="G1007" s="54">
        <v>-0.14000000000000001</v>
      </c>
      <c r="H1007" s="56">
        <f t="shared" si="45"/>
        <v>-2.85684</v>
      </c>
      <c r="I1007" s="57">
        <f t="shared" si="46"/>
        <v>-2.85684</v>
      </c>
      <c r="J1007" s="56">
        <f t="shared" si="47"/>
        <v>-2.85684</v>
      </c>
    </row>
    <row r="1008" spans="1:10" ht="18">
      <c r="A1008" s="49">
        <v>4745</v>
      </c>
      <c r="B1008" s="49" t="s">
        <v>1568</v>
      </c>
      <c r="D1008" s="49">
        <v>10.871999999999998</v>
      </c>
      <c r="E1008" s="49">
        <v>19.996000000000002</v>
      </c>
      <c r="F1008" s="49">
        <v>15.434000000000001</v>
      </c>
      <c r="G1008" s="54">
        <v>0.72</v>
      </c>
      <c r="H1008" s="56">
        <f t="shared" si="45"/>
        <v>7.8278399999999984</v>
      </c>
      <c r="I1008" s="57">
        <f t="shared" si="46"/>
        <v>11.11248</v>
      </c>
      <c r="J1008" s="56">
        <f t="shared" si="47"/>
        <v>14.397120000000001</v>
      </c>
    </row>
    <row r="1009" spans="1:10" ht="18">
      <c r="A1009" s="49">
        <v>4746</v>
      </c>
      <c r="B1009" s="49" t="s">
        <v>948</v>
      </c>
      <c r="D1009" s="49">
        <v>14.751999999999999</v>
      </c>
      <c r="E1009" s="49">
        <v>25.155999999999999</v>
      </c>
      <c r="F1009" s="49">
        <v>19.954000000000001</v>
      </c>
      <c r="G1009" s="54">
        <v>1.05</v>
      </c>
      <c r="H1009" s="56">
        <f t="shared" si="45"/>
        <v>15.489599999999999</v>
      </c>
      <c r="I1009" s="57">
        <f t="shared" si="46"/>
        <v>20.951700000000002</v>
      </c>
      <c r="J1009" s="56">
        <f t="shared" si="47"/>
        <v>26.413799999999998</v>
      </c>
    </row>
    <row r="1010" spans="1:10" ht="18">
      <c r="A1010" s="49">
        <v>4747</v>
      </c>
      <c r="B1010" s="49" t="s">
        <v>1569</v>
      </c>
      <c r="D1010" s="49">
        <v>17.974</v>
      </c>
      <c r="E1010" s="49">
        <v>25.803999999999995</v>
      </c>
      <c r="F1010" s="49">
        <v>21.888999999999996</v>
      </c>
      <c r="G1010" s="54">
        <v>2.2400000000000002</v>
      </c>
      <c r="H1010" s="56">
        <f t="shared" si="45"/>
        <v>40.261760000000002</v>
      </c>
      <c r="I1010" s="57">
        <f t="shared" si="46"/>
        <v>49.031359999999992</v>
      </c>
      <c r="J1010" s="56">
        <f t="shared" si="47"/>
        <v>57.800959999999996</v>
      </c>
    </row>
    <row r="1011" spans="1:10" ht="18">
      <c r="A1011" s="49">
        <v>4754</v>
      </c>
      <c r="B1011" s="49" t="s">
        <v>1570</v>
      </c>
      <c r="D1011" s="49">
        <v>14.445999999999998</v>
      </c>
      <c r="E1011" s="49">
        <v>17.386000000000003</v>
      </c>
      <c r="F1011" s="49">
        <v>15.916</v>
      </c>
      <c r="G1011" s="54">
        <v>2.19</v>
      </c>
      <c r="H1011" s="56">
        <f t="shared" si="45"/>
        <v>31.636739999999996</v>
      </c>
      <c r="I1011" s="57">
        <f t="shared" si="46"/>
        <v>34.85604</v>
      </c>
      <c r="J1011" s="56">
        <f t="shared" si="47"/>
        <v>38.075340000000004</v>
      </c>
    </row>
    <row r="1012" spans="1:10" ht="18">
      <c r="A1012" s="49">
        <v>4755</v>
      </c>
      <c r="B1012" s="49" t="s">
        <v>949</v>
      </c>
      <c r="D1012" s="49">
        <v>10.277999999999999</v>
      </c>
      <c r="E1012" s="49">
        <v>23.742000000000001</v>
      </c>
      <c r="F1012" s="49">
        <v>17.009999999999998</v>
      </c>
      <c r="G1012" s="54">
        <v>4.41</v>
      </c>
      <c r="H1012" s="56">
        <f t="shared" si="45"/>
        <v>45.325979999999994</v>
      </c>
      <c r="I1012" s="57">
        <f t="shared" si="46"/>
        <v>75.014099999999999</v>
      </c>
      <c r="J1012" s="56">
        <f t="shared" si="47"/>
        <v>104.70222000000001</v>
      </c>
    </row>
    <row r="1013" spans="1:10" ht="18">
      <c r="A1013" s="49">
        <v>4760</v>
      </c>
      <c r="B1013" s="49" t="s">
        <v>1571</v>
      </c>
      <c r="D1013" s="49">
        <v>21.647999999999996</v>
      </c>
      <c r="E1013" s="49">
        <v>21.647999999999996</v>
      </c>
      <c r="F1013" s="49">
        <v>21.647999999999996</v>
      </c>
      <c r="G1013" s="54">
        <v>1.24</v>
      </c>
      <c r="H1013" s="56">
        <f t="shared" si="45"/>
        <v>26.843519999999994</v>
      </c>
      <c r="I1013" s="57">
        <f t="shared" si="46"/>
        <v>26.843519999999994</v>
      </c>
      <c r="J1013" s="56">
        <f t="shared" si="47"/>
        <v>26.843519999999994</v>
      </c>
    </row>
    <row r="1014" spans="1:10" ht="18">
      <c r="A1014" s="49">
        <v>4763</v>
      </c>
      <c r="B1014" s="49" t="s">
        <v>950</v>
      </c>
      <c r="D1014" s="49">
        <v>14.366</v>
      </c>
      <c r="E1014" s="49">
        <v>20.344000000000001</v>
      </c>
      <c r="F1014" s="49">
        <v>17.355</v>
      </c>
      <c r="G1014" s="54">
        <v>61.54</v>
      </c>
      <c r="H1014" s="56">
        <f t="shared" si="45"/>
        <v>884.08363999999995</v>
      </c>
      <c r="I1014" s="57">
        <f t="shared" si="46"/>
        <v>1068.0267000000001</v>
      </c>
      <c r="J1014" s="56">
        <f t="shared" si="47"/>
        <v>1251.96976</v>
      </c>
    </row>
    <row r="1015" spans="1:10" ht="18">
      <c r="A1015" s="49">
        <v>4764</v>
      </c>
      <c r="B1015" s="49" t="s">
        <v>951</v>
      </c>
      <c r="D1015" s="49">
        <v>0</v>
      </c>
      <c r="E1015" s="49">
        <v>0</v>
      </c>
      <c r="F1015" s="49">
        <v>0</v>
      </c>
      <c r="G1015" s="54">
        <v>-1</v>
      </c>
      <c r="H1015" s="56">
        <f t="shared" si="45"/>
        <v>0</v>
      </c>
      <c r="I1015" s="57">
        <f t="shared" si="46"/>
        <v>0</v>
      </c>
      <c r="J1015" s="56">
        <f t="shared" si="47"/>
        <v>0</v>
      </c>
    </row>
    <row r="1016" spans="1:10" ht="18">
      <c r="A1016" s="49">
        <v>4766</v>
      </c>
      <c r="B1016" s="49" t="s">
        <v>952</v>
      </c>
      <c r="D1016" s="49">
        <v>14.557999999999998</v>
      </c>
      <c r="E1016" s="49">
        <v>16.013999999999999</v>
      </c>
      <c r="F1016" s="49">
        <v>15.285999999999998</v>
      </c>
      <c r="G1016" s="54">
        <v>5.86</v>
      </c>
      <c r="H1016" s="56">
        <f t="shared" si="45"/>
        <v>85.309879999999993</v>
      </c>
      <c r="I1016" s="57">
        <f t="shared" si="46"/>
        <v>89.575959999999995</v>
      </c>
      <c r="J1016" s="56">
        <f t="shared" si="47"/>
        <v>93.842039999999997</v>
      </c>
    </row>
    <row r="1017" spans="1:10" ht="18">
      <c r="A1017" s="49">
        <v>4767</v>
      </c>
      <c r="B1017" s="49" t="s">
        <v>1572</v>
      </c>
      <c r="D1017" s="49">
        <v>11.452000000000002</v>
      </c>
      <c r="E1017" s="49">
        <v>12.726000000000003</v>
      </c>
      <c r="F1017" s="49">
        <v>12.089000000000002</v>
      </c>
      <c r="G1017" s="54">
        <v>0.75</v>
      </c>
      <c r="H1017" s="56">
        <f t="shared" si="45"/>
        <v>8.5890000000000022</v>
      </c>
      <c r="I1017" s="57">
        <f t="shared" si="46"/>
        <v>9.0667500000000025</v>
      </c>
      <c r="J1017" s="56">
        <f t="shared" si="47"/>
        <v>9.5445000000000029</v>
      </c>
    </row>
    <row r="1018" spans="1:10" ht="18">
      <c r="A1018" s="49">
        <v>4768</v>
      </c>
      <c r="B1018" s="49" t="s">
        <v>1573</v>
      </c>
      <c r="D1018" s="49">
        <v>0</v>
      </c>
      <c r="E1018" s="49">
        <v>0</v>
      </c>
      <c r="F1018" s="49">
        <v>0</v>
      </c>
      <c r="G1018" s="54" t="s">
        <v>271</v>
      </c>
      <c r="H1018" s="56" t="e">
        <f t="shared" si="45"/>
        <v>#VALUE!</v>
      </c>
      <c r="I1018" s="57" t="e">
        <f t="shared" si="46"/>
        <v>#VALUE!</v>
      </c>
      <c r="J1018" s="56" t="e">
        <f t="shared" si="47"/>
        <v>#VALUE!</v>
      </c>
    </row>
    <row r="1019" spans="1:10" ht="18">
      <c r="A1019" s="49">
        <v>4770</v>
      </c>
      <c r="B1019" s="49" t="s">
        <v>953</v>
      </c>
      <c r="D1019" s="49">
        <v>0</v>
      </c>
      <c r="E1019" s="49">
        <v>0</v>
      </c>
      <c r="F1019" s="49">
        <v>0</v>
      </c>
      <c r="G1019" s="54" t="s">
        <v>271</v>
      </c>
      <c r="H1019" s="56" t="e">
        <f t="shared" si="45"/>
        <v>#VALUE!</v>
      </c>
      <c r="I1019" s="57" t="e">
        <f t="shared" si="46"/>
        <v>#VALUE!</v>
      </c>
      <c r="J1019" s="56" t="e">
        <f t="shared" si="47"/>
        <v>#VALUE!</v>
      </c>
    </row>
    <row r="1020" spans="1:10" ht="18">
      <c r="A1020" s="49">
        <v>4804</v>
      </c>
      <c r="B1020" s="49" t="s">
        <v>1574</v>
      </c>
      <c r="D1020" s="49">
        <v>0</v>
      </c>
      <c r="E1020" s="49">
        <v>0</v>
      </c>
      <c r="F1020" s="49">
        <v>0</v>
      </c>
      <c r="G1020" s="54">
        <v>-3.41</v>
      </c>
      <c r="H1020" s="56">
        <f t="shared" si="45"/>
        <v>0</v>
      </c>
      <c r="I1020" s="57">
        <f t="shared" si="46"/>
        <v>0</v>
      </c>
      <c r="J1020" s="56">
        <f t="shared" si="47"/>
        <v>0</v>
      </c>
    </row>
    <row r="1021" spans="1:10" ht="18">
      <c r="A1021" s="49">
        <v>4806</v>
      </c>
      <c r="B1021" s="49" t="s">
        <v>1575</v>
      </c>
      <c r="D1021" s="49">
        <v>0</v>
      </c>
      <c r="E1021" s="49">
        <v>0</v>
      </c>
      <c r="F1021" s="49">
        <v>0</v>
      </c>
      <c r="G1021" s="54">
        <v>-0.64</v>
      </c>
      <c r="H1021" s="56">
        <f t="shared" si="45"/>
        <v>0</v>
      </c>
      <c r="I1021" s="57">
        <f t="shared" si="46"/>
        <v>0</v>
      </c>
      <c r="J1021" s="56">
        <f t="shared" si="47"/>
        <v>0</v>
      </c>
    </row>
    <row r="1022" spans="1:10" ht="18">
      <c r="A1022" s="49">
        <v>4807</v>
      </c>
      <c r="B1022" s="49" t="s">
        <v>954</v>
      </c>
      <c r="D1022" s="49">
        <v>11.166</v>
      </c>
      <c r="E1022" s="49">
        <v>11.166</v>
      </c>
      <c r="F1022" s="49">
        <v>11.166</v>
      </c>
      <c r="G1022" s="54">
        <v>-4.12</v>
      </c>
      <c r="H1022" s="56">
        <f t="shared" si="45"/>
        <v>-46.003920000000001</v>
      </c>
      <c r="I1022" s="57">
        <f t="shared" si="46"/>
        <v>-46.003920000000001</v>
      </c>
      <c r="J1022" s="56">
        <f t="shared" si="47"/>
        <v>-46.003920000000001</v>
      </c>
    </row>
    <row r="1023" spans="1:10" ht="18">
      <c r="A1023" s="49">
        <v>4903</v>
      </c>
      <c r="B1023" s="49" t="s">
        <v>1576</v>
      </c>
      <c r="D1023" s="49">
        <v>12.629999999999999</v>
      </c>
      <c r="E1023" s="49">
        <v>12.629999999999999</v>
      </c>
      <c r="F1023" s="49">
        <v>12.629999999999999</v>
      </c>
      <c r="G1023" s="54">
        <v>0.28000000000000003</v>
      </c>
      <c r="H1023" s="56">
        <f t="shared" si="45"/>
        <v>3.5364</v>
      </c>
      <c r="I1023" s="57">
        <f t="shared" si="46"/>
        <v>3.5364</v>
      </c>
      <c r="J1023" s="56">
        <f t="shared" si="47"/>
        <v>3.5364</v>
      </c>
    </row>
    <row r="1024" spans="1:10" ht="18">
      <c r="A1024" s="49">
        <v>4904</v>
      </c>
      <c r="B1024" s="49" t="s">
        <v>955</v>
      </c>
      <c r="D1024" s="49">
        <v>14.425999999999998</v>
      </c>
      <c r="E1024" s="49">
        <v>24.878</v>
      </c>
      <c r="F1024" s="49">
        <v>19.652000000000001</v>
      </c>
      <c r="G1024" s="54">
        <v>3.42</v>
      </c>
      <c r="H1024" s="56">
        <f t="shared" si="45"/>
        <v>49.336919999999992</v>
      </c>
      <c r="I1024" s="57">
        <f t="shared" si="46"/>
        <v>67.20984</v>
      </c>
      <c r="J1024" s="56">
        <f t="shared" si="47"/>
        <v>85.082759999999993</v>
      </c>
    </row>
    <row r="1025" spans="1:10" ht="18">
      <c r="A1025" s="49">
        <v>4905</v>
      </c>
      <c r="B1025" s="49" t="s">
        <v>1577</v>
      </c>
      <c r="D1025" s="49">
        <v>7.7619999999999987</v>
      </c>
      <c r="E1025" s="49">
        <v>15.801999999999998</v>
      </c>
      <c r="F1025" s="49">
        <v>11.781999999999998</v>
      </c>
      <c r="G1025" s="54">
        <v>5.61</v>
      </c>
      <c r="H1025" s="56">
        <f t="shared" si="45"/>
        <v>43.544819999999994</v>
      </c>
      <c r="I1025" s="57">
        <f t="shared" si="46"/>
        <v>66.097020000000001</v>
      </c>
      <c r="J1025" s="56">
        <f t="shared" si="47"/>
        <v>88.64922</v>
      </c>
    </row>
    <row r="1026" spans="1:10" ht="18">
      <c r="A1026" s="49">
        <v>4906</v>
      </c>
      <c r="B1026" s="49" t="s">
        <v>956</v>
      </c>
      <c r="D1026" s="49">
        <v>12.008000000000001</v>
      </c>
      <c r="E1026" s="49">
        <v>25.228000000000002</v>
      </c>
      <c r="F1026" s="49">
        <v>18.618000000000002</v>
      </c>
      <c r="G1026" s="54">
        <v>1.55</v>
      </c>
      <c r="H1026" s="56">
        <f t="shared" si="45"/>
        <v>18.612400000000001</v>
      </c>
      <c r="I1026" s="57">
        <f t="shared" si="46"/>
        <v>28.857900000000004</v>
      </c>
      <c r="J1026" s="56">
        <f t="shared" si="47"/>
        <v>39.103400000000001</v>
      </c>
    </row>
    <row r="1027" spans="1:10" ht="18">
      <c r="A1027" s="49">
        <v>4907</v>
      </c>
      <c r="B1027" s="49" t="s">
        <v>1578</v>
      </c>
      <c r="D1027" s="49">
        <v>9.74</v>
      </c>
      <c r="E1027" s="49">
        <v>17.521999999999998</v>
      </c>
      <c r="F1027" s="49">
        <v>13.631</v>
      </c>
      <c r="G1027" s="54">
        <v>2.2400000000000002</v>
      </c>
      <c r="H1027" s="56">
        <f t="shared" ref="H1027:H1090" si="48">G1027*D1027</f>
        <v>21.817600000000002</v>
      </c>
      <c r="I1027" s="57">
        <f t="shared" ref="I1027:I1090" si="49">G1027*F1027</f>
        <v>30.533440000000002</v>
      </c>
      <c r="J1027" s="56">
        <f t="shared" ref="J1027:J1090" si="50">G1027*E1027</f>
        <v>39.249279999999999</v>
      </c>
    </row>
    <row r="1028" spans="1:10" ht="18">
      <c r="A1028" s="49">
        <v>4908</v>
      </c>
      <c r="B1028" s="49" t="s">
        <v>1579</v>
      </c>
      <c r="D1028" s="49">
        <v>9.354000000000001</v>
      </c>
      <c r="E1028" s="49">
        <v>26.417999999999999</v>
      </c>
      <c r="F1028" s="49">
        <v>17.885999999999999</v>
      </c>
      <c r="G1028" s="54">
        <v>2.63</v>
      </c>
      <c r="H1028" s="56">
        <f t="shared" si="48"/>
        <v>24.601020000000002</v>
      </c>
      <c r="I1028" s="57">
        <f t="shared" si="49"/>
        <v>47.040179999999999</v>
      </c>
      <c r="J1028" s="56">
        <f t="shared" si="50"/>
        <v>69.479339999999993</v>
      </c>
    </row>
    <row r="1029" spans="1:10" ht="18">
      <c r="A1029" s="49">
        <v>4909</v>
      </c>
      <c r="B1029" s="49" t="s">
        <v>1580</v>
      </c>
      <c r="D1029" s="49">
        <v>9.8960000000000008</v>
      </c>
      <c r="E1029" s="49">
        <v>20.064</v>
      </c>
      <c r="F1029" s="49">
        <v>14.98</v>
      </c>
      <c r="G1029" s="54">
        <v>0.42</v>
      </c>
      <c r="H1029" s="56">
        <f t="shared" si="48"/>
        <v>4.15632</v>
      </c>
      <c r="I1029" s="57">
        <f t="shared" si="49"/>
        <v>6.2915999999999999</v>
      </c>
      <c r="J1029" s="56">
        <f t="shared" si="50"/>
        <v>8.4268800000000006</v>
      </c>
    </row>
    <row r="1030" spans="1:10" ht="18">
      <c r="A1030" s="49">
        <v>4911</v>
      </c>
      <c r="B1030" s="49" t="s">
        <v>1581</v>
      </c>
      <c r="D1030" s="49">
        <v>0</v>
      </c>
      <c r="E1030" s="49">
        <v>0</v>
      </c>
      <c r="F1030" s="49">
        <v>0</v>
      </c>
      <c r="G1030" s="54">
        <v>1.3</v>
      </c>
      <c r="H1030" s="56">
        <f t="shared" si="48"/>
        <v>0</v>
      </c>
      <c r="I1030" s="57">
        <f t="shared" si="49"/>
        <v>0</v>
      </c>
      <c r="J1030" s="56">
        <f t="shared" si="50"/>
        <v>0</v>
      </c>
    </row>
    <row r="1031" spans="1:10" ht="18">
      <c r="A1031" s="49">
        <v>4912</v>
      </c>
      <c r="B1031" s="49" t="s">
        <v>957</v>
      </c>
      <c r="D1031" s="49">
        <v>10.99</v>
      </c>
      <c r="E1031" s="49">
        <v>23.981999999999999</v>
      </c>
      <c r="F1031" s="49">
        <v>17.486000000000001</v>
      </c>
      <c r="G1031" s="54">
        <v>4.18</v>
      </c>
      <c r="H1031" s="56">
        <f t="shared" si="48"/>
        <v>45.938199999999995</v>
      </c>
      <c r="I1031" s="57">
        <f t="shared" si="49"/>
        <v>73.091480000000004</v>
      </c>
      <c r="J1031" s="56">
        <f t="shared" si="50"/>
        <v>100.24475999999999</v>
      </c>
    </row>
    <row r="1032" spans="1:10" ht="18">
      <c r="A1032" s="49">
        <v>4915</v>
      </c>
      <c r="B1032" s="49" t="s">
        <v>958</v>
      </c>
      <c r="D1032" s="49">
        <v>10.038</v>
      </c>
      <c r="E1032" s="49">
        <v>13.925999999999998</v>
      </c>
      <c r="F1032" s="49">
        <v>11.981999999999999</v>
      </c>
      <c r="G1032" s="54">
        <v>5.5</v>
      </c>
      <c r="H1032" s="56">
        <f t="shared" si="48"/>
        <v>55.209000000000003</v>
      </c>
      <c r="I1032" s="57">
        <f t="shared" si="49"/>
        <v>65.900999999999996</v>
      </c>
      <c r="J1032" s="56">
        <f t="shared" si="50"/>
        <v>76.592999999999989</v>
      </c>
    </row>
    <row r="1033" spans="1:10" ht="18">
      <c r="A1033" s="49">
        <v>4916</v>
      </c>
      <c r="B1033" s="49" t="s">
        <v>959</v>
      </c>
      <c r="D1033" s="49">
        <v>16.118000000000002</v>
      </c>
      <c r="E1033" s="49">
        <v>20.295999999999999</v>
      </c>
      <c r="F1033" s="49">
        <v>18.207000000000001</v>
      </c>
      <c r="G1033" s="54">
        <v>0.87</v>
      </c>
      <c r="H1033" s="56">
        <f t="shared" si="48"/>
        <v>14.022660000000002</v>
      </c>
      <c r="I1033" s="57">
        <f t="shared" si="49"/>
        <v>15.84009</v>
      </c>
      <c r="J1033" s="56">
        <f t="shared" si="50"/>
        <v>17.657519999999998</v>
      </c>
    </row>
    <row r="1034" spans="1:10" ht="18">
      <c r="A1034" s="49">
        <v>4919</v>
      </c>
      <c r="B1034" s="49" t="s">
        <v>960</v>
      </c>
      <c r="D1034" s="49">
        <v>11.297999999999998</v>
      </c>
      <c r="E1034" s="49">
        <v>24.498000000000001</v>
      </c>
      <c r="F1034" s="49">
        <v>17.898</v>
      </c>
      <c r="G1034" s="54">
        <v>5.77</v>
      </c>
      <c r="H1034" s="56">
        <f t="shared" si="48"/>
        <v>65.189459999999983</v>
      </c>
      <c r="I1034" s="57">
        <f t="shared" si="49"/>
        <v>103.27145999999999</v>
      </c>
      <c r="J1034" s="56">
        <f t="shared" si="50"/>
        <v>141.35345999999998</v>
      </c>
    </row>
    <row r="1035" spans="1:10" ht="18">
      <c r="A1035" s="49">
        <v>4923</v>
      </c>
      <c r="B1035" s="49" t="s">
        <v>1582</v>
      </c>
      <c r="D1035" s="49">
        <v>0</v>
      </c>
      <c r="E1035" s="49">
        <v>0</v>
      </c>
      <c r="F1035" s="49">
        <v>0</v>
      </c>
      <c r="G1035" s="54" t="s">
        <v>271</v>
      </c>
      <c r="H1035" s="56" t="e">
        <f t="shared" si="48"/>
        <v>#VALUE!</v>
      </c>
      <c r="I1035" s="57" t="e">
        <f t="shared" si="49"/>
        <v>#VALUE!</v>
      </c>
      <c r="J1035" s="56" t="e">
        <f t="shared" si="50"/>
        <v>#VALUE!</v>
      </c>
    </row>
    <row r="1036" spans="1:10" ht="18">
      <c r="A1036" s="49">
        <v>4924</v>
      </c>
      <c r="B1036" s="49" t="s">
        <v>1583</v>
      </c>
      <c r="D1036" s="49">
        <v>0</v>
      </c>
      <c r="E1036" s="49">
        <v>0</v>
      </c>
      <c r="F1036" s="49">
        <v>0</v>
      </c>
      <c r="G1036" s="54">
        <v>-1.1499999999999999</v>
      </c>
      <c r="H1036" s="56">
        <f t="shared" si="48"/>
        <v>0</v>
      </c>
      <c r="I1036" s="57">
        <f t="shared" si="49"/>
        <v>0</v>
      </c>
      <c r="J1036" s="56">
        <f t="shared" si="50"/>
        <v>0</v>
      </c>
    </row>
    <row r="1037" spans="1:10" ht="18">
      <c r="A1037" s="49">
        <v>4927</v>
      </c>
      <c r="B1037" s="49" t="s">
        <v>961</v>
      </c>
      <c r="D1037" s="49">
        <v>7.1840000000000002</v>
      </c>
      <c r="E1037" s="49">
        <v>13.754</v>
      </c>
      <c r="F1037" s="49">
        <v>10.468999999999999</v>
      </c>
      <c r="G1037" s="54">
        <v>-4.2</v>
      </c>
      <c r="H1037" s="56">
        <f t="shared" si="48"/>
        <v>-30.172800000000002</v>
      </c>
      <c r="I1037" s="57">
        <f t="shared" si="49"/>
        <v>-43.969799999999999</v>
      </c>
      <c r="J1037" s="56">
        <f t="shared" si="50"/>
        <v>-57.766800000000003</v>
      </c>
    </row>
    <row r="1038" spans="1:10" ht="18">
      <c r="A1038" s="49">
        <v>4930</v>
      </c>
      <c r="B1038" s="49" t="s">
        <v>962</v>
      </c>
      <c r="D1038" s="49">
        <v>8.3379999999999992</v>
      </c>
      <c r="E1038" s="49">
        <v>19.777999999999999</v>
      </c>
      <c r="F1038" s="49">
        <v>14.058</v>
      </c>
      <c r="G1038" s="54">
        <v>3.61</v>
      </c>
      <c r="H1038" s="56">
        <f t="shared" si="48"/>
        <v>30.100179999999995</v>
      </c>
      <c r="I1038" s="57">
        <f t="shared" si="49"/>
        <v>50.749379999999995</v>
      </c>
      <c r="J1038" s="56">
        <f t="shared" si="50"/>
        <v>71.398579999999995</v>
      </c>
    </row>
    <row r="1039" spans="1:10" ht="18">
      <c r="A1039" s="49">
        <v>4931</v>
      </c>
      <c r="B1039" s="49" t="s">
        <v>1584</v>
      </c>
      <c r="D1039" s="49">
        <v>0</v>
      </c>
      <c r="E1039" s="49">
        <v>0</v>
      </c>
      <c r="F1039" s="49">
        <v>0</v>
      </c>
      <c r="G1039" s="54">
        <v>0.31</v>
      </c>
      <c r="H1039" s="56">
        <f t="shared" si="48"/>
        <v>0</v>
      </c>
      <c r="I1039" s="57">
        <f t="shared" si="49"/>
        <v>0</v>
      </c>
      <c r="J1039" s="56">
        <f t="shared" si="50"/>
        <v>0</v>
      </c>
    </row>
    <row r="1040" spans="1:10" ht="18">
      <c r="A1040" s="49">
        <v>4933</v>
      </c>
      <c r="B1040" s="49" t="s">
        <v>1585</v>
      </c>
      <c r="D1040" s="49">
        <v>8.9120000000000008</v>
      </c>
      <c r="E1040" s="49">
        <v>18.952000000000002</v>
      </c>
      <c r="F1040" s="49">
        <v>13.932000000000002</v>
      </c>
      <c r="G1040" s="54">
        <v>4.22</v>
      </c>
      <c r="H1040" s="56">
        <f t="shared" si="48"/>
        <v>37.608640000000001</v>
      </c>
      <c r="I1040" s="57">
        <f t="shared" si="49"/>
        <v>58.793040000000005</v>
      </c>
      <c r="J1040" s="56">
        <f t="shared" si="50"/>
        <v>79.977440000000001</v>
      </c>
    </row>
    <row r="1041" spans="1:10" ht="18">
      <c r="A1041" s="49">
        <v>4934</v>
      </c>
      <c r="B1041" s="49" t="s">
        <v>963</v>
      </c>
      <c r="D1041" s="49">
        <v>0</v>
      </c>
      <c r="E1041" s="49">
        <v>0</v>
      </c>
      <c r="F1041" s="49">
        <v>0</v>
      </c>
      <c r="G1041" s="54">
        <v>-0.13</v>
      </c>
      <c r="H1041" s="56">
        <f t="shared" si="48"/>
        <v>0</v>
      </c>
      <c r="I1041" s="57">
        <f t="shared" si="49"/>
        <v>0</v>
      </c>
      <c r="J1041" s="56">
        <f t="shared" si="50"/>
        <v>0</v>
      </c>
    </row>
    <row r="1042" spans="1:10" ht="18">
      <c r="A1042" s="49">
        <v>4935</v>
      </c>
      <c r="B1042" s="49" t="s">
        <v>964</v>
      </c>
      <c r="D1042" s="49">
        <v>9.6100000000000012</v>
      </c>
      <c r="E1042" s="49">
        <v>18.612000000000002</v>
      </c>
      <c r="F1042" s="49">
        <v>14.111000000000001</v>
      </c>
      <c r="G1042" s="54">
        <v>2.57</v>
      </c>
      <c r="H1042" s="56">
        <f t="shared" si="48"/>
        <v>24.697700000000001</v>
      </c>
      <c r="I1042" s="57">
        <f t="shared" si="49"/>
        <v>36.265270000000001</v>
      </c>
      <c r="J1042" s="56">
        <f t="shared" si="50"/>
        <v>47.832840000000004</v>
      </c>
    </row>
    <row r="1043" spans="1:10" ht="18">
      <c r="A1043" s="49">
        <v>4938</v>
      </c>
      <c r="B1043" s="49" t="s">
        <v>965</v>
      </c>
      <c r="D1043" s="49">
        <v>9.0079999999999991</v>
      </c>
      <c r="E1043" s="49">
        <v>14.925999999999998</v>
      </c>
      <c r="F1043" s="49">
        <v>11.966999999999999</v>
      </c>
      <c r="G1043" s="54">
        <v>5.9</v>
      </c>
      <c r="H1043" s="56">
        <f t="shared" si="48"/>
        <v>53.147199999999998</v>
      </c>
      <c r="I1043" s="57">
        <f t="shared" si="49"/>
        <v>70.6053</v>
      </c>
      <c r="J1043" s="56">
        <f t="shared" si="50"/>
        <v>88.063400000000001</v>
      </c>
    </row>
    <row r="1044" spans="1:10" ht="18">
      <c r="A1044" s="49">
        <v>4939</v>
      </c>
      <c r="B1044" s="49" t="s">
        <v>1586</v>
      </c>
      <c r="D1044" s="49">
        <v>13.2</v>
      </c>
      <c r="E1044" s="49">
        <v>18.152000000000001</v>
      </c>
      <c r="F1044" s="49">
        <v>15.676</v>
      </c>
      <c r="G1044" s="54">
        <v>0.37</v>
      </c>
      <c r="H1044" s="56">
        <f t="shared" si="48"/>
        <v>4.8839999999999995</v>
      </c>
      <c r="I1044" s="57">
        <f t="shared" si="49"/>
        <v>5.8001199999999997</v>
      </c>
      <c r="J1044" s="56">
        <f t="shared" si="50"/>
        <v>6.71624</v>
      </c>
    </row>
    <row r="1045" spans="1:10" ht="18">
      <c r="A1045" s="49">
        <v>4942</v>
      </c>
      <c r="B1045" s="49" t="s">
        <v>966</v>
      </c>
      <c r="D1045" s="49">
        <v>7.93</v>
      </c>
      <c r="E1045" s="49">
        <v>14.389999999999997</v>
      </c>
      <c r="F1045" s="49">
        <v>11.159999999999998</v>
      </c>
      <c r="G1045" s="54">
        <v>4.32</v>
      </c>
      <c r="H1045" s="56">
        <f t="shared" si="48"/>
        <v>34.257600000000004</v>
      </c>
      <c r="I1045" s="57">
        <f t="shared" si="49"/>
        <v>48.211199999999998</v>
      </c>
      <c r="J1045" s="56">
        <f t="shared" si="50"/>
        <v>62.164799999999993</v>
      </c>
    </row>
    <row r="1046" spans="1:10" ht="18">
      <c r="A1046" s="49">
        <v>4943</v>
      </c>
      <c r="B1046" s="49" t="s">
        <v>967</v>
      </c>
      <c r="D1046" s="49">
        <v>0</v>
      </c>
      <c r="E1046" s="49">
        <v>0</v>
      </c>
      <c r="F1046" s="49">
        <v>0</v>
      </c>
      <c r="G1046" s="54">
        <v>-2.84</v>
      </c>
      <c r="H1046" s="56">
        <f t="shared" si="48"/>
        <v>0</v>
      </c>
      <c r="I1046" s="57">
        <f t="shared" si="49"/>
        <v>0</v>
      </c>
      <c r="J1046" s="56">
        <f t="shared" si="50"/>
        <v>0</v>
      </c>
    </row>
    <row r="1047" spans="1:10" ht="18">
      <c r="A1047" s="49">
        <v>4944</v>
      </c>
      <c r="B1047" s="49" t="s">
        <v>1587</v>
      </c>
      <c r="D1047" s="49">
        <v>0</v>
      </c>
      <c r="E1047" s="49">
        <v>0</v>
      </c>
      <c r="F1047" s="49">
        <v>0</v>
      </c>
      <c r="G1047" s="54">
        <v>4.4400000000000004</v>
      </c>
      <c r="H1047" s="56">
        <f t="shared" si="48"/>
        <v>0</v>
      </c>
      <c r="I1047" s="57">
        <f t="shared" si="49"/>
        <v>0</v>
      </c>
      <c r="J1047" s="56">
        <f t="shared" si="50"/>
        <v>0</v>
      </c>
    </row>
    <row r="1048" spans="1:10" ht="18">
      <c r="A1048" s="49">
        <v>4945</v>
      </c>
      <c r="B1048" s="49" t="s">
        <v>1588</v>
      </c>
      <c r="D1048" s="49">
        <v>0</v>
      </c>
      <c r="E1048" s="49">
        <v>0</v>
      </c>
      <c r="F1048" s="49">
        <v>0</v>
      </c>
      <c r="G1048" s="54" t="s">
        <v>271</v>
      </c>
      <c r="H1048" s="56" t="e">
        <f t="shared" si="48"/>
        <v>#VALUE!</v>
      </c>
      <c r="I1048" s="57" t="e">
        <f t="shared" si="49"/>
        <v>#VALUE!</v>
      </c>
      <c r="J1048" s="56" t="e">
        <f t="shared" si="50"/>
        <v>#VALUE!</v>
      </c>
    </row>
    <row r="1049" spans="1:10" ht="18">
      <c r="A1049" s="49">
        <v>4946</v>
      </c>
      <c r="B1049" s="49" t="s">
        <v>1589</v>
      </c>
      <c r="D1049" s="49">
        <v>0</v>
      </c>
      <c r="E1049" s="49">
        <v>0</v>
      </c>
      <c r="F1049" s="49">
        <v>0</v>
      </c>
      <c r="G1049" s="54">
        <v>-12.2</v>
      </c>
      <c r="H1049" s="56">
        <f t="shared" si="48"/>
        <v>0</v>
      </c>
      <c r="I1049" s="57">
        <f t="shared" si="49"/>
        <v>0</v>
      </c>
      <c r="J1049" s="56">
        <f t="shared" si="50"/>
        <v>0</v>
      </c>
    </row>
    <row r="1050" spans="1:10" ht="18">
      <c r="A1050" s="49">
        <v>4950</v>
      </c>
      <c r="B1050" s="49" t="s">
        <v>1590</v>
      </c>
      <c r="D1050" s="49">
        <v>0</v>
      </c>
      <c r="E1050" s="49">
        <v>0</v>
      </c>
      <c r="F1050" s="49">
        <v>0</v>
      </c>
      <c r="G1050" s="54">
        <v>-3.15</v>
      </c>
      <c r="H1050" s="56">
        <f t="shared" si="48"/>
        <v>0</v>
      </c>
      <c r="I1050" s="57">
        <f t="shared" si="49"/>
        <v>0</v>
      </c>
      <c r="J1050" s="56">
        <f t="shared" si="50"/>
        <v>0</v>
      </c>
    </row>
    <row r="1051" spans="1:10" ht="18">
      <c r="A1051" s="49">
        <v>4951</v>
      </c>
      <c r="B1051" s="49" t="s">
        <v>1591</v>
      </c>
      <c r="D1051" s="49">
        <v>0</v>
      </c>
      <c r="E1051" s="49">
        <v>0</v>
      </c>
      <c r="F1051" s="49">
        <v>0</v>
      </c>
      <c r="G1051" s="54" t="s">
        <v>271</v>
      </c>
      <c r="H1051" s="56" t="e">
        <f t="shared" si="48"/>
        <v>#VALUE!</v>
      </c>
      <c r="I1051" s="57" t="e">
        <f t="shared" si="49"/>
        <v>#VALUE!</v>
      </c>
      <c r="J1051" s="56" t="e">
        <f t="shared" si="50"/>
        <v>#VALUE!</v>
      </c>
    </row>
    <row r="1052" spans="1:10" ht="18">
      <c r="A1052" s="49">
        <v>4952</v>
      </c>
      <c r="B1052" s="49" t="s">
        <v>968</v>
      </c>
      <c r="D1052" s="49">
        <v>9.2919999999999998</v>
      </c>
      <c r="E1052" s="49">
        <v>21.423999999999999</v>
      </c>
      <c r="F1052" s="49">
        <v>15.358000000000001</v>
      </c>
      <c r="G1052" s="54">
        <v>1.54</v>
      </c>
      <c r="H1052" s="56">
        <f t="shared" si="48"/>
        <v>14.30968</v>
      </c>
      <c r="I1052" s="57">
        <f t="shared" si="49"/>
        <v>23.651320000000002</v>
      </c>
      <c r="J1052" s="56">
        <f t="shared" si="50"/>
        <v>32.992959999999997</v>
      </c>
    </row>
    <row r="1053" spans="1:10" ht="18">
      <c r="A1053" s="49">
        <v>4953</v>
      </c>
      <c r="B1053" s="49" t="s">
        <v>1592</v>
      </c>
      <c r="D1053" s="49">
        <v>12.106</v>
      </c>
      <c r="E1053" s="49">
        <v>15.532</v>
      </c>
      <c r="F1053" s="49">
        <v>13.818999999999999</v>
      </c>
      <c r="G1053" s="54">
        <v>8.49</v>
      </c>
      <c r="H1053" s="56">
        <f t="shared" si="48"/>
        <v>102.77994</v>
      </c>
      <c r="I1053" s="57">
        <f t="shared" si="49"/>
        <v>117.32330999999999</v>
      </c>
      <c r="J1053" s="56">
        <f t="shared" si="50"/>
        <v>131.86668</v>
      </c>
    </row>
    <row r="1054" spans="1:10" ht="18">
      <c r="A1054" s="49">
        <v>4956</v>
      </c>
      <c r="B1054" s="49" t="s">
        <v>969</v>
      </c>
      <c r="D1054" s="49">
        <v>17.384</v>
      </c>
      <c r="E1054" s="49">
        <v>21.886000000000003</v>
      </c>
      <c r="F1054" s="49">
        <v>19.635000000000002</v>
      </c>
      <c r="G1054" s="54">
        <v>-1.38</v>
      </c>
      <c r="H1054" s="56">
        <f t="shared" si="48"/>
        <v>-23.989919999999998</v>
      </c>
      <c r="I1054" s="57">
        <f t="shared" si="49"/>
        <v>-27.096299999999999</v>
      </c>
      <c r="J1054" s="56">
        <f t="shared" si="50"/>
        <v>-30.202680000000001</v>
      </c>
    </row>
    <row r="1055" spans="1:10" ht="18">
      <c r="A1055" s="49">
        <v>4958</v>
      </c>
      <c r="B1055" s="49" t="s">
        <v>970</v>
      </c>
      <c r="D1055" s="49">
        <v>8.766</v>
      </c>
      <c r="E1055" s="49">
        <v>14.247999999999999</v>
      </c>
      <c r="F1055" s="49">
        <v>11.507</v>
      </c>
      <c r="G1055" s="54">
        <v>6.55</v>
      </c>
      <c r="H1055" s="56">
        <f t="shared" si="48"/>
        <v>57.417299999999997</v>
      </c>
      <c r="I1055" s="57">
        <f t="shared" si="49"/>
        <v>75.37084999999999</v>
      </c>
      <c r="J1055" s="56">
        <f t="shared" si="50"/>
        <v>93.324399999999997</v>
      </c>
    </row>
    <row r="1056" spans="1:10" ht="18">
      <c r="A1056" s="49">
        <v>4960</v>
      </c>
      <c r="B1056" s="49" t="s">
        <v>971</v>
      </c>
      <c r="D1056" s="49">
        <v>7.4739999999999993</v>
      </c>
      <c r="E1056" s="49">
        <v>9.347999999999999</v>
      </c>
      <c r="F1056" s="49">
        <v>8.4109999999999996</v>
      </c>
      <c r="G1056" s="54">
        <v>-0.99</v>
      </c>
      <c r="H1056" s="56">
        <f t="shared" si="48"/>
        <v>-7.3992599999999991</v>
      </c>
      <c r="I1056" s="57">
        <f t="shared" si="49"/>
        <v>-8.3268899999999988</v>
      </c>
      <c r="J1056" s="56">
        <f t="shared" si="50"/>
        <v>-9.2545199999999994</v>
      </c>
    </row>
    <row r="1057" spans="1:10" ht="18">
      <c r="A1057" s="49">
        <v>4961</v>
      </c>
      <c r="B1057" s="49" t="s">
        <v>972</v>
      </c>
      <c r="D1057" s="49">
        <v>14.157999999999998</v>
      </c>
      <c r="E1057" s="49">
        <v>14.157999999999998</v>
      </c>
      <c r="F1057" s="49">
        <v>14.157999999999998</v>
      </c>
      <c r="G1057" s="54">
        <v>3.17</v>
      </c>
      <c r="H1057" s="56">
        <f t="shared" si="48"/>
        <v>44.880859999999991</v>
      </c>
      <c r="I1057" s="57">
        <f t="shared" si="49"/>
        <v>44.880859999999991</v>
      </c>
      <c r="J1057" s="56">
        <f t="shared" si="50"/>
        <v>44.880859999999991</v>
      </c>
    </row>
    <row r="1058" spans="1:10" ht="18">
      <c r="A1058" s="49">
        <v>4966</v>
      </c>
      <c r="B1058" s="49" t="s">
        <v>1593</v>
      </c>
      <c r="D1058" s="49">
        <v>14.12</v>
      </c>
      <c r="E1058" s="49">
        <v>28.021999999999998</v>
      </c>
      <c r="F1058" s="49">
        <v>21.070999999999998</v>
      </c>
      <c r="G1058" s="54">
        <v>25.73</v>
      </c>
      <c r="H1058" s="56">
        <f t="shared" si="48"/>
        <v>363.30759999999998</v>
      </c>
      <c r="I1058" s="57">
        <f t="shared" si="49"/>
        <v>542.1568299999999</v>
      </c>
      <c r="J1058" s="56">
        <f t="shared" si="50"/>
        <v>721.00605999999993</v>
      </c>
    </row>
    <row r="1059" spans="1:10" ht="18">
      <c r="A1059" s="49">
        <v>4967</v>
      </c>
      <c r="B1059" s="49" t="s">
        <v>973</v>
      </c>
      <c r="D1059" s="49">
        <v>0</v>
      </c>
      <c r="E1059" s="49">
        <v>0</v>
      </c>
      <c r="F1059" s="49">
        <v>0</v>
      </c>
      <c r="G1059" s="54">
        <v>4.0999999999999996</v>
      </c>
      <c r="H1059" s="56">
        <f t="shared" si="48"/>
        <v>0</v>
      </c>
      <c r="I1059" s="57">
        <f t="shared" si="49"/>
        <v>0</v>
      </c>
      <c r="J1059" s="56">
        <f t="shared" si="50"/>
        <v>0</v>
      </c>
    </row>
    <row r="1060" spans="1:10" ht="18">
      <c r="A1060" s="49">
        <v>4968</v>
      </c>
      <c r="B1060" s="49" t="s">
        <v>974</v>
      </c>
      <c r="D1060" s="49">
        <v>28.238</v>
      </c>
      <c r="E1060" s="49">
        <v>28.238</v>
      </c>
      <c r="F1060" s="49">
        <v>28.238</v>
      </c>
      <c r="G1060" s="54">
        <v>-2.46</v>
      </c>
      <c r="H1060" s="56">
        <f t="shared" si="48"/>
        <v>-69.465479999999999</v>
      </c>
      <c r="I1060" s="57">
        <f t="shared" si="49"/>
        <v>-69.465479999999999</v>
      </c>
      <c r="J1060" s="56">
        <f t="shared" si="50"/>
        <v>-69.465479999999999</v>
      </c>
    </row>
    <row r="1061" spans="1:10" ht="18">
      <c r="A1061" s="49">
        <v>4971</v>
      </c>
      <c r="B1061" s="49" t="s">
        <v>1594</v>
      </c>
      <c r="D1061" s="49">
        <v>18.865999999999996</v>
      </c>
      <c r="E1061" s="49">
        <v>31.991999999999997</v>
      </c>
      <c r="F1061" s="49">
        <v>25.428999999999995</v>
      </c>
      <c r="G1061" s="54">
        <v>0.23</v>
      </c>
      <c r="H1061" s="56">
        <f t="shared" si="48"/>
        <v>4.3391799999999989</v>
      </c>
      <c r="I1061" s="57">
        <f t="shared" si="49"/>
        <v>5.8486699999999994</v>
      </c>
      <c r="J1061" s="56">
        <f t="shared" si="50"/>
        <v>7.3581599999999998</v>
      </c>
    </row>
    <row r="1062" spans="1:10" ht="18">
      <c r="A1062" s="49">
        <v>4972</v>
      </c>
      <c r="B1062" s="49" t="s">
        <v>1595</v>
      </c>
      <c r="D1062" s="49">
        <v>9.4740000000000002</v>
      </c>
      <c r="E1062" s="49">
        <v>15.624000000000001</v>
      </c>
      <c r="F1062" s="49">
        <v>12.548999999999999</v>
      </c>
      <c r="G1062" s="54">
        <v>1.1599999999999999</v>
      </c>
      <c r="H1062" s="56">
        <f t="shared" si="48"/>
        <v>10.989839999999999</v>
      </c>
      <c r="I1062" s="57">
        <f t="shared" si="49"/>
        <v>14.556839999999998</v>
      </c>
      <c r="J1062" s="56">
        <f t="shared" si="50"/>
        <v>18.123839999999998</v>
      </c>
    </row>
    <row r="1063" spans="1:10" ht="18">
      <c r="A1063" s="49">
        <v>4973</v>
      </c>
      <c r="B1063" s="49" t="s">
        <v>1596</v>
      </c>
      <c r="D1063" s="49">
        <v>9.4340000000000011</v>
      </c>
      <c r="E1063" s="49">
        <v>19.193999999999999</v>
      </c>
      <c r="F1063" s="49">
        <v>14.314</v>
      </c>
      <c r="G1063" s="54">
        <v>3.12</v>
      </c>
      <c r="H1063" s="56">
        <f t="shared" si="48"/>
        <v>29.434080000000005</v>
      </c>
      <c r="I1063" s="57">
        <f t="shared" si="49"/>
        <v>44.659680000000002</v>
      </c>
      <c r="J1063" s="56">
        <f t="shared" si="50"/>
        <v>59.885280000000002</v>
      </c>
    </row>
    <row r="1064" spans="1:10" ht="18">
      <c r="A1064" s="49">
        <v>4974</v>
      </c>
      <c r="B1064" s="49" t="s">
        <v>1597</v>
      </c>
      <c r="D1064" s="49">
        <v>7.7140000000000004</v>
      </c>
      <c r="E1064" s="49">
        <v>11.669999999999998</v>
      </c>
      <c r="F1064" s="49">
        <v>9.6920000000000002</v>
      </c>
      <c r="G1064" s="54">
        <v>5.64</v>
      </c>
      <c r="H1064" s="56">
        <f t="shared" si="48"/>
        <v>43.506959999999999</v>
      </c>
      <c r="I1064" s="57">
        <f t="shared" si="49"/>
        <v>54.662880000000001</v>
      </c>
      <c r="J1064" s="56">
        <f t="shared" si="50"/>
        <v>65.818799999999982</v>
      </c>
    </row>
    <row r="1065" spans="1:10" ht="18">
      <c r="A1065" s="49">
        <v>4976</v>
      </c>
      <c r="B1065" s="49" t="s">
        <v>975</v>
      </c>
      <c r="D1065" s="49">
        <v>0</v>
      </c>
      <c r="E1065" s="49">
        <v>0</v>
      </c>
      <c r="F1065" s="49">
        <v>0</v>
      </c>
      <c r="G1065" s="54">
        <v>-1.91</v>
      </c>
      <c r="H1065" s="56">
        <f t="shared" si="48"/>
        <v>0</v>
      </c>
      <c r="I1065" s="57">
        <f t="shared" si="49"/>
        <v>0</v>
      </c>
      <c r="J1065" s="56">
        <f t="shared" si="50"/>
        <v>0</v>
      </c>
    </row>
    <row r="1066" spans="1:10" ht="18">
      <c r="A1066" s="49">
        <v>4977</v>
      </c>
      <c r="B1066" s="49" t="s">
        <v>976</v>
      </c>
      <c r="D1066" s="49">
        <v>13.87</v>
      </c>
      <c r="E1066" s="49">
        <v>24.913999999999998</v>
      </c>
      <c r="F1066" s="49">
        <v>19.391999999999999</v>
      </c>
      <c r="G1066" s="54">
        <v>4.26</v>
      </c>
      <c r="H1066" s="56">
        <f t="shared" si="48"/>
        <v>59.086199999999991</v>
      </c>
      <c r="I1066" s="57">
        <f t="shared" si="49"/>
        <v>82.609919999999988</v>
      </c>
      <c r="J1066" s="56">
        <f t="shared" si="50"/>
        <v>106.13363999999999</v>
      </c>
    </row>
    <row r="1067" spans="1:10" ht="18">
      <c r="A1067" s="49">
        <v>4979</v>
      </c>
      <c r="B1067" s="49" t="s">
        <v>1598</v>
      </c>
      <c r="D1067" s="49">
        <v>18.45</v>
      </c>
      <c r="E1067" s="49">
        <v>20.942</v>
      </c>
      <c r="F1067" s="49">
        <v>19.695999999999998</v>
      </c>
      <c r="G1067" s="54">
        <v>3.34</v>
      </c>
      <c r="H1067" s="56">
        <f t="shared" si="48"/>
        <v>61.622999999999998</v>
      </c>
      <c r="I1067" s="57">
        <f t="shared" si="49"/>
        <v>65.784639999999996</v>
      </c>
      <c r="J1067" s="56">
        <f t="shared" si="50"/>
        <v>69.946280000000002</v>
      </c>
    </row>
    <row r="1068" spans="1:10" ht="18">
      <c r="A1068" s="49">
        <v>4987</v>
      </c>
      <c r="B1068" s="49" t="s">
        <v>1599</v>
      </c>
      <c r="D1068" s="49">
        <v>10.114000000000001</v>
      </c>
      <c r="E1068" s="49">
        <v>12.925999999999998</v>
      </c>
      <c r="F1068" s="49">
        <v>11.52</v>
      </c>
      <c r="G1068" s="54">
        <v>4.54</v>
      </c>
      <c r="H1068" s="56">
        <f t="shared" si="48"/>
        <v>45.917560000000002</v>
      </c>
      <c r="I1068" s="57">
        <f t="shared" si="49"/>
        <v>52.300799999999995</v>
      </c>
      <c r="J1068" s="56">
        <f t="shared" si="50"/>
        <v>58.684039999999996</v>
      </c>
    </row>
    <row r="1069" spans="1:10" ht="18">
      <c r="A1069" s="49">
        <v>4989</v>
      </c>
      <c r="B1069" s="49" t="s">
        <v>977</v>
      </c>
      <c r="D1069" s="49">
        <v>0</v>
      </c>
      <c r="E1069" s="49">
        <v>0</v>
      </c>
      <c r="F1069" s="49">
        <v>0</v>
      </c>
      <c r="G1069" s="54">
        <v>-0.15</v>
      </c>
      <c r="H1069" s="56">
        <f t="shared" si="48"/>
        <v>0</v>
      </c>
      <c r="I1069" s="57">
        <f t="shared" si="49"/>
        <v>0</v>
      </c>
      <c r="J1069" s="56">
        <f t="shared" si="50"/>
        <v>0</v>
      </c>
    </row>
    <row r="1070" spans="1:10" ht="18">
      <c r="A1070" s="49">
        <v>4991</v>
      </c>
      <c r="B1070" s="49" t="s">
        <v>1600</v>
      </c>
      <c r="D1070" s="49">
        <v>15.492000000000001</v>
      </c>
      <c r="E1070" s="49">
        <v>18.800000000000004</v>
      </c>
      <c r="F1070" s="49">
        <v>17.146000000000001</v>
      </c>
      <c r="G1070" s="54">
        <v>-7.18</v>
      </c>
      <c r="H1070" s="56">
        <f t="shared" si="48"/>
        <v>-111.23256000000001</v>
      </c>
      <c r="I1070" s="57">
        <f t="shared" si="49"/>
        <v>-123.10828000000001</v>
      </c>
      <c r="J1070" s="56">
        <f t="shared" si="50"/>
        <v>-134.98400000000004</v>
      </c>
    </row>
    <row r="1071" spans="1:10" ht="18">
      <c r="A1071" s="49">
        <v>4994</v>
      </c>
      <c r="B1071" s="49" t="s">
        <v>978</v>
      </c>
      <c r="D1071" s="49">
        <v>24.042000000000002</v>
      </c>
      <c r="E1071" s="49">
        <v>30.636000000000003</v>
      </c>
      <c r="F1071" s="49">
        <v>27.339000000000002</v>
      </c>
      <c r="G1071" s="54">
        <v>1.69</v>
      </c>
      <c r="H1071" s="56">
        <f t="shared" si="48"/>
        <v>40.630980000000001</v>
      </c>
      <c r="I1071" s="57">
        <f t="shared" si="49"/>
        <v>46.202910000000003</v>
      </c>
      <c r="J1071" s="56">
        <f t="shared" si="50"/>
        <v>51.774840000000005</v>
      </c>
    </row>
    <row r="1072" spans="1:10" ht="18">
      <c r="A1072" s="49">
        <v>4995</v>
      </c>
      <c r="B1072" s="49" t="s">
        <v>1601</v>
      </c>
      <c r="D1072" s="49">
        <v>11.620000000000001</v>
      </c>
      <c r="E1072" s="49">
        <v>18.675999999999998</v>
      </c>
      <c r="F1072" s="49">
        <v>15.148</v>
      </c>
      <c r="G1072" s="54">
        <v>3.61</v>
      </c>
      <c r="H1072" s="56">
        <f t="shared" si="48"/>
        <v>41.9482</v>
      </c>
      <c r="I1072" s="57">
        <f t="shared" si="49"/>
        <v>54.684279999999994</v>
      </c>
      <c r="J1072" s="56">
        <f t="shared" si="50"/>
        <v>67.420359999999988</v>
      </c>
    </row>
    <row r="1073" spans="1:10" ht="18">
      <c r="A1073" s="49">
        <v>4999</v>
      </c>
      <c r="B1073" s="49" t="s">
        <v>979</v>
      </c>
      <c r="D1073" s="49">
        <v>8.1020000000000003</v>
      </c>
      <c r="E1073" s="49">
        <v>11.114000000000001</v>
      </c>
      <c r="F1073" s="49">
        <v>9.6080000000000005</v>
      </c>
      <c r="G1073" s="54">
        <v>0.05</v>
      </c>
      <c r="H1073" s="56">
        <f t="shared" si="48"/>
        <v>0.40510000000000002</v>
      </c>
      <c r="I1073" s="57">
        <f t="shared" si="49"/>
        <v>0.48040000000000005</v>
      </c>
      <c r="J1073" s="56">
        <f t="shared" si="50"/>
        <v>0.55570000000000008</v>
      </c>
    </row>
    <row r="1074" spans="1:10" ht="18">
      <c r="A1074" s="49">
        <v>5007</v>
      </c>
      <c r="B1074" s="49" t="s">
        <v>980</v>
      </c>
      <c r="D1074" s="49">
        <v>11.542</v>
      </c>
      <c r="E1074" s="49">
        <v>21.366000000000003</v>
      </c>
      <c r="F1074" s="49">
        <v>16.454000000000001</v>
      </c>
      <c r="G1074" s="54">
        <v>3.38</v>
      </c>
      <c r="H1074" s="56">
        <f t="shared" si="48"/>
        <v>39.011959999999995</v>
      </c>
      <c r="I1074" s="57">
        <f t="shared" si="49"/>
        <v>55.614519999999999</v>
      </c>
      <c r="J1074" s="56">
        <f t="shared" si="50"/>
        <v>72.21708000000001</v>
      </c>
    </row>
    <row r="1075" spans="1:10" ht="18">
      <c r="A1075" s="49">
        <v>5009</v>
      </c>
      <c r="B1075" s="49" t="s">
        <v>1602</v>
      </c>
      <c r="D1075" s="49">
        <v>9.09</v>
      </c>
      <c r="E1075" s="49">
        <v>20.983999999999998</v>
      </c>
      <c r="F1075" s="49">
        <v>15.036999999999999</v>
      </c>
      <c r="G1075" s="54">
        <v>4.66</v>
      </c>
      <c r="H1075" s="56">
        <f t="shared" si="48"/>
        <v>42.359400000000001</v>
      </c>
      <c r="I1075" s="57">
        <f t="shared" si="49"/>
        <v>70.072419999999994</v>
      </c>
      <c r="J1075" s="56">
        <f t="shared" si="50"/>
        <v>97.785439999999994</v>
      </c>
    </row>
    <row r="1076" spans="1:10" ht="18">
      <c r="A1076" s="49">
        <v>5011</v>
      </c>
      <c r="B1076" s="49" t="s">
        <v>1603</v>
      </c>
      <c r="D1076" s="49">
        <v>11.077999999999999</v>
      </c>
      <c r="E1076" s="49">
        <v>23.006</v>
      </c>
      <c r="F1076" s="49">
        <v>17.042000000000002</v>
      </c>
      <c r="G1076" s="54">
        <v>1.51</v>
      </c>
      <c r="H1076" s="56">
        <f t="shared" si="48"/>
        <v>16.727779999999999</v>
      </c>
      <c r="I1076" s="57">
        <f t="shared" si="49"/>
        <v>25.733420000000002</v>
      </c>
      <c r="J1076" s="56">
        <f t="shared" si="50"/>
        <v>34.739060000000002</v>
      </c>
    </row>
    <row r="1077" spans="1:10" ht="18">
      <c r="A1077" s="49">
        <v>5013</v>
      </c>
      <c r="B1077" s="49" t="s">
        <v>1604</v>
      </c>
      <c r="D1077" s="49">
        <v>6.4620000000000006</v>
      </c>
      <c r="E1077" s="49">
        <v>21.065999999999995</v>
      </c>
      <c r="F1077" s="49">
        <v>13.763999999999998</v>
      </c>
      <c r="G1077" s="54">
        <v>1.93</v>
      </c>
      <c r="H1077" s="56">
        <f t="shared" si="48"/>
        <v>12.47166</v>
      </c>
      <c r="I1077" s="57">
        <f t="shared" si="49"/>
        <v>26.564519999999995</v>
      </c>
      <c r="J1077" s="56">
        <f t="shared" si="50"/>
        <v>40.657379999999989</v>
      </c>
    </row>
    <row r="1078" spans="1:10" ht="18">
      <c r="A1078" s="49">
        <v>5014</v>
      </c>
      <c r="B1078" s="49" t="s">
        <v>1605</v>
      </c>
      <c r="D1078" s="49">
        <v>9.1140000000000008</v>
      </c>
      <c r="E1078" s="49">
        <v>16.392000000000003</v>
      </c>
      <c r="F1078" s="49">
        <v>12.753000000000002</v>
      </c>
      <c r="G1078" s="54">
        <v>0.14000000000000001</v>
      </c>
      <c r="H1078" s="56">
        <f t="shared" si="48"/>
        <v>1.2759600000000002</v>
      </c>
      <c r="I1078" s="57">
        <f t="shared" si="49"/>
        <v>1.7854200000000005</v>
      </c>
      <c r="J1078" s="56">
        <f t="shared" si="50"/>
        <v>2.2948800000000005</v>
      </c>
    </row>
    <row r="1079" spans="1:10" ht="18">
      <c r="A1079" s="49">
        <v>5015</v>
      </c>
      <c r="B1079" s="49" t="s">
        <v>1606</v>
      </c>
      <c r="D1079" s="49">
        <v>6.4739999999999993</v>
      </c>
      <c r="E1079" s="49">
        <v>17.936</v>
      </c>
      <c r="F1079" s="49">
        <v>12.205</v>
      </c>
      <c r="G1079" s="54">
        <v>1.34</v>
      </c>
      <c r="H1079" s="56">
        <f t="shared" si="48"/>
        <v>8.67516</v>
      </c>
      <c r="I1079" s="57">
        <f t="shared" si="49"/>
        <v>16.354700000000001</v>
      </c>
      <c r="J1079" s="56">
        <f t="shared" si="50"/>
        <v>24.03424</v>
      </c>
    </row>
    <row r="1080" spans="1:10" ht="18">
      <c r="A1080" s="49">
        <v>5016</v>
      </c>
      <c r="B1080" s="49" t="s">
        <v>1607</v>
      </c>
      <c r="D1080" s="49">
        <v>7.3140000000000001</v>
      </c>
      <c r="E1080" s="49">
        <v>17.954000000000001</v>
      </c>
      <c r="F1080" s="49">
        <v>12.634</v>
      </c>
      <c r="G1080" s="54">
        <v>0.93</v>
      </c>
      <c r="H1080" s="56">
        <f t="shared" si="48"/>
        <v>6.8020200000000006</v>
      </c>
      <c r="I1080" s="57">
        <f t="shared" si="49"/>
        <v>11.74962</v>
      </c>
      <c r="J1080" s="56">
        <f t="shared" si="50"/>
        <v>16.697220000000002</v>
      </c>
    </row>
    <row r="1081" spans="1:10" ht="18">
      <c r="A1081" s="49">
        <v>5201</v>
      </c>
      <c r="B1081" s="49" t="s">
        <v>1608</v>
      </c>
      <c r="D1081" s="49">
        <v>10.998000000000001</v>
      </c>
      <c r="E1081" s="49">
        <v>28.929999999999996</v>
      </c>
      <c r="F1081" s="49">
        <v>19.963999999999999</v>
      </c>
      <c r="G1081" s="54">
        <v>2.44</v>
      </c>
      <c r="H1081" s="56">
        <f t="shared" si="48"/>
        <v>26.835120000000003</v>
      </c>
      <c r="I1081" s="57">
        <f t="shared" si="49"/>
        <v>48.712159999999997</v>
      </c>
      <c r="J1081" s="56">
        <f t="shared" si="50"/>
        <v>70.589199999999991</v>
      </c>
    </row>
    <row r="1082" spans="1:10" ht="18">
      <c r="A1082" s="49">
        <v>5202</v>
      </c>
      <c r="B1082" s="49" t="s">
        <v>1609</v>
      </c>
      <c r="D1082" s="49">
        <v>0</v>
      </c>
      <c r="E1082" s="49">
        <v>0</v>
      </c>
      <c r="F1082" s="49">
        <v>0</v>
      </c>
      <c r="G1082" s="54">
        <v>1.81</v>
      </c>
      <c r="H1082" s="56">
        <f t="shared" si="48"/>
        <v>0</v>
      </c>
      <c r="I1082" s="57">
        <f t="shared" si="49"/>
        <v>0</v>
      </c>
      <c r="J1082" s="56">
        <f t="shared" si="50"/>
        <v>0</v>
      </c>
    </row>
    <row r="1083" spans="1:10" ht="18">
      <c r="A1083" s="49">
        <v>5203</v>
      </c>
      <c r="B1083" s="49" t="s">
        <v>981</v>
      </c>
      <c r="D1083" s="49">
        <v>11.281999999999998</v>
      </c>
      <c r="E1083" s="49">
        <v>23.601999999999997</v>
      </c>
      <c r="F1083" s="49">
        <v>17.441999999999997</v>
      </c>
      <c r="G1083" s="54">
        <v>2.81</v>
      </c>
      <c r="H1083" s="56">
        <f t="shared" si="48"/>
        <v>31.702419999999996</v>
      </c>
      <c r="I1083" s="57">
        <f t="shared" si="49"/>
        <v>49.012019999999993</v>
      </c>
      <c r="J1083" s="56">
        <f t="shared" si="50"/>
        <v>66.321619999999996</v>
      </c>
    </row>
    <row r="1084" spans="1:10" ht="18">
      <c r="A1084" s="49">
        <v>5205</v>
      </c>
      <c r="B1084" s="49" t="s">
        <v>1610</v>
      </c>
      <c r="D1084" s="49">
        <v>0</v>
      </c>
      <c r="E1084" s="49">
        <v>0</v>
      </c>
      <c r="F1084" s="49">
        <v>0</v>
      </c>
      <c r="G1084" s="54">
        <v>-1.55</v>
      </c>
      <c r="H1084" s="56">
        <f t="shared" si="48"/>
        <v>0</v>
      </c>
      <c r="I1084" s="57">
        <f t="shared" si="49"/>
        <v>0</v>
      </c>
      <c r="J1084" s="56">
        <f t="shared" si="50"/>
        <v>0</v>
      </c>
    </row>
    <row r="1085" spans="1:10" ht="18">
      <c r="A1085" s="49">
        <v>5206</v>
      </c>
      <c r="B1085" s="49" t="s">
        <v>1611</v>
      </c>
      <c r="D1085" s="49">
        <v>6.7760000000000007</v>
      </c>
      <c r="E1085" s="49">
        <v>15.158000000000001</v>
      </c>
      <c r="F1085" s="49">
        <v>10.967000000000001</v>
      </c>
      <c r="G1085" s="54">
        <v>2.2999999999999998</v>
      </c>
      <c r="H1085" s="56">
        <f t="shared" si="48"/>
        <v>15.5848</v>
      </c>
      <c r="I1085" s="57">
        <f t="shared" si="49"/>
        <v>25.2241</v>
      </c>
      <c r="J1085" s="56">
        <f t="shared" si="50"/>
        <v>34.863399999999999</v>
      </c>
    </row>
    <row r="1086" spans="1:10" ht="18">
      <c r="A1086" s="49">
        <v>5209</v>
      </c>
      <c r="B1086" s="49" t="s">
        <v>1612</v>
      </c>
      <c r="D1086" s="49">
        <v>9.2360000000000007</v>
      </c>
      <c r="E1086" s="49">
        <v>16.544</v>
      </c>
      <c r="F1086" s="49">
        <v>12.89</v>
      </c>
      <c r="G1086" s="54">
        <v>12.51</v>
      </c>
      <c r="H1086" s="56">
        <f t="shared" si="48"/>
        <v>115.54236</v>
      </c>
      <c r="I1086" s="57">
        <f t="shared" si="49"/>
        <v>161.25390000000002</v>
      </c>
      <c r="J1086" s="56">
        <f t="shared" si="50"/>
        <v>206.96544</v>
      </c>
    </row>
    <row r="1087" spans="1:10" ht="18">
      <c r="A1087" s="49">
        <v>5210</v>
      </c>
      <c r="B1087" s="49" t="s">
        <v>1613</v>
      </c>
      <c r="D1087" s="49">
        <v>22.484000000000002</v>
      </c>
      <c r="E1087" s="49">
        <v>28.675999999999998</v>
      </c>
      <c r="F1087" s="49">
        <v>25.58</v>
      </c>
      <c r="G1087" s="54">
        <v>-1.56</v>
      </c>
      <c r="H1087" s="56">
        <f t="shared" si="48"/>
        <v>-35.075040000000001</v>
      </c>
      <c r="I1087" s="57">
        <f t="shared" si="49"/>
        <v>-39.904800000000002</v>
      </c>
      <c r="J1087" s="56">
        <f t="shared" si="50"/>
        <v>-44.734560000000002</v>
      </c>
    </row>
    <row r="1088" spans="1:10" ht="18">
      <c r="A1088" s="49">
        <v>5211</v>
      </c>
      <c r="B1088" s="49" t="s">
        <v>1614</v>
      </c>
      <c r="D1088" s="49">
        <v>14.086000000000002</v>
      </c>
      <c r="E1088" s="49">
        <v>30.667999999999999</v>
      </c>
      <c r="F1088" s="49">
        <v>22.377000000000002</v>
      </c>
      <c r="G1088" s="54">
        <v>-4.5599999999999996</v>
      </c>
      <c r="H1088" s="56">
        <f t="shared" si="48"/>
        <v>-64.232160000000007</v>
      </c>
      <c r="I1088" s="57">
        <f t="shared" si="49"/>
        <v>-102.03912</v>
      </c>
      <c r="J1088" s="56">
        <f t="shared" si="50"/>
        <v>-139.84607999999997</v>
      </c>
    </row>
    <row r="1089" spans="1:10" ht="18">
      <c r="A1089" s="49">
        <v>5212</v>
      </c>
      <c r="B1089" s="49" t="s">
        <v>1615</v>
      </c>
      <c r="D1089" s="49">
        <v>13.016</v>
      </c>
      <c r="E1089" s="49">
        <v>24.308000000000003</v>
      </c>
      <c r="F1089" s="49">
        <v>18.662000000000003</v>
      </c>
      <c r="G1089" s="54">
        <v>3.36</v>
      </c>
      <c r="H1089" s="56">
        <f t="shared" si="48"/>
        <v>43.733759999999997</v>
      </c>
      <c r="I1089" s="57">
        <f t="shared" si="49"/>
        <v>62.70432000000001</v>
      </c>
      <c r="J1089" s="56">
        <f t="shared" si="50"/>
        <v>81.674880000000002</v>
      </c>
    </row>
    <row r="1090" spans="1:10" ht="18">
      <c r="A1090" s="49">
        <v>5213</v>
      </c>
      <c r="B1090" s="49" t="s">
        <v>1616</v>
      </c>
      <c r="D1090" s="49">
        <v>4.258</v>
      </c>
      <c r="E1090" s="49">
        <v>19.601999999999997</v>
      </c>
      <c r="F1090" s="49">
        <v>11.929999999999998</v>
      </c>
      <c r="G1090" s="54">
        <v>2.59</v>
      </c>
      <c r="H1090" s="56">
        <f t="shared" si="48"/>
        <v>11.028219999999999</v>
      </c>
      <c r="I1090" s="57">
        <f t="shared" si="49"/>
        <v>30.898699999999995</v>
      </c>
      <c r="J1090" s="56">
        <f t="shared" si="50"/>
        <v>50.769179999999992</v>
      </c>
    </row>
    <row r="1091" spans="1:10" ht="18">
      <c r="A1091" s="49">
        <v>5215</v>
      </c>
      <c r="B1091" s="49" t="s">
        <v>982</v>
      </c>
      <c r="D1091" s="49">
        <v>7.7780000000000005</v>
      </c>
      <c r="E1091" s="49">
        <v>17.3</v>
      </c>
      <c r="F1091" s="49">
        <v>12.539000000000001</v>
      </c>
      <c r="G1091" s="54">
        <v>2.8</v>
      </c>
      <c r="H1091" s="56">
        <f t="shared" ref="H1091:H1154" si="51">G1091*D1091</f>
        <v>21.778400000000001</v>
      </c>
      <c r="I1091" s="57">
        <f t="shared" ref="I1091:I1154" si="52">G1091*F1091</f>
        <v>35.109200000000001</v>
      </c>
      <c r="J1091" s="56">
        <f t="shared" ref="J1091:J1154" si="53">G1091*E1091</f>
        <v>48.44</v>
      </c>
    </row>
    <row r="1092" spans="1:10" ht="18">
      <c r="A1092" s="49">
        <v>5220</v>
      </c>
      <c r="B1092" s="49" t="s">
        <v>1617</v>
      </c>
      <c r="D1092" s="49">
        <v>9.6240000000000006</v>
      </c>
      <c r="E1092" s="49">
        <v>13.969999999999999</v>
      </c>
      <c r="F1092" s="49">
        <v>11.797000000000001</v>
      </c>
      <c r="G1092" s="54">
        <v>0.95</v>
      </c>
      <c r="H1092" s="56">
        <f t="shared" si="51"/>
        <v>9.1427999999999994</v>
      </c>
      <c r="I1092" s="57">
        <f t="shared" si="52"/>
        <v>11.20715</v>
      </c>
      <c r="J1092" s="56">
        <f t="shared" si="53"/>
        <v>13.271499999999998</v>
      </c>
    </row>
    <row r="1093" spans="1:10" ht="18">
      <c r="A1093" s="49">
        <v>5222</v>
      </c>
      <c r="B1093" s="49" t="s">
        <v>983</v>
      </c>
      <c r="D1093" s="49">
        <v>0</v>
      </c>
      <c r="E1093" s="49">
        <v>0</v>
      </c>
      <c r="F1093" s="49">
        <v>0</v>
      </c>
      <c r="G1093" s="54" t="s">
        <v>271</v>
      </c>
      <c r="H1093" s="56" t="e">
        <f t="shared" si="51"/>
        <v>#VALUE!</v>
      </c>
      <c r="I1093" s="57" t="e">
        <f t="shared" si="52"/>
        <v>#VALUE!</v>
      </c>
      <c r="J1093" s="56" t="e">
        <f t="shared" si="53"/>
        <v>#VALUE!</v>
      </c>
    </row>
    <row r="1094" spans="1:10" ht="18">
      <c r="A1094" s="49">
        <v>5223</v>
      </c>
      <c r="B1094" s="49" t="s">
        <v>1618</v>
      </c>
      <c r="D1094" s="49">
        <v>10.559999999999999</v>
      </c>
      <c r="E1094" s="49">
        <v>10.559999999999999</v>
      </c>
      <c r="F1094" s="49">
        <v>10.559999999999999</v>
      </c>
      <c r="G1094" s="54">
        <v>-0.38</v>
      </c>
      <c r="H1094" s="56">
        <f t="shared" si="51"/>
        <v>-4.0127999999999995</v>
      </c>
      <c r="I1094" s="57">
        <f t="shared" si="52"/>
        <v>-4.0127999999999995</v>
      </c>
      <c r="J1094" s="56">
        <f t="shared" si="53"/>
        <v>-4.0127999999999995</v>
      </c>
    </row>
    <row r="1095" spans="1:10" ht="18">
      <c r="A1095" s="49">
        <v>5225</v>
      </c>
      <c r="B1095" s="49" t="s">
        <v>984</v>
      </c>
      <c r="D1095" s="49">
        <v>7.6280000000000001</v>
      </c>
      <c r="E1095" s="49">
        <v>15.577999999999999</v>
      </c>
      <c r="F1095" s="49">
        <v>11.603</v>
      </c>
      <c r="G1095" s="54">
        <v>8.02</v>
      </c>
      <c r="H1095" s="56">
        <f t="shared" si="51"/>
        <v>61.176559999999995</v>
      </c>
      <c r="I1095" s="57">
        <f t="shared" si="52"/>
        <v>93.056059999999988</v>
      </c>
      <c r="J1095" s="56">
        <f t="shared" si="53"/>
        <v>124.93556</v>
      </c>
    </row>
    <row r="1096" spans="1:10" ht="18">
      <c r="A1096" s="49">
        <v>5227</v>
      </c>
      <c r="B1096" s="49" t="s">
        <v>1619</v>
      </c>
      <c r="D1096" s="49">
        <v>0</v>
      </c>
      <c r="E1096" s="49">
        <v>0</v>
      </c>
      <c r="F1096" s="49">
        <v>0</v>
      </c>
      <c r="G1096" s="54">
        <v>-7</v>
      </c>
      <c r="H1096" s="56">
        <f t="shared" si="51"/>
        <v>0</v>
      </c>
      <c r="I1096" s="57">
        <f t="shared" si="52"/>
        <v>0</v>
      </c>
      <c r="J1096" s="56">
        <f t="shared" si="53"/>
        <v>0</v>
      </c>
    </row>
    <row r="1097" spans="1:10" ht="18">
      <c r="A1097" s="49">
        <v>5228</v>
      </c>
      <c r="B1097" s="49" t="s">
        <v>1620</v>
      </c>
      <c r="D1097" s="49">
        <v>0</v>
      </c>
      <c r="E1097" s="49">
        <v>0</v>
      </c>
      <c r="F1097" s="49">
        <v>0</v>
      </c>
      <c r="G1097" s="54" t="s">
        <v>271</v>
      </c>
      <c r="H1097" s="56" t="e">
        <f t="shared" si="51"/>
        <v>#VALUE!</v>
      </c>
      <c r="I1097" s="57" t="e">
        <f t="shared" si="52"/>
        <v>#VALUE!</v>
      </c>
      <c r="J1097" s="56" t="e">
        <f t="shared" si="53"/>
        <v>#VALUE!</v>
      </c>
    </row>
    <row r="1098" spans="1:10" ht="18">
      <c r="A1098" s="49">
        <v>5230</v>
      </c>
      <c r="B1098" s="49" t="s">
        <v>1621</v>
      </c>
      <c r="D1098" s="49">
        <v>16.756</v>
      </c>
      <c r="E1098" s="49">
        <v>27.630000000000003</v>
      </c>
      <c r="F1098" s="49">
        <v>22.193000000000001</v>
      </c>
      <c r="G1098" s="54">
        <v>7.0000000000000007E-2</v>
      </c>
      <c r="H1098" s="56">
        <f t="shared" si="51"/>
        <v>1.1729200000000002</v>
      </c>
      <c r="I1098" s="57">
        <f t="shared" si="52"/>
        <v>1.5535100000000002</v>
      </c>
      <c r="J1098" s="56">
        <f t="shared" si="53"/>
        <v>1.9341000000000004</v>
      </c>
    </row>
    <row r="1099" spans="1:10" ht="18">
      <c r="A1099" s="49">
        <v>5234</v>
      </c>
      <c r="B1099" s="49" t="s">
        <v>985</v>
      </c>
      <c r="D1099" s="49">
        <v>12.172000000000001</v>
      </c>
      <c r="E1099" s="49">
        <v>18.770000000000003</v>
      </c>
      <c r="F1099" s="49">
        <v>15.471000000000002</v>
      </c>
      <c r="G1099" s="54">
        <v>5.0999999999999996</v>
      </c>
      <c r="H1099" s="56">
        <f t="shared" si="51"/>
        <v>62.077199999999998</v>
      </c>
      <c r="I1099" s="57">
        <f t="shared" si="52"/>
        <v>78.902100000000004</v>
      </c>
      <c r="J1099" s="56">
        <f t="shared" si="53"/>
        <v>95.727000000000004</v>
      </c>
    </row>
    <row r="1100" spans="1:10" ht="18">
      <c r="A1100" s="49">
        <v>5236</v>
      </c>
      <c r="B1100" s="49" t="s">
        <v>1622</v>
      </c>
      <c r="D1100" s="49">
        <v>0</v>
      </c>
      <c r="E1100" s="49">
        <v>0</v>
      </c>
      <c r="F1100" s="49">
        <v>0</v>
      </c>
      <c r="G1100" s="54" t="s">
        <v>271</v>
      </c>
      <c r="H1100" s="56" t="e">
        <f t="shared" si="51"/>
        <v>#VALUE!</v>
      </c>
      <c r="I1100" s="57" t="e">
        <f t="shared" si="52"/>
        <v>#VALUE!</v>
      </c>
      <c r="J1100" s="56" t="e">
        <f t="shared" si="53"/>
        <v>#VALUE!</v>
      </c>
    </row>
    <row r="1101" spans="1:10" ht="18">
      <c r="A1101" s="49">
        <v>5243</v>
      </c>
      <c r="B1101" s="49" t="s">
        <v>986</v>
      </c>
      <c r="D1101" s="49">
        <v>13.642000000000001</v>
      </c>
      <c r="E1101" s="49">
        <v>23.143999999999998</v>
      </c>
      <c r="F1101" s="49">
        <v>18.393000000000001</v>
      </c>
      <c r="G1101" s="54">
        <v>3.55</v>
      </c>
      <c r="H1101" s="56">
        <f t="shared" si="51"/>
        <v>48.429100000000005</v>
      </c>
      <c r="I1101" s="57">
        <f t="shared" si="52"/>
        <v>65.295149999999992</v>
      </c>
      <c r="J1101" s="56">
        <f t="shared" si="53"/>
        <v>82.161199999999994</v>
      </c>
    </row>
    <row r="1102" spans="1:10" ht="18">
      <c r="A1102" s="49">
        <v>5244</v>
      </c>
      <c r="B1102" s="49" t="s">
        <v>987</v>
      </c>
      <c r="D1102" s="49">
        <v>0</v>
      </c>
      <c r="E1102" s="49">
        <v>0</v>
      </c>
      <c r="F1102" s="49">
        <v>0</v>
      </c>
      <c r="G1102" s="54" t="s">
        <v>271</v>
      </c>
      <c r="H1102" s="56" t="e">
        <f t="shared" si="51"/>
        <v>#VALUE!</v>
      </c>
      <c r="I1102" s="57" t="e">
        <f t="shared" si="52"/>
        <v>#VALUE!</v>
      </c>
      <c r="J1102" s="56" t="e">
        <f t="shared" si="53"/>
        <v>#VALUE!</v>
      </c>
    </row>
    <row r="1103" spans="1:10" ht="18">
      <c r="A1103" s="49">
        <v>5245</v>
      </c>
      <c r="B1103" s="49" t="s">
        <v>1623</v>
      </c>
      <c r="D1103" s="49">
        <v>16.675999999999998</v>
      </c>
      <c r="E1103" s="49">
        <v>28.679999999999996</v>
      </c>
      <c r="F1103" s="49">
        <v>22.677999999999997</v>
      </c>
      <c r="G1103" s="54">
        <v>-3.22</v>
      </c>
      <c r="H1103" s="56">
        <f t="shared" si="51"/>
        <v>-53.696719999999999</v>
      </c>
      <c r="I1103" s="57">
        <f t="shared" si="52"/>
        <v>-73.02315999999999</v>
      </c>
      <c r="J1103" s="56">
        <f t="shared" si="53"/>
        <v>-92.349599999999995</v>
      </c>
    </row>
    <row r="1104" spans="1:10" ht="18">
      <c r="A1104" s="49">
        <v>5251</v>
      </c>
      <c r="B1104" s="49" t="s">
        <v>1624</v>
      </c>
      <c r="D1104" s="49">
        <v>12.290000000000001</v>
      </c>
      <c r="E1104" s="49">
        <v>12.290000000000001</v>
      </c>
      <c r="F1104" s="49">
        <v>12.290000000000001</v>
      </c>
      <c r="G1104" s="54">
        <v>-1.84</v>
      </c>
      <c r="H1104" s="56">
        <f t="shared" si="51"/>
        <v>-22.613600000000002</v>
      </c>
      <c r="I1104" s="57">
        <f t="shared" si="52"/>
        <v>-22.613600000000002</v>
      </c>
      <c r="J1104" s="56">
        <f t="shared" si="53"/>
        <v>-22.613600000000002</v>
      </c>
    </row>
    <row r="1105" spans="1:10" ht="18">
      <c r="A1105" s="49">
        <v>5258</v>
      </c>
      <c r="B1105" s="49" t="s">
        <v>988</v>
      </c>
      <c r="D1105" s="49">
        <v>11.806000000000001</v>
      </c>
      <c r="E1105" s="49">
        <v>17.613999999999997</v>
      </c>
      <c r="F1105" s="49">
        <v>14.709999999999999</v>
      </c>
      <c r="G1105" s="54">
        <v>8.5500000000000007</v>
      </c>
      <c r="H1105" s="56">
        <f t="shared" si="51"/>
        <v>100.94130000000001</v>
      </c>
      <c r="I1105" s="57">
        <f t="shared" si="52"/>
        <v>125.7705</v>
      </c>
      <c r="J1105" s="56">
        <f t="shared" si="53"/>
        <v>150.59969999999998</v>
      </c>
    </row>
    <row r="1106" spans="1:10" ht="18">
      <c r="A1106" s="49">
        <v>5263</v>
      </c>
      <c r="B1106" s="49" t="s">
        <v>1625</v>
      </c>
      <c r="D1106" s="49">
        <v>0</v>
      </c>
      <c r="E1106" s="49">
        <v>0</v>
      </c>
      <c r="F1106" s="49">
        <v>0</v>
      </c>
      <c r="G1106" s="54">
        <v>-2.79</v>
      </c>
      <c r="H1106" s="56">
        <f t="shared" si="51"/>
        <v>0</v>
      </c>
      <c r="I1106" s="57">
        <f t="shared" si="52"/>
        <v>0</v>
      </c>
      <c r="J1106" s="56">
        <f t="shared" si="53"/>
        <v>0</v>
      </c>
    </row>
    <row r="1107" spans="1:10" ht="18">
      <c r="A1107" s="49">
        <v>5269</v>
      </c>
      <c r="B1107" s="49" t="s">
        <v>989</v>
      </c>
      <c r="D1107" s="49">
        <v>27.570000000000004</v>
      </c>
      <c r="E1107" s="49">
        <v>32.378</v>
      </c>
      <c r="F1107" s="49">
        <v>29.974000000000004</v>
      </c>
      <c r="G1107" s="54">
        <v>32.19</v>
      </c>
      <c r="H1107" s="56">
        <f t="shared" si="51"/>
        <v>887.4783000000001</v>
      </c>
      <c r="I1107" s="57">
        <f t="shared" si="52"/>
        <v>964.86306000000002</v>
      </c>
      <c r="J1107" s="56">
        <f t="shared" si="53"/>
        <v>1042.2478199999998</v>
      </c>
    </row>
    <row r="1108" spans="1:10" ht="18">
      <c r="A1108" s="49">
        <v>5272</v>
      </c>
      <c r="B1108" s="49" t="s">
        <v>1626</v>
      </c>
      <c r="D1108" s="49">
        <v>23.594000000000001</v>
      </c>
      <c r="E1108" s="49">
        <v>26.538</v>
      </c>
      <c r="F1108" s="49">
        <v>25.066000000000003</v>
      </c>
      <c r="G1108" s="54">
        <v>-0.56000000000000005</v>
      </c>
      <c r="H1108" s="56">
        <f t="shared" si="51"/>
        <v>-13.212640000000002</v>
      </c>
      <c r="I1108" s="57">
        <f t="shared" si="52"/>
        <v>-14.036960000000002</v>
      </c>
      <c r="J1108" s="56">
        <f t="shared" si="53"/>
        <v>-14.861280000000001</v>
      </c>
    </row>
    <row r="1109" spans="1:10" ht="18">
      <c r="A1109" s="49">
        <v>5274</v>
      </c>
      <c r="B1109" s="49" t="s">
        <v>1627</v>
      </c>
      <c r="D1109" s="49">
        <v>29.874000000000002</v>
      </c>
      <c r="E1109" s="49">
        <v>32.308000000000007</v>
      </c>
      <c r="F1109" s="49">
        <v>31.091000000000005</v>
      </c>
      <c r="G1109" s="54">
        <v>26.66</v>
      </c>
      <c r="H1109" s="56">
        <f t="shared" si="51"/>
        <v>796.44084000000009</v>
      </c>
      <c r="I1109" s="57">
        <f t="shared" si="52"/>
        <v>828.88606000000016</v>
      </c>
      <c r="J1109" s="56">
        <f t="shared" si="53"/>
        <v>861.33128000000022</v>
      </c>
    </row>
    <row r="1110" spans="1:10" ht="18">
      <c r="A1110" s="49">
        <v>5276</v>
      </c>
      <c r="B1110" s="49" t="s">
        <v>1628</v>
      </c>
      <c r="D1110" s="49">
        <v>11.326000000000001</v>
      </c>
      <c r="E1110" s="49">
        <v>13.693999999999999</v>
      </c>
      <c r="F1110" s="49">
        <v>12.51</v>
      </c>
      <c r="G1110" s="54">
        <v>-0.71</v>
      </c>
      <c r="H1110" s="56">
        <f t="shared" si="51"/>
        <v>-8.0414600000000007</v>
      </c>
      <c r="I1110" s="57">
        <f t="shared" si="52"/>
        <v>-8.8820999999999994</v>
      </c>
      <c r="J1110" s="56">
        <f t="shared" si="53"/>
        <v>-9.7227399999999982</v>
      </c>
    </row>
    <row r="1111" spans="1:10" ht="18">
      <c r="A1111" s="49">
        <v>5278</v>
      </c>
      <c r="B1111" s="49" t="s">
        <v>1629</v>
      </c>
      <c r="D1111" s="49">
        <v>13.736000000000001</v>
      </c>
      <c r="E1111" s="49">
        <v>18.554000000000002</v>
      </c>
      <c r="F1111" s="49">
        <v>16.145000000000003</v>
      </c>
      <c r="G1111" s="54">
        <v>13.39</v>
      </c>
      <c r="H1111" s="56">
        <f t="shared" si="51"/>
        <v>183.92504000000002</v>
      </c>
      <c r="I1111" s="57">
        <f t="shared" si="52"/>
        <v>216.18155000000004</v>
      </c>
      <c r="J1111" s="56">
        <f t="shared" si="53"/>
        <v>248.43806000000004</v>
      </c>
    </row>
    <row r="1112" spans="1:10" ht="18">
      <c r="A1112" s="49">
        <v>5281</v>
      </c>
      <c r="B1112" s="49" t="s">
        <v>1630</v>
      </c>
      <c r="D1112" s="49">
        <v>0</v>
      </c>
      <c r="E1112" s="49">
        <v>0</v>
      </c>
      <c r="F1112" s="49">
        <v>0</v>
      </c>
      <c r="G1112" s="54">
        <v>-0.65</v>
      </c>
      <c r="H1112" s="56">
        <f t="shared" si="51"/>
        <v>0</v>
      </c>
      <c r="I1112" s="57">
        <f t="shared" si="52"/>
        <v>0</v>
      </c>
      <c r="J1112" s="56">
        <f t="shared" si="53"/>
        <v>0</v>
      </c>
    </row>
    <row r="1113" spans="1:10" ht="18">
      <c r="A1113" s="49">
        <v>5283</v>
      </c>
      <c r="B1113" s="49" t="s">
        <v>990</v>
      </c>
      <c r="D1113" s="49">
        <v>11.006</v>
      </c>
      <c r="E1113" s="49">
        <v>11.006</v>
      </c>
      <c r="F1113" s="49">
        <v>11.006</v>
      </c>
      <c r="G1113" s="54">
        <v>-0.46</v>
      </c>
      <c r="H1113" s="56">
        <f t="shared" si="51"/>
        <v>-5.0627599999999999</v>
      </c>
      <c r="I1113" s="57">
        <f t="shared" si="52"/>
        <v>-5.0627599999999999</v>
      </c>
      <c r="J1113" s="56">
        <f t="shared" si="53"/>
        <v>-5.0627599999999999</v>
      </c>
    </row>
    <row r="1114" spans="1:10" ht="18">
      <c r="A1114" s="49">
        <v>5284</v>
      </c>
      <c r="B1114" s="49" t="s">
        <v>991</v>
      </c>
      <c r="D1114" s="49">
        <v>12.139999999999999</v>
      </c>
      <c r="E1114" s="49">
        <v>15.719999999999999</v>
      </c>
      <c r="F1114" s="49">
        <v>13.93</v>
      </c>
      <c r="G1114" s="54">
        <v>8.33</v>
      </c>
      <c r="H1114" s="56">
        <f t="shared" si="51"/>
        <v>101.1262</v>
      </c>
      <c r="I1114" s="57">
        <f t="shared" si="52"/>
        <v>116.0369</v>
      </c>
      <c r="J1114" s="56">
        <f t="shared" si="53"/>
        <v>130.94759999999999</v>
      </c>
    </row>
    <row r="1115" spans="1:10" ht="18">
      <c r="A1115" s="49">
        <v>5285</v>
      </c>
      <c r="B1115" s="49" t="s">
        <v>992</v>
      </c>
      <c r="D1115" s="49">
        <v>15.018000000000001</v>
      </c>
      <c r="E1115" s="49">
        <v>22.353999999999999</v>
      </c>
      <c r="F1115" s="49">
        <v>18.686</v>
      </c>
      <c r="G1115" s="54">
        <v>1.75</v>
      </c>
      <c r="H1115" s="56">
        <f t="shared" si="51"/>
        <v>26.281500000000001</v>
      </c>
      <c r="I1115" s="57">
        <f t="shared" si="52"/>
        <v>32.700499999999998</v>
      </c>
      <c r="J1115" s="56">
        <f t="shared" si="53"/>
        <v>39.119500000000002</v>
      </c>
    </row>
    <row r="1116" spans="1:10" ht="18">
      <c r="A1116" s="49">
        <v>5287</v>
      </c>
      <c r="B1116" s="49" t="s">
        <v>1631</v>
      </c>
      <c r="D1116" s="49">
        <v>14.986000000000001</v>
      </c>
      <c r="E1116" s="49">
        <v>20.393999999999998</v>
      </c>
      <c r="F1116" s="49">
        <v>17.689999999999998</v>
      </c>
      <c r="G1116" s="54">
        <v>12.44</v>
      </c>
      <c r="H1116" s="56">
        <f t="shared" si="51"/>
        <v>186.42583999999999</v>
      </c>
      <c r="I1116" s="57">
        <f t="shared" si="52"/>
        <v>220.06359999999995</v>
      </c>
      <c r="J1116" s="56">
        <f t="shared" si="53"/>
        <v>253.70135999999997</v>
      </c>
    </row>
    <row r="1117" spans="1:10" ht="18">
      <c r="A1117" s="49">
        <v>5288</v>
      </c>
      <c r="B1117" s="49" t="s">
        <v>993</v>
      </c>
      <c r="D1117" s="49">
        <v>12.084</v>
      </c>
      <c r="E1117" s="49">
        <v>14.186000000000002</v>
      </c>
      <c r="F1117" s="49">
        <v>13.135000000000002</v>
      </c>
      <c r="G1117" s="54">
        <v>15.6</v>
      </c>
      <c r="H1117" s="56">
        <f t="shared" si="51"/>
        <v>188.51039999999998</v>
      </c>
      <c r="I1117" s="57">
        <f t="shared" si="52"/>
        <v>204.90600000000001</v>
      </c>
      <c r="J1117" s="56">
        <f t="shared" si="53"/>
        <v>221.30160000000001</v>
      </c>
    </row>
    <row r="1118" spans="1:10" ht="18">
      <c r="A1118" s="49">
        <v>5289</v>
      </c>
      <c r="B1118" s="49" t="s">
        <v>1632</v>
      </c>
      <c r="D1118" s="49">
        <v>10.191999999999998</v>
      </c>
      <c r="E1118" s="49">
        <v>15.406000000000001</v>
      </c>
      <c r="F1118" s="49">
        <v>12.798999999999999</v>
      </c>
      <c r="G1118" s="54">
        <v>12.9</v>
      </c>
      <c r="H1118" s="56">
        <f t="shared" si="51"/>
        <v>131.47679999999997</v>
      </c>
      <c r="I1118" s="57">
        <f t="shared" si="52"/>
        <v>165.1071</v>
      </c>
      <c r="J1118" s="56">
        <f t="shared" si="53"/>
        <v>198.73740000000001</v>
      </c>
    </row>
    <row r="1119" spans="1:10" ht="18">
      <c r="A1119" s="49">
        <v>5291</v>
      </c>
      <c r="B1119" s="49" t="s">
        <v>1633</v>
      </c>
      <c r="D1119" s="49">
        <v>11.59</v>
      </c>
      <c r="E1119" s="49">
        <v>21.387999999999998</v>
      </c>
      <c r="F1119" s="49">
        <v>16.488999999999997</v>
      </c>
      <c r="G1119" s="54">
        <v>0.34</v>
      </c>
      <c r="H1119" s="56">
        <f t="shared" si="51"/>
        <v>3.9406000000000003</v>
      </c>
      <c r="I1119" s="57">
        <f t="shared" si="52"/>
        <v>5.6062599999999998</v>
      </c>
      <c r="J1119" s="56">
        <f t="shared" si="53"/>
        <v>7.2719199999999997</v>
      </c>
    </row>
    <row r="1120" spans="1:10" ht="18">
      <c r="A1120" s="49">
        <v>5299</v>
      </c>
      <c r="B1120" s="49" t="s">
        <v>1634</v>
      </c>
      <c r="D1120" s="49">
        <v>12.806000000000001</v>
      </c>
      <c r="E1120" s="49">
        <v>16.066000000000003</v>
      </c>
      <c r="F1120" s="49">
        <v>14.436000000000002</v>
      </c>
      <c r="G1120" s="54">
        <v>5.13</v>
      </c>
      <c r="H1120" s="56">
        <f t="shared" si="51"/>
        <v>65.694780000000009</v>
      </c>
      <c r="I1120" s="57">
        <f t="shared" si="52"/>
        <v>74.056680000000014</v>
      </c>
      <c r="J1120" s="56">
        <f t="shared" si="53"/>
        <v>82.418580000000006</v>
      </c>
    </row>
    <row r="1121" spans="1:10" ht="18">
      <c r="A1121" s="49">
        <v>5301</v>
      </c>
      <c r="B1121" s="49" t="s">
        <v>1635</v>
      </c>
      <c r="D1121" s="49">
        <v>0</v>
      </c>
      <c r="E1121" s="49">
        <v>0</v>
      </c>
      <c r="F1121" s="49">
        <v>0</v>
      </c>
      <c r="G1121" s="54">
        <v>-0.61</v>
      </c>
      <c r="H1121" s="56">
        <f t="shared" si="51"/>
        <v>0</v>
      </c>
      <c r="I1121" s="57">
        <f t="shared" si="52"/>
        <v>0</v>
      </c>
      <c r="J1121" s="56">
        <f t="shared" si="53"/>
        <v>0</v>
      </c>
    </row>
    <row r="1122" spans="1:10" ht="18">
      <c r="A1122" s="49">
        <v>5302</v>
      </c>
      <c r="B1122" s="49" t="s">
        <v>1636</v>
      </c>
      <c r="D1122" s="49">
        <v>0</v>
      </c>
      <c r="E1122" s="49">
        <v>0</v>
      </c>
      <c r="F1122" s="49">
        <v>0</v>
      </c>
      <c r="G1122" s="54">
        <v>-0.34</v>
      </c>
      <c r="H1122" s="56">
        <f t="shared" si="51"/>
        <v>0</v>
      </c>
      <c r="I1122" s="57">
        <f t="shared" si="52"/>
        <v>0</v>
      </c>
      <c r="J1122" s="56">
        <f t="shared" si="53"/>
        <v>0</v>
      </c>
    </row>
    <row r="1123" spans="1:10" ht="18">
      <c r="A1123" s="49">
        <v>5306</v>
      </c>
      <c r="B1123" s="49" t="s">
        <v>994</v>
      </c>
      <c r="D1123" s="49">
        <v>12.45</v>
      </c>
      <c r="E1123" s="49">
        <v>27.815999999999995</v>
      </c>
      <c r="F1123" s="49">
        <v>20.132999999999996</v>
      </c>
      <c r="G1123" s="54">
        <v>5.89</v>
      </c>
      <c r="H1123" s="56">
        <f t="shared" si="51"/>
        <v>73.330499999999986</v>
      </c>
      <c r="I1123" s="57">
        <f t="shared" si="52"/>
        <v>118.58336999999997</v>
      </c>
      <c r="J1123" s="56">
        <f t="shared" si="53"/>
        <v>163.83623999999998</v>
      </c>
    </row>
    <row r="1124" spans="1:10" ht="18">
      <c r="A1124" s="49">
        <v>5309</v>
      </c>
      <c r="B1124" s="49" t="s">
        <v>1637</v>
      </c>
      <c r="D1124" s="49">
        <v>17.713999999999999</v>
      </c>
      <c r="E1124" s="49">
        <v>17.713999999999999</v>
      </c>
      <c r="F1124" s="49">
        <v>17.713999999999999</v>
      </c>
      <c r="G1124" s="54">
        <v>1.41</v>
      </c>
      <c r="H1124" s="56">
        <f t="shared" si="51"/>
        <v>24.976739999999996</v>
      </c>
      <c r="I1124" s="57">
        <f t="shared" si="52"/>
        <v>24.976739999999996</v>
      </c>
      <c r="J1124" s="56">
        <f t="shared" si="53"/>
        <v>24.976739999999996</v>
      </c>
    </row>
    <row r="1125" spans="1:10" ht="18">
      <c r="A1125" s="49">
        <v>5310</v>
      </c>
      <c r="B1125" s="49" t="s">
        <v>1638</v>
      </c>
      <c r="D1125" s="49">
        <v>0</v>
      </c>
      <c r="E1125" s="49">
        <v>0</v>
      </c>
      <c r="F1125" s="49">
        <v>0</v>
      </c>
      <c r="G1125" s="54">
        <v>9.9999999999999794E-3</v>
      </c>
      <c r="H1125" s="56">
        <f t="shared" si="51"/>
        <v>0</v>
      </c>
      <c r="I1125" s="57">
        <f t="shared" si="52"/>
        <v>0</v>
      </c>
      <c r="J1125" s="56">
        <f t="shared" si="53"/>
        <v>0</v>
      </c>
    </row>
    <row r="1126" spans="1:10" ht="18">
      <c r="A1126" s="49">
        <v>5312</v>
      </c>
      <c r="B1126" s="49" t="s">
        <v>1639</v>
      </c>
      <c r="D1126" s="49">
        <v>11.564</v>
      </c>
      <c r="E1126" s="49">
        <v>20.254000000000001</v>
      </c>
      <c r="F1126" s="49">
        <v>15.909000000000001</v>
      </c>
      <c r="G1126" s="54">
        <v>6.96</v>
      </c>
      <c r="H1126" s="56">
        <f t="shared" si="51"/>
        <v>80.485439999999997</v>
      </c>
      <c r="I1126" s="57">
        <f t="shared" si="52"/>
        <v>110.72664</v>
      </c>
      <c r="J1126" s="56">
        <f t="shared" si="53"/>
        <v>140.96784</v>
      </c>
    </row>
    <row r="1127" spans="1:10" ht="18">
      <c r="A1127" s="49">
        <v>5314</v>
      </c>
      <c r="B1127" s="49" t="s">
        <v>1640</v>
      </c>
      <c r="D1127" s="49">
        <v>0</v>
      </c>
      <c r="E1127" s="49">
        <v>0</v>
      </c>
      <c r="F1127" s="49">
        <v>0</v>
      </c>
      <c r="G1127" s="54">
        <v>2.11</v>
      </c>
      <c r="H1127" s="56">
        <f t="shared" si="51"/>
        <v>0</v>
      </c>
      <c r="I1127" s="57">
        <f t="shared" si="52"/>
        <v>0</v>
      </c>
      <c r="J1127" s="56">
        <f t="shared" si="53"/>
        <v>0</v>
      </c>
    </row>
    <row r="1128" spans="1:10" ht="18">
      <c r="A1128" s="49">
        <v>5315</v>
      </c>
      <c r="B1128" s="49" t="s">
        <v>1641</v>
      </c>
      <c r="D1128" s="49">
        <v>8.4760000000000009</v>
      </c>
      <c r="E1128" s="49">
        <v>14.746</v>
      </c>
      <c r="F1128" s="49">
        <v>11.611000000000001</v>
      </c>
      <c r="G1128" s="54">
        <v>0.85</v>
      </c>
      <c r="H1128" s="56">
        <f t="shared" si="51"/>
        <v>7.2046000000000001</v>
      </c>
      <c r="I1128" s="57">
        <f t="shared" si="52"/>
        <v>9.8693500000000007</v>
      </c>
      <c r="J1128" s="56">
        <f t="shared" si="53"/>
        <v>12.5341</v>
      </c>
    </row>
    <row r="1129" spans="1:10" ht="18">
      <c r="A1129" s="49">
        <v>5321</v>
      </c>
      <c r="B1129" s="49" t="s">
        <v>1642</v>
      </c>
      <c r="D1129" s="49">
        <v>15.046000000000001</v>
      </c>
      <c r="E1129" s="49">
        <v>19.742000000000001</v>
      </c>
      <c r="F1129" s="49">
        <v>17.394000000000002</v>
      </c>
      <c r="G1129" s="54">
        <v>1.66</v>
      </c>
      <c r="H1129" s="56">
        <f t="shared" si="51"/>
        <v>24.97636</v>
      </c>
      <c r="I1129" s="57">
        <f t="shared" si="52"/>
        <v>28.874040000000001</v>
      </c>
      <c r="J1129" s="56">
        <f t="shared" si="53"/>
        <v>32.771720000000002</v>
      </c>
    </row>
    <row r="1130" spans="1:10" ht="18">
      <c r="A1130" s="49">
        <v>5324</v>
      </c>
      <c r="B1130" s="49" t="s">
        <v>1643</v>
      </c>
      <c r="D1130" s="49">
        <v>9.1539999999999999</v>
      </c>
      <c r="E1130" s="49">
        <v>18.101999999999997</v>
      </c>
      <c r="F1130" s="49">
        <v>13.627999999999998</v>
      </c>
      <c r="G1130" s="54">
        <v>-0.53</v>
      </c>
      <c r="H1130" s="56">
        <f t="shared" si="51"/>
        <v>-4.8516200000000005</v>
      </c>
      <c r="I1130" s="57">
        <f t="shared" si="52"/>
        <v>-7.2228399999999997</v>
      </c>
      <c r="J1130" s="56">
        <f t="shared" si="53"/>
        <v>-9.5940599999999989</v>
      </c>
    </row>
    <row r="1131" spans="1:10" ht="18">
      <c r="A1131" s="49">
        <v>5328</v>
      </c>
      <c r="B1131" s="49" t="s">
        <v>1644</v>
      </c>
      <c r="D1131" s="49">
        <v>19.326000000000001</v>
      </c>
      <c r="E1131" s="49">
        <v>22.835999999999999</v>
      </c>
      <c r="F1131" s="49">
        <v>21.081</v>
      </c>
      <c r="G1131" s="54">
        <v>0.46</v>
      </c>
      <c r="H1131" s="56">
        <f t="shared" si="51"/>
        <v>8.8899600000000003</v>
      </c>
      <c r="I1131" s="57">
        <f t="shared" si="52"/>
        <v>9.69726</v>
      </c>
      <c r="J1131" s="56">
        <f t="shared" si="53"/>
        <v>10.50456</v>
      </c>
    </row>
    <row r="1132" spans="1:10" ht="18">
      <c r="A1132" s="49">
        <v>5340</v>
      </c>
      <c r="B1132" s="49" t="s">
        <v>1645</v>
      </c>
      <c r="D1132" s="49">
        <v>0</v>
      </c>
      <c r="E1132" s="49">
        <v>0</v>
      </c>
      <c r="F1132" s="49">
        <v>0</v>
      </c>
      <c r="G1132" s="54">
        <v>0.13</v>
      </c>
      <c r="H1132" s="56">
        <f t="shared" si="51"/>
        <v>0</v>
      </c>
      <c r="I1132" s="57">
        <f t="shared" si="52"/>
        <v>0</v>
      </c>
      <c r="J1132" s="56">
        <f t="shared" si="53"/>
        <v>0</v>
      </c>
    </row>
    <row r="1133" spans="1:10" ht="18">
      <c r="A1133" s="49">
        <v>5344</v>
      </c>
      <c r="B1133" s="49" t="s">
        <v>1646</v>
      </c>
      <c r="D1133" s="49">
        <v>12.918000000000001</v>
      </c>
      <c r="E1133" s="49">
        <v>16.14</v>
      </c>
      <c r="F1133" s="49">
        <v>14.529</v>
      </c>
      <c r="G1133" s="54">
        <v>0.11</v>
      </c>
      <c r="H1133" s="56">
        <f t="shared" si="51"/>
        <v>1.4209800000000001</v>
      </c>
      <c r="I1133" s="57">
        <f t="shared" si="52"/>
        <v>1.59819</v>
      </c>
      <c r="J1133" s="56">
        <f t="shared" si="53"/>
        <v>1.7754000000000001</v>
      </c>
    </row>
    <row r="1134" spans="1:10" ht="18">
      <c r="A1134" s="49">
        <v>5345</v>
      </c>
      <c r="B1134" s="49" t="s">
        <v>1647</v>
      </c>
      <c r="D1134" s="49">
        <v>0</v>
      </c>
      <c r="E1134" s="49">
        <v>0</v>
      </c>
      <c r="F1134" s="49">
        <v>0</v>
      </c>
      <c r="G1134" s="54">
        <v>-1.57</v>
      </c>
      <c r="H1134" s="56">
        <f t="shared" si="51"/>
        <v>0</v>
      </c>
      <c r="I1134" s="57">
        <f t="shared" si="52"/>
        <v>0</v>
      </c>
      <c r="J1134" s="56">
        <f t="shared" si="53"/>
        <v>0</v>
      </c>
    </row>
    <row r="1135" spans="1:10" ht="18">
      <c r="A1135" s="49">
        <v>5347</v>
      </c>
      <c r="B1135" s="49" t="s">
        <v>1648</v>
      </c>
      <c r="D1135" s="49">
        <v>10.184000000000001</v>
      </c>
      <c r="E1135" s="49">
        <v>24.393999999999998</v>
      </c>
      <c r="F1135" s="49">
        <v>17.289000000000001</v>
      </c>
      <c r="G1135" s="54">
        <v>4.5</v>
      </c>
      <c r="H1135" s="56">
        <f t="shared" si="51"/>
        <v>45.828000000000003</v>
      </c>
      <c r="I1135" s="57">
        <f t="shared" si="52"/>
        <v>77.8005</v>
      </c>
      <c r="J1135" s="56">
        <f t="shared" si="53"/>
        <v>109.773</v>
      </c>
    </row>
    <row r="1136" spans="1:10" ht="18">
      <c r="A1136" s="49">
        <v>5348</v>
      </c>
      <c r="B1136" s="49" t="s">
        <v>1649</v>
      </c>
      <c r="D1136" s="49">
        <v>15.16</v>
      </c>
      <c r="E1136" s="49">
        <v>15.16</v>
      </c>
      <c r="F1136" s="49">
        <v>15.16</v>
      </c>
      <c r="G1136" s="54">
        <v>0.22</v>
      </c>
      <c r="H1136" s="56">
        <f t="shared" si="51"/>
        <v>3.3351999999999999</v>
      </c>
      <c r="I1136" s="57">
        <f t="shared" si="52"/>
        <v>3.3351999999999999</v>
      </c>
      <c r="J1136" s="56">
        <f t="shared" si="53"/>
        <v>3.3351999999999999</v>
      </c>
    </row>
    <row r="1137" spans="1:10" ht="18">
      <c r="A1137" s="49">
        <v>5351</v>
      </c>
      <c r="B1137" s="49" t="s">
        <v>1650</v>
      </c>
      <c r="D1137" s="49">
        <v>0</v>
      </c>
      <c r="E1137" s="49">
        <v>0</v>
      </c>
      <c r="F1137" s="49">
        <v>0</v>
      </c>
      <c r="G1137" s="54">
        <v>-3.08</v>
      </c>
      <c r="H1137" s="56">
        <f t="shared" si="51"/>
        <v>0</v>
      </c>
      <c r="I1137" s="57">
        <f t="shared" si="52"/>
        <v>0</v>
      </c>
      <c r="J1137" s="56">
        <f t="shared" si="53"/>
        <v>0</v>
      </c>
    </row>
    <row r="1138" spans="1:10" ht="18">
      <c r="A1138" s="49">
        <v>5353</v>
      </c>
      <c r="B1138" s="49" t="s">
        <v>1651</v>
      </c>
      <c r="D1138" s="49">
        <v>14.302000000000001</v>
      </c>
      <c r="E1138" s="49">
        <v>29.282</v>
      </c>
      <c r="F1138" s="49">
        <v>21.792000000000002</v>
      </c>
      <c r="G1138" s="54">
        <v>2.14</v>
      </c>
      <c r="H1138" s="56">
        <f t="shared" si="51"/>
        <v>30.606280000000005</v>
      </c>
      <c r="I1138" s="57">
        <f t="shared" si="52"/>
        <v>46.63488000000001</v>
      </c>
      <c r="J1138" s="56">
        <f t="shared" si="53"/>
        <v>62.663480000000007</v>
      </c>
    </row>
    <row r="1139" spans="1:10" ht="18">
      <c r="A1139" s="49">
        <v>5355</v>
      </c>
      <c r="B1139" s="49" t="s">
        <v>1652</v>
      </c>
      <c r="D1139" s="49">
        <v>0</v>
      </c>
      <c r="E1139" s="49">
        <v>0</v>
      </c>
      <c r="F1139" s="49">
        <v>0</v>
      </c>
      <c r="G1139" s="54">
        <v>-0.82</v>
      </c>
      <c r="H1139" s="56">
        <f t="shared" si="51"/>
        <v>0</v>
      </c>
      <c r="I1139" s="57">
        <f t="shared" si="52"/>
        <v>0</v>
      </c>
      <c r="J1139" s="56">
        <f t="shared" si="53"/>
        <v>0</v>
      </c>
    </row>
    <row r="1140" spans="1:10" ht="18">
      <c r="A1140" s="49">
        <v>5356</v>
      </c>
      <c r="B1140" s="49" t="s">
        <v>1653</v>
      </c>
      <c r="D1140" s="49">
        <v>6.5620000000000003</v>
      </c>
      <c r="E1140" s="49">
        <v>20.745999999999999</v>
      </c>
      <c r="F1140" s="49">
        <v>13.654</v>
      </c>
      <c r="G1140" s="54">
        <v>5.48</v>
      </c>
      <c r="H1140" s="56">
        <f t="shared" si="51"/>
        <v>35.959760000000003</v>
      </c>
      <c r="I1140" s="57">
        <f t="shared" si="52"/>
        <v>74.823920000000001</v>
      </c>
      <c r="J1140" s="56">
        <f t="shared" si="53"/>
        <v>113.68808</v>
      </c>
    </row>
    <row r="1141" spans="1:10" ht="18">
      <c r="A1141" s="49">
        <v>5364</v>
      </c>
      <c r="B1141" s="49" t="s">
        <v>1654</v>
      </c>
      <c r="D1141" s="49">
        <v>0</v>
      </c>
      <c r="E1141" s="49">
        <v>0</v>
      </c>
      <c r="F1141" s="49">
        <v>0</v>
      </c>
      <c r="G1141" s="54">
        <v>-1.77</v>
      </c>
      <c r="H1141" s="56">
        <f t="shared" si="51"/>
        <v>0</v>
      </c>
      <c r="I1141" s="57">
        <f t="shared" si="52"/>
        <v>0</v>
      </c>
      <c r="J1141" s="56">
        <f t="shared" si="53"/>
        <v>0</v>
      </c>
    </row>
    <row r="1142" spans="1:10" ht="18">
      <c r="A1142" s="49">
        <v>5371</v>
      </c>
      <c r="B1142" s="49" t="s">
        <v>1655</v>
      </c>
      <c r="D1142" s="49">
        <v>7.0860000000000003</v>
      </c>
      <c r="E1142" s="49">
        <v>18.448</v>
      </c>
      <c r="F1142" s="49">
        <v>12.766999999999999</v>
      </c>
      <c r="G1142" s="54">
        <v>3.56</v>
      </c>
      <c r="H1142" s="56">
        <f t="shared" si="51"/>
        <v>25.22616</v>
      </c>
      <c r="I1142" s="57">
        <f t="shared" si="52"/>
        <v>45.450519999999997</v>
      </c>
      <c r="J1142" s="56">
        <f t="shared" si="53"/>
        <v>65.674880000000002</v>
      </c>
    </row>
    <row r="1143" spans="1:10" ht="18">
      <c r="A1143" s="49">
        <v>5381</v>
      </c>
      <c r="B1143" s="49" t="s">
        <v>1656</v>
      </c>
      <c r="D1143" s="49">
        <v>0</v>
      </c>
      <c r="E1143" s="49">
        <v>0</v>
      </c>
      <c r="F1143" s="49">
        <v>0</v>
      </c>
      <c r="G1143" s="54">
        <v>0.05</v>
      </c>
      <c r="H1143" s="56">
        <f t="shared" si="51"/>
        <v>0</v>
      </c>
      <c r="I1143" s="57">
        <f t="shared" si="52"/>
        <v>0</v>
      </c>
      <c r="J1143" s="56">
        <f t="shared" si="53"/>
        <v>0</v>
      </c>
    </row>
    <row r="1144" spans="1:10" ht="18">
      <c r="A1144" s="49">
        <v>5383</v>
      </c>
      <c r="B1144" s="49" t="s">
        <v>1657</v>
      </c>
      <c r="D1144" s="49">
        <v>0</v>
      </c>
      <c r="E1144" s="49">
        <v>0</v>
      </c>
      <c r="F1144" s="49">
        <v>0</v>
      </c>
      <c r="G1144" s="54">
        <v>-1.46</v>
      </c>
      <c r="H1144" s="56">
        <f t="shared" si="51"/>
        <v>0</v>
      </c>
      <c r="I1144" s="57">
        <f t="shared" si="52"/>
        <v>0</v>
      </c>
      <c r="J1144" s="56">
        <f t="shared" si="53"/>
        <v>0</v>
      </c>
    </row>
    <row r="1145" spans="1:10" ht="18">
      <c r="A1145" s="49">
        <v>5386</v>
      </c>
      <c r="B1145" s="49" t="s">
        <v>1658</v>
      </c>
      <c r="D1145" s="49">
        <v>8.1679999999999993</v>
      </c>
      <c r="E1145" s="49">
        <v>25.478000000000002</v>
      </c>
      <c r="F1145" s="49">
        <v>16.823</v>
      </c>
      <c r="G1145" s="54">
        <v>2.25</v>
      </c>
      <c r="H1145" s="56">
        <f t="shared" si="51"/>
        <v>18.378</v>
      </c>
      <c r="I1145" s="57">
        <f t="shared" si="52"/>
        <v>37.851750000000003</v>
      </c>
      <c r="J1145" s="56">
        <f t="shared" si="53"/>
        <v>57.325500000000005</v>
      </c>
    </row>
    <row r="1146" spans="1:10" ht="18">
      <c r="A1146" s="49">
        <v>5388</v>
      </c>
      <c r="B1146" s="49" t="s">
        <v>995</v>
      </c>
      <c r="D1146" s="49">
        <v>9.4959999999999987</v>
      </c>
      <c r="E1146" s="49">
        <v>20.863999999999997</v>
      </c>
      <c r="F1146" s="49">
        <v>15.179999999999998</v>
      </c>
      <c r="G1146" s="54">
        <v>9.17</v>
      </c>
      <c r="H1146" s="56">
        <f t="shared" si="51"/>
        <v>87.078319999999991</v>
      </c>
      <c r="I1146" s="57">
        <f t="shared" si="52"/>
        <v>139.20059999999998</v>
      </c>
      <c r="J1146" s="56">
        <f t="shared" si="53"/>
        <v>191.32287999999997</v>
      </c>
    </row>
    <row r="1147" spans="1:10" ht="18">
      <c r="A1147" s="49">
        <v>5392</v>
      </c>
      <c r="B1147" s="49" t="s">
        <v>1659</v>
      </c>
      <c r="D1147" s="49">
        <v>13.518000000000001</v>
      </c>
      <c r="E1147" s="49">
        <v>21.922000000000001</v>
      </c>
      <c r="F1147" s="49">
        <v>17.72</v>
      </c>
      <c r="G1147" s="54">
        <v>0.33</v>
      </c>
      <c r="H1147" s="56">
        <f t="shared" si="51"/>
        <v>4.4609400000000008</v>
      </c>
      <c r="I1147" s="57">
        <f t="shared" si="52"/>
        <v>5.8475999999999999</v>
      </c>
      <c r="J1147" s="56">
        <f t="shared" si="53"/>
        <v>7.2342600000000008</v>
      </c>
    </row>
    <row r="1148" spans="1:10" ht="18">
      <c r="A1148" s="49">
        <v>5398</v>
      </c>
      <c r="B1148" s="49" t="s">
        <v>1660</v>
      </c>
      <c r="D1148" s="49">
        <v>0</v>
      </c>
      <c r="E1148" s="49">
        <v>0</v>
      </c>
      <c r="F1148" s="49">
        <v>0</v>
      </c>
      <c r="G1148" s="54">
        <v>-0.64</v>
      </c>
      <c r="H1148" s="56">
        <f t="shared" si="51"/>
        <v>0</v>
      </c>
      <c r="I1148" s="57">
        <f t="shared" si="52"/>
        <v>0</v>
      </c>
      <c r="J1148" s="56">
        <f t="shared" si="53"/>
        <v>0</v>
      </c>
    </row>
    <row r="1149" spans="1:10" ht="18">
      <c r="A1149" s="49">
        <v>5403</v>
      </c>
      <c r="B1149" s="49" t="s">
        <v>1661</v>
      </c>
      <c r="D1149" s="49">
        <v>8.5640000000000001</v>
      </c>
      <c r="E1149" s="49">
        <v>13.484</v>
      </c>
      <c r="F1149" s="49">
        <v>11.024000000000001</v>
      </c>
      <c r="G1149" s="54">
        <v>8.3699999999999992</v>
      </c>
      <c r="H1149" s="56">
        <f t="shared" si="51"/>
        <v>71.680679999999995</v>
      </c>
      <c r="I1149" s="57">
        <f t="shared" si="52"/>
        <v>92.270880000000005</v>
      </c>
      <c r="J1149" s="56">
        <f t="shared" si="53"/>
        <v>112.86107999999999</v>
      </c>
    </row>
    <row r="1150" spans="1:10" ht="18">
      <c r="A1150" s="49">
        <v>5410</v>
      </c>
      <c r="B1150" s="49" t="s">
        <v>1662</v>
      </c>
      <c r="D1150" s="49">
        <v>9.4160000000000004</v>
      </c>
      <c r="E1150" s="49">
        <v>17.274000000000001</v>
      </c>
      <c r="F1150" s="49">
        <v>13.345000000000001</v>
      </c>
      <c r="G1150" s="54">
        <v>2.12</v>
      </c>
      <c r="H1150" s="56">
        <f t="shared" si="51"/>
        <v>19.961920000000003</v>
      </c>
      <c r="I1150" s="57">
        <f t="shared" si="52"/>
        <v>28.291400000000003</v>
      </c>
      <c r="J1150" s="56">
        <f t="shared" si="53"/>
        <v>36.620880000000007</v>
      </c>
    </row>
    <row r="1151" spans="1:10" ht="18">
      <c r="A1151" s="49">
        <v>5425</v>
      </c>
      <c r="B1151" s="49" t="s">
        <v>1663</v>
      </c>
      <c r="D1151" s="49">
        <v>11.507999999999999</v>
      </c>
      <c r="E1151" s="49">
        <v>28.294</v>
      </c>
      <c r="F1151" s="49">
        <v>19.901</v>
      </c>
      <c r="G1151" s="54">
        <v>2.89</v>
      </c>
      <c r="H1151" s="56">
        <f t="shared" si="51"/>
        <v>33.258119999999998</v>
      </c>
      <c r="I1151" s="57">
        <f t="shared" si="52"/>
        <v>57.513890000000004</v>
      </c>
      <c r="J1151" s="56">
        <f t="shared" si="53"/>
        <v>81.769660000000002</v>
      </c>
    </row>
    <row r="1152" spans="1:10" ht="18">
      <c r="A1152" s="49">
        <v>5426</v>
      </c>
      <c r="B1152" s="49" t="s">
        <v>1664</v>
      </c>
      <c r="D1152" s="49">
        <v>9.0360000000000014</v>
      </c>
      <c r="E1152" s="49">
        <v>21.410000000000004</v>
      </c>
      <c r="F1152" s="49">
        <v>15.223000000000003</v>
      </c>
      <c r="G1152" s="54">
        <v>0.05</v>
      </c>
      <c r="H1152" s="56">
        <f t="shared" si="51"/>
        <v>0.45180000000000009</v>
      </c>
      <c r="I1152" s="57">
        <f t="shared" si="52"/>
        <v>0.76115000000000022</v>
      </c>
      <c r="J1152" s="56">
        <f t="shared" si="53"/>
        <v>1.0705000000000002</v>
      </c>
    </row>
    <row r="1153" spans="1:10" ht="18">
      <c r="A1153" s="49">
        <v>5432</v>
      </c>
      <c r="B1153" s="49" t="s">
        <v>1665</v>
      </c>
      <c r="D1153" s="49">
        <v>11.13</v>
      </c>
      <c r="E1153" s="49">
        <v>23.75</v>
      </c>
      <c r="F1153" s="49">
        <v>17.440000000000001</v>
      </c>
      <c r="G1153" s="54">
        <v>1.41</v>
      </c>
      <c r="H1153" s="56">
        <f t="shared" si="51"/>
        <v>15.693300000000001</v>
      </c>
      <c r="I1153" s="57">
        <f t="shared" si="52"/>
        <v>24.590399999999999</v>
      </c>
      <c r="J1153" s="56">
        <f t="shared" si="53"/>
        <v>33.487499999999997</v>
      </c>
    </row>
    <row r="1154" spans="1:10" ht="18">
      <c r="A1154" s="49">
        <v>5434</v>
      </c>
      <c r="B1154" s="49" t="s">
        <v>996</v>
      </c>
      <c r="D1154" s="49">
        <v>7.8140000000000001</v>
      </c>
      <c r="E1154" s="49">
        <v>13</v>
      </c>
      <c r="F1154" s="49">
        <v>10.407</v>
      </c>
      <c r="G1154" s="54">
        <v>15.36</v>
      </c>
      <c r="H1154" s="56">
        <f t="shared" si="51"/>
        <v>120.02303999999999</v>
      </c>
      <c r="I1154" s="57">
        <f t="shared" si="52"/>
        <v>159.85151999999999</v>
      </c>
      <c r="J1154" s="56">
        <f t="shared" si="53"/>
        <v>199.68</v>
      </c>
    </row>
    <row r="1155" spans="1:10" ht="18">
      <c r="A1155" s="49">
        <v>5438</v>
      </c>
      <c r="B1155" s="49" t="s">
        <v>1666</v>
      </c>
      <c r="D1155" s="49">
        <v>7.8340000000000005</v>
      </c>
      <c r="E1155" s="49">
        <v>28.18</v>
      </c>
      <c r="F1155" s="49">
        <v>18.007000000000001</v>
      </c>
      <c r="G1155" s="54">
        <v>0.09</v>
      </c>
      <c r="H1155" s="56">
        <f t="shared" ref="H1155:H1218" si="54">G1155*D1155</f>
        <v>0.70506000000000002</v>
      </c>
      <c r="I1155" s="57">
        <f t="shared" ref="I1155:I1218" si="55">G1155*F1155</f>
        <v>1.62063</v>
      </c>
      <c r="J1155" s="56">
        <f t="shared" ref="J1155:J1218" si="56">G1155*E1155</f>
        <v>2.5362</v>
      </c>
    </row>
    <row r="1156" spans="1:10" ht="18">
      <c r="A1156" s="49">
        <v>5439</v>
      </c>
      <c r="B1156" s="49" t="s">
        <v>1667</v>
      </c>
      <c r="D1156" s="49">
        <v>7.8120000000000003</v>
      </c>
      <c r="E1156" s="49">
        <v>16.59</v>
      </c>
      <c r="F1156" s="49">
        <v>12.201000000000001</v>
      </c>
      <c r="G1156" s="54">
        <v>5.07</v>
      </c>
      <c r="H1156" s="56">
        <f t="shared" si="54"/>
        <v>39.606840000000005</v>
      </c>
      <c r="I1156" s="57">
        <f t="shared" si="55"/>
        <v>61.859070000000003</v>
      </c>
      <c r="J1156" s="56">
        <f t="shared" si="56"/>
        <v>84.1113</v>
      </c>
    </row>
    <row r="1157" spans="1:10" ht="18">
      <c r="A1157" s="49">
        <v>5443</v>
      </c>
      <c r="B1157" s="49" t="s">
        <v>1668</v>
      </c>
      <c r="D1157" s="49">
        <v>10.128</v>
      </c>
      <c r="E1157" s="49">
        <v>20.226000000000003</v>
      </c>
      <c r="F1157" s="49">
        <v>15.177000000000001</v>
      </c>
      <c r="G1157" s="54">
        <v>1.25</v>
      </c>
      <c r="H1157" s="56">
        <f t="shared" si="54"/>
        <v>12.66</v>
      </c>
      <c r="I1157" s="57">
        <f t="shared" si="55"/>
        <v>18.971250000000001</v>
      </c>
      <c r="J1157" s="56">
        <f t="shared" si="56"/>
        <v>25.282500000000002</v>
      </c>
    </row>
    <row r="1158" spans="1:10" ht="18">
      <c r="A1158" s="49">
        <v>5450</v>
      </c>
      <c r="B1158" s="49" t="s">
        <v>1669</v>
      </c>
      <c r="D1158" s="49">
        <v>0</v>
      </c>
      <c r="E1158" s="49">
        <v>0</v>
      </c>
      <c r="F1158" s="49">
        <v>0</v>
      </c>
      <c r="G1158" s="54">
        <v>0.1</v>
      </c>
      <c r="H1158" s="56">
        <f t="shared" si="54"/>
        <v>0</v>
      </c>
      <c r="I1158" s="57">
        <f t="shared" si="55"/>
        <v>0</v>
      </c>
      <c r="J1158" s="56">
        <f t="shared" si="56"/>
        <v>0</v>
      </c>
    </row>
    <row r="1159" spans="1:10" ht="18">
      <c r="A1159" s="49">
        <v>5452</v>
      </c>
      <c r="B1159" s="49" t="s">
        <v>1670</v>
      </c>
      <c r="D1159" s="49">
        <v>12.592000000000002</v>
      </c>
      <c r="E1159" s="49">
        <v>25.71</v>
      </c>
      <c r="F1159" s="49">
        <v>19.151000000000003</v>
      </c>
      <c r="G1159" s="54">
        <v>0.34</v>
      </c>
      <c r="H1159" s="56">
        <f t="shared" si="54"/>
        <v>4.2812800000000015</v>
      </c>
      <c r="I1159" s="57">
        <f t="shared" si="55"/>
        <v>6.5113400000000015</v>
      </c>
      <c r="J1159" s="56">
        <f t="shared" si="56"/>
        <v>8.7414000000000005</v>
      </c>
    </row>
    <row r="1160" spans="1:10" ht="18">
      <c r="A1160" s="49">
        <v>5455</v>
      </c>
      <c r="B1160" s="49" t="s">
        <v>1671</v>
      </c>
      <c r="D1160" s="49">
        <v>0</v>
      </c>
      <c r="E1160" s="49">
        <v>0</v>
      </c>
      <c r="F1160" s="49">
        <v>0</v>
      </c>
      <c r="G1160" s="54">
        <v>2.54</v>
      </c>
      <c r="H1160" s="56">
        <f t="shared" si="54"/>
        <v>0</v>
      </c>
      <c r="I1160" s="57">
        <f t="shared" si="55"/>
        <v>0</v>
      </c>
      <c r="J1160" s="56">
        <f t="shared" si="56"/>
        <v>0</v>
      </c>
    </row>
    <row r="1161" spans="1:10" ht="18">
      <c r="A1161" s="49">
        <v>5457</v>
      </c>
      <c r="B1161" s="49" t="s">
        <v>1672</v>
      </c>
      <c r="D1161" s="49">
        <v>17.43</v>
      </c>
      <c r="E1161" s="49">
        <v>17.43</v>
      </c>
      <c r="F1161" s="49">
        <v>17.43</v>
      </c>
      <c r="G1161" s="54">
        <v>1.04</v>
      </c>
      <c r="H1161" s="56">
        <f t="shared" si="54"/>
        <v>18.127200000000002</v>
      </c>
      <c r="I1161" s="57">
        <f t="shared" si="55"/>
        <v>18.127200000000002</v>
      </c>
      <c r="J1161" s="56">
        <f t="shared" si="56"/>
        <v>18.127200000000002</v>
      </c>
    </row>
    <row r="1162" spans="1:10" ht="18">
      <c r="A1162" s="49">
        <v>5460</v>
      </c>
      <c r="B1162" s="49" t="s">
        <v>1673</v>
      </c>
      <c r="D1162" s="49">
        <v>11.837999999999999</v>
      </c>
      <c r="E1162" s="49">
        <v>20.145999999999997</v>
      </c>
      <c r="F1162" s="49">
        <v>15.991999999999997</v>
      </c>
      <c r="G1162" s="54">
        <v>-0.2</v>
      </c>
      <c r="H1162" s="56">
        <f t="shared" si="54"/>
        <v>-2.3675999999999999</v>
      </c>
      <c r="I1162" s="57">
        <f t="shared" si="55"/>
        <v>-3.1983999999999995</v>
      </c>
      <c r="J1162" s="56">
        <f t="shared" si="56"/>
        <v>-4.0291999999999994</v>
      </c>
    </row>
    <row r="1163" spans="1:10" ht="18">
      <c r="A1163" s="49">
        <v>5464</v>
      </c>
      <c r="B1163" s="49" t="s">
        <v>1674</v>
      </c>
      <c r="D1163" s="49">
        <v>5.8400000000000007</v>
      </c>
      <c r="E1163" s="49">
        <v>17.880000000000003</v>
      </c>
      <c r="F1163" s="49">
        <v>11.860000000000001</v>
      </c>
      <c r="G1163" s="54">
        <v>0.8</v>
      </c>
      <c r="H1163" s="56">
        <f t="shared" si="54"/>
        <v>4.6720000000000006</v>
      </c>
      <c r="I1163" s="57">
        <f t="shared" si="55"/>
        <v>9.4880000000000013</v>
      </c>
      <c r="J1163" s="56">
        <f t="shared" si="56"/>
        <v>14.304000000000002</v>
      </c>
    </row>
    <row r="1164" spans="1:10" ht="18">
      <c r="A1164" s="49">
        <v>5465</v>
      </c>
      <c r="B1164" s="49" t="s">
        <v>1675</v>
      </c>
      <c r="D1164" s="49">
        <v>13.930000000000001</v>
      </c>
      <c r="E1164" s="49">
        <v>26.294</v>
      </c>
      <c r="F1164" s="49">
        <v>20.112000000000002</v>
      </c>
      <c r="G1164" s="54">
        <v>1.96</v>
      </c>
      <c r="H1164" s="56">
        <f t="shared" si="54"/>
        <v>27.302800000000001</v>
      </c>
      <c r="I1164" s="57">
        <f t="shared" si="55"/>
        <v>39.419520000000006</v>
      </c>
      <c r="J1164" s="56">
        <f t="shared" si="56"/>
        <v>51.536239999999999</v>
      </c>
    </row>
    <row r="1165" spans="1:10" ht="18">
      <c r="A1165" s="49">
        <v>5468</v>
      </c>
      <c r="B1165" s="49" t="s">
        <v>1676</v>
      </c>
      <c r="D1165" s="49">
        <v>0</v>
      </c>
      <c r="E1165" s="49">
        <v>0</v>
      </c>
      <c r="F1165" s="49">
        <v>0</v>
      </c>
      <c r="G1165" s="54">
        <v>-1.29</v>
      </c>
      <c r="H1165" s="56">
        <f t="shared" si="54"/>
        <v>0</v>
      </c>
      <c r="I1165" s="57">
        <f t="shared" si="55"/>
        <v>0</v>
      </c>
      <c r="J1165" s="56">
        <f t="shared" si="56"/>
        <v>0</v>
      </c>
    </row>
    <row r="1166" spans="1:10" ht="18">
      <c r="A1166" s="49">
        <v>5469</v>
      </c>
      <c r="B1166" s="49" t="s">
        <v>997</v>
      </c>
      <c r="D1166" s="49">
        <v>5.9079999999999995</v>
      </c>
      <c r="E1166" s="49">
        <v>13.113999999999999</v>
      </c>
      <c r="F1166" s="49">
        <v>9.5109999999999992</v>
      </c>
      <c r="G1166" s="54">
        <v>5.07</v>
      </c>
      <c r="H1166" s="56">
        <f t="shared" si="54"/>
        <v>29.95356</v>
      </c>
      <c r="I1166" s="57">
        <f t="shared" si="55"/>
        <v>48.220770000000002</v>
      </c>
      <c r="J1166" s="56">
        <f t="shared" si="56"/>
        <v>66.487979999999993</v>
      </c>
    </row>
    <row r="1167" spans="1:10" ht="18">
      <c r="A1167" s="49">
        <v>5471</v>
      </c>
      <c r="B1167" s="49" t="s">
        <v>998</v>
      </c>
      <c r="D1167" s="49">
        <v>10.016</v>
      </c>
      <c r="E1167" s="49">
        <v>19.503999999999998</v>
      </c>
      <c r="F1167" s="49">
        <v>14.759999999999998</v>
      </c>
      <c r="G1167" s="54">
        <v>1.1100000000000001</v>
      </c>
      <c r="H1167" s="56">
        <f t="shared" si="54"/>
        <v>11.117760000000001</v>
      </c>
      <c r="I1167" s="57">
        <f t="shared" si="55"/>
        <v>16.383599999999998</v>
      </c>
      <c r="J1167" s="56">
        <f t="shared" si="56"/>
        <v>21.649439999999998</v>
      </c>
    </row>
    <row r="1168" spans="1:10" ht="18">
      <c r="A1168" s="49">
        <v>5474</v>
      </c>
      <c r="B1168" s="49" t="s">
        <v>1677</v>
      </c>
      <c r="D1168" s="49">
        <v>8.4779999999999998</v>
      </c>
      <c r="E1168" s="49">
        <v>15.942000000000002</v>
      </c>
      <c r="F1168" s="49">
        <v>12.21</v>
      </c>
      <c r="G1168" s="54">
        <v>5.07</v>
      </c>
      <c r="H1168" s="56">
        <f t="shared" si="54"/>
        <v>42.983460000000001</v>
      </c>
      <c r="I1168" s="57">
        <f t="shared" si="55"/>
        <v>61.904700000000005</v>
      </c>
      <c r="J1168" s="56">
        <f t="shared" si="56"/>
        <v>80.825940000000017</v>
      </c>
    </row>
    <row r="1169" spans="1:10" ht="18">
      <c r="A1169" s="49">
        <v>5475</v>
      </c>
      <c r="B1169" s="49" t="s">
        <v>1678</v>
      </c>
      <c r="D1169" s="49">
        <v>14.86</v>
      </c>
      <c r="E1169" s="49">
        <v>14.86</v>
      </c>
      <c r="F1169" s="49">
        <v>14.86</v>
      </c>
      <c r="G1169" s="54">
        <v>-1.67</v>
      </c>
      <c r="H1169" s="56">
        <f t="shared" si="54"/>
        <v>-24.816199999999998</v>
      </c>
      <c r="I1169" s="57">
        <f t="shared" si="55"/>
        <v>-24.816199999999998</v>
      </c>
      <c r="J1169" s="56">
        <f t="shared" si="56"/>
        <v>-24.816199999999998</v>
      </c>
    </row>
    <row r="1170" spans="1:10" ht="18">
      <c r="A1170" s="49">
        <v>5478</v>
      </c>
      <c r="B1170" s="49" t="s">
        <v>1679</v>
      </c>
      <c r="D1170" s="49">
        <v>12.312000000000001</v>
      </c>
      <c r="E1170" s="49">
        <v>27.413999999999998</v>
      </c>
      <c r="F1170" s="49">
        <v>19.863</v>
      </c>
      <c r="G1170" s="54">
        <v>7.09</v>
      </c>
      <c r="H1170" s="56">
        <f t="shared" si="54"/>
        <v>87.292080000000013</v>
      </c>
      <c r="I1170" s="57">
        <f t="shared" si="55"/>
        <v>140.82866999999999</v>
      </c>
      <c r="J1170" s="56">
        <f t="shared" si="56"/>
        <v>194.36525999999998</v>
      </c>
    </row>
    <row r="1171" spans="1:10" ht="18">
      <c r="A1171" s="49">
        <v>5481</v>
      </c>
      <c r="B1171" s="49" t="s">
        <v>1680</v>
      </c>
      <c r="D1171" s="49">
        <v>10.55</v>
      </c>
      <c r="E1171" s="49">
        <v>16.166</v>
      </c>
      <c r="F1171" s="49">
        <v>13.358000000000001</v>
      </c>
      <c r="G1171" s="54">
        <v>-0.4</v>
      </c>
      <c r="H1171" s="56">
        <f t="shared" si="54"/>
        <v>-4.2200000000000006</v>
      </c>
      <c r="I1171" s="57">
        <f t="shared" si="55"/>
        <v>-5.3432000000000004</v>
      </c>
      <c r="J1171" s="56">
        <f t="shared" si="56"/>
        <v>-6.4664000000000001</v>
      </c>
    </row>
    <row r="1172" spans="1:10" ht="18">
      <c r="A1172" s="49">
        <v>5483</v>
      </c>
      <c r="B1172" s="49" t="s">
        <v>1681</v>
      </c>
      <c r="D1172" s="49">
        <v>9.8180000000000014</v>
      </c>
      <c r="E1172" s="49">
        <v>22.02</v>
      </c>
      <c r="F1172" s="49">
        <v>15.919</v>
      </c>
      <c r="G1172" s="54">
        <v>16.989999999999998</v>
      </c>
      <c r="H1172" s="56">
        <f t="shared" si="54"/>
        <v>166.80782000000002</v>
      </c>
      <c r="I1172" s="57">
        <f t="shared" si="55"/>
        <v>270.46380999999997</v>
      </c>
      <c r="J1172" s="56">
        <f t="shared" si="56"/>
        <v>374.11979999999994</v>
      </c>
    </row>
    <row r="1173" spans="1:10" ht="18">
      <c r="A1173" s="49">
        <v>5484</v>
      </c>
      <c r="B1173" s="49" t="s">
        <v>999</v>
      </c>
      <c r="D1173" s="49">
        <v>0</v>
      </c>
      <c r="E1173" s="49">
        <v>0</v>
      </c>
      <c r="F1173" s="49">
        <v>0</v>
      </c>
      <c r="G1173" s="54">
        <v>-0.73</v>
      </c>
      <c r="H1173" s="56">
        <f t="shared" si="54"/>
        <v>0</v>
      </c>
      <c r="I1173" s="57">
        <f t="shared" si="55"/>
        <v>0</v>
      </c>
      <c r="J1173" s="56">
        <f t="shared" si="56"/>
        <v>0</v>
      </c>
    </row>
    <row r="1174" spans="1:10" ht="18">
      <c r="A1174" s="49">
        <v>5487</v>
      </c>
      <c r="B1174" s="49" t="s">
        <v>1682</v>
      </c>
      <c r="D1174" s="49">
        <v>11.186000000000002</v>
      </c>
      <c r="E1174" s="49">
        <v>25.112000000000002</v>
      </c>
      <c r="F1174" s="49">
        <v>18.149000000000001</v>
      </c>
      <c r="G1174" s="54">
        <v>-1.2</v>
      </c>
      <c r="H1174" s="56">
        <f t="shared" si="54"/>
        <v>-13.423200000000001</v>
      </c>
      <c r="I1174" s="57">
        <f t="shared" si="55"/>
        <v>-21.7788</v>
      </c>
      <c r="J1174" s="56">
        <f t="shared" si="56"/>
        <v>-30.134399999999999</v>
      </c>
    </row>
    <row r="1175" spans="1:10" ht="18">
      <c r="A1175" s="49">
        <v>5488</v>
      </c>
      <c r="B1175" s="49" t="s">
        <v>1683</v>
      </c>
      <c r="D1175" s="49">
        <v>11.02</v>
      </c>
      <c r="E1175" s="49">
        <v>22.417999999999999</v>
      </c>
      <c r="F1175" s="49">
        <v>16.719000000000001</v>
      </c>
      <c r="G1175" s="54">
        <v>0.41</v>
      </c>
      <c r="H1175" s="56">
        <f t="shared" si="54"/>
        <v>4.5181999999999993</v>
      </c>
      <c r="I1175" s="57">
        <f t="shared" si="55"/>
        <v>6.8547900000000004</v>
      </c>
      <c r="J1175" s="56">
        <f t="shared" si="56"/>
        <v>9.1913799999999988</v>
      </c>
    </row>
    <row r="1176" spans="1:10" ht="18">
      <c r="A1176" s="49">
        <v>5489</v>
      </c>
      <c r="B1176" s="49" t="s">
        <v>1684</v>
      </c>
      <c r="D1176" s="49">
        <v>10.686000000000002</v>
      </c>
      <c r="E1176" s="49">
        <v>20.52</v>
      </c>
      <c r="F1176" s="49">
        <v>15.603000000000002</v>
      </c>
      <c r="G1176" s="54">
        <v>0.62</v>
      </c>
      <c r="H1176" s="56">
        <f t="shared" si="54"/>
        <v>6.6253200000000012</v>
      </c>
      <c r="I1176" s="57">
        <f t="shared" si="55"/>
        <v>9.6738600000000012</v>
      </c>
      <c r="J1176" s="56">
        <f t="shared" si="56"/>
        <v>12.7224</v>
      </c>
    </row>
    <row r="1177" spans="1:10" ht="18">
      <c r="A1177" s="49">
        <v>5490</v>
      </c>
      <c r="B1177" s="49" t="s">
        <v>1685</v>
      </c>
      <c r="D1177" s="49">
        <v>8.4060000000000006</v>
      </c>
      <c r="E1177" s="49">
        <v>21.37</v>
      </c>
      <c r="F1177" s="49">
        <v>14.888000000000002</v>
      </c>
      <c r="G1177" s="54">
        <v>-1.85</v>
      </c>
      <c r="H1177" s="56">
        <f t="shared" si="54"/>
        <v>-15.551100000000002</v>
      </c>
      <c r="I1177" s="57">
        <f t="shared" si="55"/>
        <v>-27.542800000000003</v>
      </c>
      <c r="J1177" s="56">
        <f t="shared" si="56"/>
        <v>-39.534500000000001</v>
      </c>
    </row>
    <row r="1178" spans="1:10" ht="18">
      <c r="A1178" s="49">
        <v>5493</v>
      </c>
      <c r="B1178" s="49" t="s">
        <v>1686</v>
      </c>
      <c r="D1178" s="49">
        <v>7.9379999999999997</v>
      </c>
      <c r="E1178" s="49">
        <v>18.149999999999999</v>
      </c>
      <c r="F1178" s="49">
        <v>13.043999999999999</v>
      </c>
      <c r="G1178" s="54">
        <v>6.52</v>
      </c>
      <c r="H1178" s="56">
        <f t="shared" si="54"/>
        <v>51.755759999999995</v>
      </c>
      <c r="I1178" s="57">
        <f t="shared" si="55"/>
        <v>85.046879999999987</v>
      </c>
      <c r="J1178" s="56">
        <f t="shared" si="56"/>
        <v>118.33799999999998</v>
      </c>
    </row>
    <row r="1179" spans="1:10" ht="18">
      <c r="A1179" s="49">
        <v>5498</v>
      </c>
      <c r="B1179" s="49" t="s">
        <v>1687</v>
      </c>
      <c r="D1179" s="49">
        <v>20.518000000000001</v>
      </c>
      <c r="E1179" s="49">
        <v>29.324000000000002</v>
      </c>
      <c r="F1179" s="49">
        <v>24.920999999999999</v>
      </c>
      <c r="G1179" s="54">
        <v>0.05</v>
      </c>
      <c r="H1179" s="56">
        <f t="shared" si="54"/>
        <v>1.0259</v>
      </c>
      <c r="I1179" s="57">
        <f t="shared" si="55"/>
        <v>1.2460500000000001</v>
      </c>
      <c r="J1179" s="56">
        <f t="shared" si="56"/>
        <v>1.4662000000000002</v>
      </c>
    </row>
    <row r="1180" spans="1:10" ht="18">
      <c r="A1180" s="49">
        <v>5508</v>
      </c>
      <c r="B1180" s="49" t="s">
        <v>1688</v>
      </c>
      <c r="D1180" s="49">
        <v>5.274</v>
      </c>
      <c r="E1180" s="49">
        <v>15.762</v>
      </c>
      <c r="F1180" s="49">
        <v>10.518000000000001</v>
      </c>
      <c r="G1180" s="54">
        <v>12.55</v>
      </c>
      <c r="H1180" s="56">
        <f t="shared" si="54"/>
        <v>66.188699999999997</v>
      </c>
      <c r="I1180" s="57">
        <f t="shared" si="55"/>
        <v>132.00090000000003</v>
      </c>
      <c r="J1180" s="56">
        <f t="shared" si="56"/>
        <v>197.81310000000002</v>
      </c>
    </row>
    <row r="1181" spans="1:10" ht="18">
      <c r="A1181" s="49">
        <v>5511</v>
      </c>
      <c r="B1181" s="49" t="s">
        <v>1689</v>
      </c>
      <c r="D1181" s="49">
        <v>5.4420000000000002</v>
      </c>
      <c r="E1181" s="49">
        <v>10.854000000000001</v>
      </c>
      <c r="F1181" s="49">
        <v>8.1479999999999997</v>
      </c>
      <c r="G1181" s="54">
        <v>10.14</v>
      </c>
      <c r="H1181" s="56">
        <f t="shared" si="54"/>
        <v>55.181880000000007</v>
      </c>
      <c r="I1181" s="57">
        <f t="shared" si="55"/>
        <v>82.620720000000006</v>
      </c>
      <c r="J1181" s="56">
        <f t="shared" si="56"/>
        <v>110.05956000000002</v>
      </c>
    </row>
    <row r="1182" spans="1:10" ht="18">
      <c r="A1182" s="49">
        <v>5512</v>
      </c>
      <c r="B1182" s="49" t="s">
        <v>1690</v>
      </c>
      <c r="D1182" s="49">
        <v>6.7439999999999998</v>
      </c>
      <c r="E1182" s="49">
        <v>18.32</v>
      </c>
      <c r="F1182" s="49">
        <v>12.532</v>
      </c>
      <c r="G1182" s="54">
        <v>0.33</v>
      </c>
      <c r="H1182" s="56">
        <f t="shared" si="54"/>
        <v>2.2255199999999999</v>
      </c>
      <c r="I1182" s="57">
        <f t="shared" si="55"/>
        <v>4.1355599999999999</v>
      </c>
      <c r="J1182" s="56">
        <f t="shared" si="56"/>
        <v>6.0456000000000003</v>
      </c>
    </row>
    <row r="1183" spans="1:10" ht="18">
      <c r="A1183" s="49">
        <v>5514</v>
      </c>
      <c r="B1183" s="49" t="s">
        <v>1691</v>
      </c>
      <c r="D1183" s="49">
        <v>8.0139999999999993</v>
      </c>
      <c r="E1183" s="49">
        <v>26.234000000000002</v>
      </c>
      <c r="F1183" s="49">
        <v>17.124000000000002</v>
      </c>
      <c r="G1183" s="54">
        <v>0.14000000000000001</v>
      </c>
      <c r="H1183" s="56">
        <f t="shared" si="54"/>
        <v>1.1219600000000001</v>
      </c>
      <c r="I1183" s="57">
        <f t="shared" si="55"/>
        <v>2.3973600000000004</v>
      </c>
      <c r="J1183" s="56">
        <f t="shared" si="56"/>
        <v>3.6727600000000007</v>
      </c>
    </row>
    <row r="1184" spans="1:10" ht="18">
      <c r="A1184" s="49">
        <v>5515</v>
      </c>
      <c r="B1184" s="49" t="s">
        <v>1000</v>
      </c>
      <c r="D1184" s="49">
        <v>7.3159999999999998</v>
      </c>
      <c r="E1184" s="49">
        <v>19.72</v>
      </c>
      <c r="F1184" s="49">
        <v>13.517999999999999</v>
      </c>
      <c r="G1184" s="54">
        <v>1.34</v>
      </c>
      <c r="H1184" s="56">
        <f t="shared" si="54"/>
        <v>9.8034400000000002</v>
      </c>
      <c r="I1184" s="57">
        <f t="shared" si="55"/>
        <v>18.11412</v>
      </c>
      <c r="J1184" s="56">
        <f t="shared" si="56"/>
        <v>26.424800000000001</v>
      </c>
    </row>
    <row r="1185" spans="1:10" ht="18">
      <c r="A1185" s="49">
        <v>5516</v>
      </c>
      <c r="B1185" s="49" t="s">
        <v>1692</v>
      </c>
      <c r="D1185" s="49">
        <v>5.9420000000000002</v>
      </c>
      <c r="E1185" s="49">
        <v>14.628</v>
      </c>
      <c r="F1185" s="49">
        <v>10.285</v>
      </c>
      <c r="G1185" s="54">
        <v>-3.82</v>
      </c>
      <c r="H1185" s="56">
        <f t="shared" si="54"/>
        <v>-22.698439999999998</v>
      </c>
      <c r="I1185" s="57">
        <f t="shared" si="55"/>
        <v>-39.288699999999999</v>
      </c>
      <c r="J1185" s="56">
        <f t="shared" si="56"/>
        <v>-55.878959999999999</v>
      </c>
    </row>
    <row r="1186" spans="1:10" ht="18">
      <c r="A1186" s="49">
        <v>5519</v>
      </c>
      <c r="B1186" s="49" t="s">
        <v>1001</v>
      </c>
      <c r="D1186" s="49">
        <v>5.2140000000000004</v>
      </c>
      <c r="E1186" s="49">
        <v>15.422000000000001</v>
      </c>
      <c r="F1186" s="49">
        <v>10.318000000000001</v>
      </c>
      <c r="G1186" s="54">
        <v>3.69</v>
      </c>
      <c r="H1186" s="56">
        <f t="shared" si="54"/>
        <v>19.239660000000001</v>
      </c>
      <c r="I1186" s="57">
        <f t="shared" si="55"/>
        <v>38.073420000000006</v>
      </c>
      <c r="J1186" s="56">
        <f t="shared" si="56"/>
        <v>56.907180000000004</v>
      </c>
    </row>
    <row r="1187" spans="1:10" ht="18">
      <c r="A1187" s="49">
        <v>5520</v>
      </c>
      <c r="B1187" s="49" t="s">
        <v>1693</v>
      </c>
      <c r="D1187" s="49">
        <v>7.758</v>
      </c>
      <c r="E1187" s="49">
        <v>21.672000000000001</v>
      </c>
      <c r="F1187" s="49">
        <v>14.715</v>
      </c>
      <c r="G1187" s="54">
        <v>7.81</v>
      </c>
      <c r="H1187" s="56">
        <f t="shared" si="54"/>
        <v>60.589979999999997</v>
      </c>
      <c r="I1187" s="57">
        <f t="shared" si="55"/>
        <v>114.92415</v>
      </c>
      <c r="J1187" s="56">
        <f t="shared" si="56"/>
        <v>169.25832</v>
      </c>
    </row>
    <row r="1188" spans="1:10" ht="18">
      <c r="A1188" s="49">
        <v>5521</v>
      </c>
      <c r="B1188" s="49" t="s">
        <v>1002</v>
      </c>
      <c r="D1188" s="49">
        <v>0</v>
      </c>
      <c r="E1188" s="49">
        <v>0</v>
      </c>
      <c r="F1188" s="49">
        <v>0</v>
      </c>
      <c r="G1188" s="54">
        <v>0.14000000000000001</v>
      </c>
      <c r="H1188" s="56">
        <f t="shared" si="54"/>
        <v>0</v>
      </c>
      <c r="I1188" s="57">
        <f t="shared" si="55"/>
        <v>0</v>
      </c>
      <c r="J1188" s="56">
        <f t="shared" si="56"/>
        <v>0</v>
      </c>
    </row>
    <row r="1189" spans="1:10" ht="18">
      <c r="A1189" s="49">
        <v>5522</v>
      </c>
      <c r="B1189" s="49" t="s">
        <v>1003</v>
      </c>
      <c r="D1189" s="49">
        <v>4.8259999999999996</v>
      </c>
      <c r="E1189" s="49">
        <v>19.080000000000002</v>
      </c>
      <c r="F1189" s="49">
        <v>11.953000000000001</v>
      </c>
      <c r="G1189" s="54">
        <v>4.76</v>
      </c>
      <c r="H1189" s="56">
        <f t="shared" si="54"/>
        <v>22.971759999999996</v>
      </c>
      <c r="I1189" s="57">
        <f t="shared" si="55"/>
        <v>56.896280000000004</v>
      </c>
      <c r="J1189" s="56">
        <f t="shared" si="56"/>
        <v>90.820800000000006</v>
      </c>
    </row>
    <row r="1190" spans="1:10" ht="18">
      <c r="A1190" s="49">
        <v>5523</v>
      </c>
      <c r="B1190" s="49" t="s">
        <v>1694</v>
      </c>
      <c r="D1190" s="49">
        <v>6.1840000000000002</v>
      </c>
      <c r="E1190" s="49">
        <v>15.813999999999998</v>
      </c>
      <c r="F1190" s="49">
        <v>10.998999999999999</v>
      </c>
      <c r="G1190" s="54">
        <v>3.73</v>
      </c>
      <c r="H1190" s="56">
        <f t="shared" si="54"/>
        <v>23.066320000000001</v>
      </c>
      <c r="I1190" s="57">
        <f t="shared" si="55"/>
        <v>41.026269999999997</v>
      </c>
      <c r="J1190" s="56">
        <f t="shared" si="56"/>
        <v>58.986219999999996</v>
      </c>
    </row>
    <row r="1191" spans="1:10" ht="18">
      <c r="A1191" s="49">
        <v>5525</v>
      </c>
      <c r="B1191" s="49" t="s">
        <v>1004</v>
      </c>
      <c r="D1191" s="49">
        <v>5.5580000000000007</v>
      </c>
      <c r="E1191" s="49">
        <v>17.216000000000001</v>
      </c>
      <c r="F1191" s="49">
        <v>11.387</v>
      </c>
      <c r="G1191" s="54">
        <v>2.5</v>
      </c>
      <c r="H1191" s="56">
        <f t="shared" si="54"/>
        <v>13.895000000000001</v>
      </c>
      <c r="I1191" s="57">
        <f t="shared" si="55"/>
        <v>28.467500000000001</v>
      </c>
      <c r="J1191" s="56">
        <f t="shared" si="56"/>
        <v>43.040000000000006</v>
      </c>
    </row>
    <row r="1192" spans="1:10" ht="18">
      <c r="A1192" s="49">
        <v>5529</v>
      </c>
      <c r="B1192" s="49" t="s">
        <v>1695</v>
      </c>
      <c r="D1192" s="49">
        <v>0</v>
      </c>
      <c r="E1192" s="49">
        <v>0</v>
      </c>
      <c r="F1192" s="49">
        <v>0</v>
      </c>
      <c r="G1192" s="54">
        <v>-1.27</v>
      </c>
      <c r="H1192" s="56">
        <f t="shared" si="54"/>
        <v>0</v>
      </c>
      <c r="I1192" s="57">
        <f t="shared" si="55"/>
        <v>0</v>
      </c>
      <c r="J1192" s="56">
        <f t="shared" si="56"/>
        <v>0</v>
      </c>
    </row>
    <row r="1193" spans="1:10" ht="18">
      <c r="A1193" s="49">
        <v>5530</v>
      </c>
      <c r="B1193" s="49" t="s">
        <v>1696</v>
      </c>
      <c r="D1193" s="49">
        <v>12.02</v>
      </c>
      <c r="E1193" s="49">
        <v>20.994</v>
      </c>
      <c r="F1193" s="49">
        <v>16.506999999999998</v>
      </c>
      <c r="G1193" s="54">
        <v>2.88</v>
      </c>
      <c r="H1193" s="56">
        <f t="shared" si="54"/>
        <v>34.617599999999996</v>
      </c>
      <c r="I1193" s="57">
        <f t="shared" si="55"/>
        <v>47.540159999999993</v>
      </c>
      <c r="J1193" s="56">
        <f t="shared" si="56"/>
        <v>60.462719999999997</v>
      </c>
    </row>
    <row r="1194" spans="1:10" ht="18">
      <c r="A1194" s="49">
        <v>5531</v>
      </c>
      <c r="B1194" s="49" t="s">
        <v>1005</v>
      </c>
      <c r="D1194" s="49">
        <v>7.9040000000000008</v>
      </c>
      <c r="E1194" s="49">
        <v>22.727999999999998</v>
      </c>
      <c r="F1194" s="49">
        <v>15.315999999999999</v>
      </c>
      <c r="G1194" s="54">
        <v>-0.2</v>
      </c>
      <c r="H1194" s="56">
        <f t="shared" si="54"/>
        <v>-1.5808000000000002</v>
      </c>
      <c r="I1194" s="57">
        <f t="shared" si="55"/>
        <v>-3.0632000000000001</v>
      </c>
      <c r="J1194" s="56">
        <f t="shared" si="56"/>
        <v>-4.5455999999999994</v>
      </c>
    </row>
    <row r="1195" spans="1:10" ht="18">
      <c r="A1195" s="49">
        <v>5533</v>
      </c>
      <c r="B1195" s="49" t="s">
        <v>1006</v>
      </c>
      <c r="D1195" s="49">
        <v>4.6899999999999995</v>
      </c>
      <c r="E1195" s="49">
        <v>19.718</v>
      </c>
      <c r="F1195" s="49">
        <v>12.204000000000001</v>
      </c>
      <c r="G1195" s="54">
        <v>3.12</v>
      </c>
      <c r="H1195" s="56">
        <f t="shared" si="54"/>
        <v>14.6328</v>
      </c>
      <c r="I1195" s="57">
        <f t="shared" si="55"/>
        <v>38.076480000000004</v>
      </c>
      <c r="J1195" s="56">
        <f t="shared" si="56"/>
        <v>61.520160000000004</v>
      </c>
    </row>
    <row r="1196" spans="1:10" ht="18">
      <c r="A1196" s="49">
        <v>5534</v>
      </c>
      <c r="B1196" s="49" t="s">
        <v>1007</v>
      </c>
      <c r="D1196" s="49">
        <v>4.8559999999999999</v>
      </c>
      <c r="E1196" s="49">
        <v>16.443999999999999</v>
      </c>
      <c r="F1196" s="49">
        <v>10.649999999999999</v>
      </c>
      <c r="G1196" s="54">
        <v>6.32</v>
      </c>
      <c r="H1196" s="56">
        <f t="shared" si="54"/>
        <v>30.689920000000001</v>
      </c>
      <c r="I1196" s="57">
        <f t="shared" si="55"/>
        <v>67.307999999999993</v>
      </c>
      <c r="J1196" s="56">
        <f t="shared" si="56"/>
        <v>103.92608</v>
      </c>
    </row>
    <row r="1197" spans="1:10" ht="18">
      <c r="A1197" s="49">
        <v>5536</v>
      </c>
      <c r="B1197" s="49" t="s">
        <v>1697</v>
      </c>
      <c r="D1197" s="49">
        <v>7.9680000000000009</v>
      </c>
      <c r="E1197" s="49">
        <v>14.559999999999999</v>
      </c>
      <c r="F1197" s="49">
        <v>11.263999999999999</v>
      </c>
      <c r="G1197" s="54">
        <v>15.03</v>
      </c>
      <c r="H1197" s="56">
        <f t="shared" si="54"/>
        <v>119.75904000000001</v>
      </c>
      <c r="I1197" s="57">
        <f t="shared" si="55"/>
        <v>169.29791999999998</v>
      </c>
      <c r="J1197" s="56">
        <f t="shared" si="56"/>
        <v>218.83679999999998</v>
      </c>
    </row>
    <row r="1198" spans="1:10" ht="18">
      <c r="A1198" s="49">
        <v>5538</v>
      </c>
      <c r="B1198" s="49" t="s">
        <v>1008</v>
      </c>
      <c r="D1198" s="49">
        <v>8.9580000000000002</v>
      </c>
      <c r="E1198" s="49">
        <v>17.212</v>
      </c>
      <c r="F1198" s="49">
        <v>13.085000000000001</v>
      </c>
      <c r="G1198" s="54">
        <v>0.67</v>
      </c>
      <c r="H1198" s="56">
        <f t="shared" si="54"/>
        <v>6.0018600000000006</v>
      </c>
      <c r="I1198" s="57">
        <f t="shared" si="55"/>
        <v>8.7669500000000014</v>
      </c>
      <c r="J1198" s="56">
        <f t="shared" si="56"/>
        <v>11.53204</v>
      </c>
    </row>
    <row r="1199" spans="1:10" ht="18">
      <c r="A1199" s="49">
        <v>5543</v>
      </c>
      <c r="B1199" s="49" t="s">
        <v>1698</v>
      </c>
      <c r="D1199" s="49">
        <v>0</v>
      </c>
      <c r="E1199" s="49">
        <v>0</v>
      </c>
      <c r="F1199" s="49">
        <v>0</v>
      </c>
      <c r="G1199" s="54">
        <v>-2.57</v>
      </c>
      <c r="H1199" s="56">
        <f t="shared" si="54"/>
        <v>0</v>
      </c>
      <c r="I1199" s="57">
        <f t="shared" si="55"/>
        <v>0</v>
      </c>
      <c r="J1199" s="56">
        <f t="shared" si="56"/>
        <v>0</v>
      </c>
    </row>
    <row r="1200" spans="1:10" ht="18">
      <c r="A1200" s="49">
        <v>5546</v>
      </c>
      <c r="B1200" s="49" t="s">
        <v>1009</v>
      </c>
      <c r="D1200" s="49">
        <v>0</v>
      </c>
      <c r="E1200" s="49">
        <v>0</v>
      </c>
      <c r="F1200" s="49">
        <v>0</v>
      </c>
      <c r="G1200" s="54" t="s">
        <v>271</v>
      </c>
      <c r="H1200" s="56" t="e">
        <f t="shared" si="54"/>
        <v>#VALUE!</v>
      </c>
      <c r="I1200" s="57" t="e">
        <f t="shared" si="55"/>
        <v>#VALUE!</v>
      </c>
      <c r="J1200" s="56" t="e">
        <f t="shared" si="56"/>
        <v>#VALUE!</v>
      </c>
    </row>
    <row r="1201" spans="1:10" ht="18">
      <c r="A1201" s="49">
        <v>5601</v>
      </c>
      <c r="B1201" s="49" t="s">
        <v>1699</v>
      </c>
      <c r="D1201" s="49">
        <v>0</v>
      </c>
      <c r="E1201" s="49">
        <v>0</v>
      </c>
      <c r="F1201" s="49">
        <v>0</v>
      </c>
      <c r="G1201" s="54">
        <v>0.48</v>
      </c>
      <c r="H1201" s="56">
        <f t="shared" si="54"/>
        <v>0</v>
      </c>
      <c r="I1201" s="57">
        <f t="shared" si="55"/>
        <v>0</v>
      </c>
      <c r="J1201" s="56">
        <f t="shared" si="56"/>
        <v>0</v>
      </c>
    </row>
    <row r="1202" spans="1:10" ht="18">
      <c r="A1202" s="49">
        <v>5603</v>
      </c>
      <c r="B1202" s="49" t="s">
        <v>1700</v>
      </c>
      <c r="D1202" s="49">
        <v>8.452</v>
      </c>
      <c r="E1202" s="49">
        <v>20.440000000000001</v>
      </c>
      <c r="F1202" s="49">
        <v>14.446000000000002</v>
      </c>
      <c r="G1202" s="54">
        <v>1.93</v>
      </c>
      <c r="H1202" s="56">
        <f t="shared" si="54"/>
        <v>16.312359999999998</v>
      </c>
      <c r="I1202" s="57">
        <f t="shared" si="55"/>
        <v>27.880780000000001</v>
      </c>
      <c r="J1202" s="56">
        <f t="shared" si="56"/>
        <v>39.449200000000005</v>
      </c>
    </row>
    <row r="1203" spans="1:10" ht="18">
      <c r="A1203" s="49">
        <v>5604</v>
      </c>
      <c r="B1203" s="49" t="s">
        <v>1701</v>
      </c>
      <c r="D1203" s="49">
        <v>6.7439999999999998</v>
      </c>
      <c r="E1203" s="49">
        <v>25.163999999999998</v>
      </c>
      <c r="F1203" s="49">
        <v>15.953999999999999</v>
      </c>
      <c r="G1203" s="54">
        <v>0.83</v>
      </c>
      <c r="H1203" s="56">
        <f t="shared" si="54"/>
        <v>5.5975199999999994</v>
      </c>
      <c r="I1203" s="57">
        <f t="shared" si="55"/>
        <v>13.241819999999999</v>
      </c>
      <c r="J1203" s="56">
        <f t="shared" si="56"/>
        <v>20.886119999999998</v>
      </c>
    </row>
    <row r="1204" spans="1:10" ht="18">
      <c r="A1204" s="49">
        <v>5607</v>
      </c>
      <c r="B1204" s="49" t="s">
        <v>1010</v>
      </c>
      <c r="D1204" s="49">
        <v>12.088000000000001</v>
      </c>
      <c r="E1204" s="49">
        <v>21.973999999999997</v>
      </c>
      <c r="F1204" s="49">
        <v>17.030999999999999</v>
      </c>
      <c r="G1204" s="54">
        <v>2.83</v>
      </c>
      <c r="H1204" s="56">
        <f t="shared" si="54"/>
        <v>34.209040000000002</v>
      </c>
      <c r="I1204" s="57">
        <f t="shared" si="55"/>
        <v>48.19773</v>
      </c>
      <c r="J1204" s="56">
        <f t="shared" si="56"/>
        <v>62.186419999999991</v>
      </c>
    </row>
    <row r="1205" spans="1:10" ht="18">
      <c r="A1205" s="49">
        <v>5608</v>
      </c>
      <c r="B1205" s="49" t="s">
        <v>1011</v>
      </c>
      <c r="D1205" s="49">
        <v>7.3559999999999999</v>
      </c>
      <c r="E1205" s="49">
        <v>16.009999999999998</v>
      </c>
      <c r="F1205" s="49">
        <v>11.683</v>
      </c>
      <c r="G1205" s="54">
        <v>-1.26</v>
      </c>
      <c r="H1205" s="56">
        <f t="shared" si="54"/>
        <v>-9.268559999999999</v>
      </c>
      <c r="I1205" s="57">
        <f t="shared" si="55"/>
        <v>-14.72058</v>
      </c>
      <c r="J1205" s="56">
        <f t="shared" si="56"/>
        <v>-20.172599999999999</v>
      </c>
    </row>
    <row r="1206" spans="1:10" ht="18">
      <c r="A1206" s="49">
        <v>5609</v>
      </c>
      <c r="B1206" s="49" t="s">
        <v>1702</v>
      </c>
      <c r="D1206" s="49">
        <v>7.7759999999999989</v>
      </c>
      <c r="E1206" s="49">
        <v>17.966000000000001</v>
      </c>
      <c r="F1206" s="49">
        <v>12.871</v>
      </c>
      <c r="G1206" s="54">
        <v>7.14</v>
      </c>
      <c r="H1206" s="56">
        <f t="shared" si="54"/>
        <v>55.520639999999993</v>
      </c>
      <c r="I1206" s="57">
        <f t="shared" si="55"/>
        <v>91.898939999999996</v>
      </c>
      <c r="J1206" s="56">
        <f t="shared" si="56"/>
        <v>128.27724000000001</v>
      </c>
    </row>
    <row r="1207" spans="1:10" ht="18">
      <c r="A1207" s="49">
        <v>5701</v>
      </c>
      <c r="B1207" s="49" t="s">
        <v>1703</v>
      </c>
      <c r="D1207" s="49">
        <v>0</v>
      </c>
      <c r="E1207" s="49">
        <v>0</v>
      </c>
      <c r="F1207" s="49">
        <v>0</v>
      </c>
      <c r="G1207" s="54">
        <v>-0.35</v>
      </c>
      <c r="H1207" s="56">
        <f t="shared" si="54"/>
        <v>0</v>
      </c>
      <c r="I1207" s="57">
        <f t="shared" si="55"/>
        <v>0</v>
      </c>
      <c r="J1207" s="56">
        <f t="shared" si="56"/>
        <v>0</v>
      </c>
    </row>
    <row r="1208" spans="1:10" ht="18">
      <c r="A1208" s="49">
        <v>5703</v>
      </c>
      <c r="B1208" s="49" t="s">
        <v>1704</v>
      </c>
      <c r="D1208" s="49">
        <v>30.339999999999996</v>
      </c>
      <c r="E1208" s="49">
        <v>30.339999999999996</v>
      </c>
      <c r="F1208" s="49">
        <v>30.339999999999996</v>
      </c>
      <c r="G1208" s="54">
        <v>0.55000000000000004</v>
      </c>
      <c r="H1208" s="56">
        <f t="shared" si="54"/>
        <v>16.686999999999998</v>
      </c>
      <c r="I1208" s="57">
        <f t="shared" si="55"/>
        <v>16.686999999999998</v>
      </c>
      <c r="J1208" s="56">
        <f t="shared" si="56"/>
        <v>16.686999999999998</v>
      </c>
    </row>
    <row r="1209" spans="1:10" ht="18">
      <c r="A1209" s="49">
        <v>5704</v>
      </c>
      <c r="B1209" s="49" t="s">
        <v>1705</v>
      </c>
      <c r="D1209" s="49">
        <v>19.612000000000002</v>
      </c>
      <c r="E1209" s="49">
        <v>30.684000000000005</v>
      </c>
      <c r="F1209" s="49">
        <v>25.148000000000003</v>
      </c>
      <c r="G1209" s="54">
        <v>2.98</v>
      </c>
      <c r="H1209" s="56">
        <f t="shared" si="54"/>
        <v>58.443760000000005</v>
      </c>
      <c r="I1209" s="57">
        <f t="shared" si="55"/>
        <v>74.941040000000015</v>
      </c>
      <c r="J1209" s="56">
        <f t="shared" si="56"/>
        <v>91.438320000000019</v>
      </c>
    </row>
    <row r="1210" spans="1:10" ht="18">
      <c r="A1210" s="49">
        <v>5706</v>
      </c>
      <c r="B1210" s="49" t="s">
        <v>1012</v>
      </c>
      <c r="D1210" s="49">
        <v>12.884</v>
      </c>
      <c r="E1210" s="49">
        <v>25.143999999999998</v>
      </c>
      <c r="F1210" s="49">
        <v>19.013999999999999</v>
      </c>
      <c r="G1210" s="54">
        <v>2.44</v>
      </c>
      <c r="H1210" s="56">
        <f t="shared" si="54"/>
        <v>31.436959999999999</v>
      </c>
      <c r="I1210" s="57">
        <f t="shared" si="55"/>
        <v>46.394159999999999</v>
      </c>
      <c r="J1210" s="56">
        <f t="shared" si="56"/>
        <v>61.351359999999993</v>
      </c>
    </row>
    <row r="1211" spans="1:10" ht="18">
      <c r="A1211" s="49">
        <v>5864</v>
      </c>
      <c r="B1211" s="49" t="s">
        <v>1706</v>
      </c>
      <c r="D1211" s="49">
        <v>10.033999999999999</v>
      </c>
      <c r="E1211" s="49">
        <v>10.033999999999999</v>
      </c>
      <c r="F1211" s="49">
        <v>10.033999999999999</v>
      </c>
      <c r="G1211" s="54">
        <v>3.18</v>
      </c>
      <c r="H1211" s="56">
        <f t="shared" si="54"/>
        <v>31.908119999999997</v>
      </c>
      <c r="I1211" s="57">
        <f t="shared" si="55"/>
        <v>31.908119999999997</v>
      </c>
      <c r="J1211" s="56">
        <f t="shared" si="56"/>
        <v>31.908119999999997</v>
      </c>
    </row>
    <row r="1212" spans="1:10" ht="18">
      <c r="A1212" s="49">
        <v>5871</v>
      </c>
      <c r="B1212" s="49" t="s">
        <v>1013</v>
      </c>
      <c r="D1212" s="49">
        <v>9.718</v>
      </c>
      <c r="E1212" s="49">
        <v>16.246000000000002</v>
      </c>
      <c r="F1212" s="49">
        <v>12.982000000000001</v>
      </c>
      <c r="G1212" s="54">
        <v>15.07</v>
      </c>
      <c r="H1212" s="56">
        <f t="shared" si="54"/>
        <v>146.45026000000001</v>
      </c>
      <c r="I1212" s="57">
        <f t="shared" si="55"/>
        <v>195.63874000000001</v>
      </c>
      <c r="J1212" s="56">
        <f t="shared" si="56"/>
        <v>244.82722000000004</v>
      </c>
    </row>
    <row r="1213" spans="1:10" ht="18">
      <c r="A1213" s="49">
        <v>5876</v>
      </c>
      <c r="B1213" s="49" t="s">
        <v>1014</v>
      </c>
      <c r="D1213" s="49">
        <v>13.362</v>
      </c>
      <c r="E1213" s="49">
        <v>13.963999999999999</v>
      </c>
      <c r="F1213" s="49">
        <v>13.663</v>
      </c>
      <c r="G1213" s="54">
        <v>3.02</v>
      </c>
      <c r="H1213" s="56">
        <f t="shared" si="54"/>
        <v>40.35324</v>
      </c>
      <c r="I1213" s="57">
        <f t="shared" si="55"/>
        <v>41.262259999999998</v>
      </c>
      <c r="J1213" s="56">
        <f t="shared" si="56"/>
        <v>42.171279999999996</v>
      </c>
    </row>
    <row r="1214" spans="1:10" ht="18">
      <c r="A1214" s="49">
        <v>5878</v>
      </c>
      <c r="B1214" s="49" t="s">
        <v>1707</v>
      </c>
      <c r="D1214" s="49">
        <v>12.47</v>
      </c>
      <c r="E1214" s="49">
        <v>16.742000000000001</v>
      </c>
      <c r="F1214" s="49">
        <v>14.606000000000002</v>
      </c>
      <c r="G1214" s="54">
        <v>2.2000000000000002</v>
      </c>
      <c r="H1214" s="56">
        <f t="shared" si="54"/>
        <v>27.434000000000005</v>
      </c>
      <c r="I1214" s="57">
        <f t="shared" si="55"/>
        <v>32.133200000000009</v>
      </c>
      <c r="J1214" s="56">
        <f t="shared" si="56"/>
        <v>36.832400000000007</v>
      </c>
    </row>
    <row r="1215" spans="1:10" ht="18">
      <c r="A1215" s="49">
        <v>5880</v>
      </c>
      <c r="B1215" s="49" t="s">
        <v>1015</v>
      </c>
      <c r="D1215" s="49">
        <v>13.703999999999999</v>
      </c>
      <c r="E1215" s="49">
        <v>17.880000000000003</v>
      </c>
      <c r="F1215" s="49">
        <v>15.792000000000002</v>
      </c>
      <c r="G1215" s="54">
        <v>1.17</v>
      </c>
      <c r="H1215" s="56">
        <f t="shared" si="54"/>
        <v>16.033679999999997</v>
      </c>
      <c r="I1215" s="57">
        <f t="shared" si="55"/>
        <v>18.47664</v>
      </c>
      <c r="J1215" s="56">
        <f t="shared" si="56"/>
        <v>20.919600000000003</v>
      </c>
    </row>
    <row r="1216" spans="1:10" ht="18">
      <c r="A1216" s="49">
        <v>5902</v>
      </c>
      <c r="B1216" s="49" t="s">
        <v>1708</v>
      </c>
      <c r="D1216" s="49">
        <v>17.880000000000003</v>
      </c>
      <c r="E1216" s="49">
        <v>29.072000000000003</v>
      </c>
      <c r="F1216" s="49">
        <v>23.476000000000003</v>
      </c>
      <c r="G1216" s="54">
        <v>1.84</v>
      </c>
      <c r="H1216" s="56">
        <f t="shared" si="54"/>
        <v>32.899200000000008</v>
      </c>
      <c r="I1216" s="57">
        <f t="shared" si="55"/>
        <v>43.195840000000004</v>
      </c>
      <c r="J1216" s="56">
        <f t="shared" si="56"/>
        <v>53.492480000000008</v>
      </c>
    </row>
    <row r="1217" spans="1:10" ht="18">
      <c r="A1217" s="49">
        <v>5903</v>
      </c>
      <c r="B1217" s="49" t="s">
        <v>1709</v>
      </c>
      <c r="D1217" s="49">
        <v>19.235999999999997</v>
      </c>
      <c r="E1217" s="49">
        <v>36.835999999999999</v>
      </c>
      <c r="F1217" s="49">
        <v>28.035999999999998</v>
      </c>
      <c r="G1217" s="54">
        <v>7.22</v>
      </c>
      <c r="H1217" s="56">
        <f t="shared" si="54"/>
        <v>138.88391999999996</v>
      </c>
      <c r="I1217" s="57">
        <f t="shared" si="55"/>
        <v>202.41991999999999</v>
      </c>
      <c r="J1217" s="56">
        <f t="shared" si="56"/>
        <v>265.95591999999999</v>
      </c>
    </row>
    <row r="1218" spans="1:10" ht="18">
      <c r="A1218" s="49">
        <v>5904</v>
      </c>
      <c r="B1218" s="49" t="s">
        <v>1710</v>
      </c>
      <c r="D1218" s="49">
        <v>9.9</v>
      </c>
      <c r="E1218" s="49">
        <v>31.225999999999999</v>
      </c>
      <c r="F1218" s="49">
        <v>20.562999999999999</v>
      </c>
      <c r="G1218" s="54">
        <v>24.34</v>
      </c>
      <c r="H1218" s="56">
        <f t="shared" si="54"/>
        <v>240.96600000000001</v>
      </c>
      <c r="I1218" s="57">
        <f t="shared" si="55"/>
        <v>500.50341999999995</v>
      </c>
      <c r="J1218" s="56">
        <f t="shared" si="56"/>
        <v>760.04084</v>
      </c>
    </row>
    <row r="1219" spans="1:10" ht="18">
      <c r="A1219" s="49">
        <v>5905</v>
      </c>
      <c r="B1219" s="49" t="s">
        <v>1711</v>
      </c>
      <c r="D1219" s="49">
        <v>20.643999999999998</v>
      </c>
      <c r="E1219" s="49">
        <v>23.448</v>
      </c>
      <c r="F1219" s="49">
        <v>22.045999999999999</v>
      </c>
      <c r="G1219" s="54">
        <v>-0.15</v>
      </c>
      <c r="H1219" s="56">
        <f t="shared" ref="H1219:H1282" si="57">G1219*D1219</f>
        <v>-3.0965999999999996</v>
      </c>
      <c r="I1219" s="57">
        <f t="shared" ref="I1219:I1282" si="58">G1219*F1219</f>
        <v>-3.3068999999999997</v>
      </c>
      <c r="J1219" s="56">
        <f t="shared" ref="J1219:J1282" si="59">G1219*E1219</f>
        <v>-3.5171999999999999</v>
      </c>
    </row>
    <row r="1220" spans="1:10" ht="18">
      <c r="A1220" s="49">
        <v>5906</v>
      </c>
      <c r="B1220" s="49" t="s">
        <v>1016</v>
      </c>
      <c r="D1220" s="49">
        <v>13.13</v>
      </c>
      <c r="E1220" s="49">
        <v>15.577999999999999</v>
      </c>
      <c r="F1220" s="49">
        <v>14.353999999999999</v>
      </c>
      <c r="G1220" s="54">
        <v>3.16</v>
      </c>
      <c r="H1220" s="56">
        <f t="shared" si="57"/>
        <v>41.490800000000007</v>
      </c>
      <c r="I1220" s="57">
        <f t="shared" si="58"/>
        <v>45.358640000000001</v>
      </c>
      <c r="J1220" s="56">
        <f t="shared" si="59"/>
        <v>49.226480000000002</v>
      </c>
    </row>
    <row r="1221" spans="1:10" ht="18">
      <c r="A1221" s="49">
        <v>5907</v>
      </c>
      <c r="B1221" s="49" t="s">
        <v>1017</v>
      </c>
      <c r="D1221" s="49">
        <v>10.818000000000001</v>
      </c>
      <c r="E1221" s="49">
        <v>16.363999999999997</v>
      </c>
      <c r="F1221" s="49">
        <v>13.590999999999999</v>
      </c>
      <c r="G1221" s="54">
        <v>-10.66</v>
      </c>
      <c r="H1221" s="56">
        <f t="shared" si="57"/>
        <v>-115.31988000000001</v>
      </c>
      <c r="I1221" s="57">
        <f t="shared" si="58"/>
        <v>-144.88005999999999</v>
      </c>
      <c r="J1221" s="56">
        <f t="shared" si="59"/>
        <v>-174.44023999999996</v>
      </c>
    </row>
    <row r="1222" spans="1:10" ht="18">
      <c r="A1222" s="49">
        <v>6005</v>
      </c>
      <c r="B1222" s="49" t="s">
        <v>1018</v>
      </c>
      <c r="D1222" s="49">
        <v>8.370000000000001</v>
      </c>
      <c r="E1222" s="49">
        <v>21.125999999999998</v>
      </c>
      <c r="F1222" s="49">
        <v>14.747999999999999</v>
      </c>
      <c r="G1222" s="54">
        <v>1.9</v>
      </c>
      <c r="H1222" s="56">
        <f t="shared" si="57"/>
        <v>15.903</v>
      </c>
      <c r="I1222" s="57">
        <f t="shared" si="58"/>
        <v>28.021199999999997</v>
      </c>
      <c r="J1222" s="56">
        <f t="shared" si="59"/>
        <v>40.139399999999995</v>
      </c>
    </row>
    <row r="1223" spans="1:10" ht="18">
      <c r="A1223" s="49">
        <v>6015</v>
      </c>
      <c r="B1223" s="49" t="s">
        <v>1712</v>
      </c>
      <c r="D1223" s="49">
        <v>11.459999999999999</v>
      </c>
      <c r="E1223" s="49">
        <v>27.479999999999997</v>
      </c>
      <c r="F1223" s="49">
        <v>19.47</v>
      </c>
      <c r="G1223" s="54">
        <v>0.51</v>
      </c>
      <c r="H1223" s="56">
        <f t="shared" si="57"/>
        <v>5.8445999999999998</v>
      </c>
      <c r="I1223" s="57">
        <f t="shared" si="58"/>
        <v>9.9297000000000004</v>
      </c>
      <c r="J1223" s="56">
        <f t="shared" si="59"/>
        <v>14.014799999999999</v>
      </c>
    </row>
    <row r="1224" spans="1:10" ht="18">
      <c r="A1224" s="49">
        <v>6016</v>
      </c>
      <c r="B1224" s="49" t="s">
        <v>1713</v>
      </c>
      <c r="D1224" s="49">
        <v>9.8760000000000012</v>
      </c>
      <c r="E1224" s="49">
        <v>17.660000000000004</v>
      </c>
      <c r="F1224" s="49">
        <v>13.768000000000002</v>
      </c>
      <c r="G1224" s="54">
        <v>1.68</v>
      </c>
      <c r="H1224" s="56">
        <f t="shared" si="57"/>
        <v>16.59168</v>
      </c>
      <c r="I1224" s="57">
        <f t="shared" si="58"/>
        <v>23.130240000000004</v>
      </c>
      <c r="J1224" s="56">
        <f t="shared" si="59"/>
        <v>29.668800000000005</v>
      </c>
    </row>
    <row r="1225" spans="1:10" ht="18">
      <c r="A1225" s="49">
        <v>6020</v>
      </c>
      <c r="B1225" s="49" t="s">
        <v>1714</v>
      </c>
      <c r="D1225" s="49">
        <v>13.742000000000001</v>
      </c>
      <c r="E1225" s="49">
        <v>24.020000000000003</v>
      </c>
      <c r="F1225" s="49">
        <v>18.881</v>
      </c>
      <c r="G1225" s="54">
        <v>1.29</v>
      </c>
      <c r="H1225" s="56">
        <f t="shared" si="57"/>
        <v>17.727180000000001</v>
      </c>
      <c r="I1225" s="57">
        <f t="shared" si="58"/>
        <v>24.356490000000001</v>
      </c>
      <c r="J1225" s="56">
        <f t="shared" si="59"/>
        <v>30.985800000000005</v>
      </c>
    </row>
    <row r="1226" spans="1:10" ht="18">
      <c r="A1226" s="49">
        <v>6021</v>
      </c>
      <c r="B1226" s="49" t="s">
        <v>1715</v>
      </c>
      <c r="D1226" s="49">
        <v>14.456</v>
      </c>
      <c r="E1226" s="49">
        <v>28.786000000000001</v>
      </c>
      <c r="F1226" s="49">
        <v>21.621000000000002</v>
      </c>
      <c r="G1226" s="54">
        <v>0.35</v>
      </c>
      <c r="H1226" s="56">
        <f t="shared" si="57"/>
        <v>5.0595999999999997</v>
      </c>
      <c r="I1226" s="57">
        <f t="shared" si="58"/>
        <v>7.5673500000000002</v>
      </c>
      <c r="J1226" s="56">
        <f t="shared" si="59"/>
        <v>10.075099999999999</v>
      </c>
    </row>
    <row r="1227" spans="1:10" ht="18">
      <c r="A1227" s="49">
        <v>6023</v>
      </c>
      <c r="B1227" s="49" t="s">
        <v>1716</v>
      </c>
      <c r="D1227" s="49">
        <v>9.68</v>
      </c>
      <c r="E1227" s="49">
        <v>15.830000000000002</v>
      </c>
      <c r="F1227" s="49">
        <v>12.755000000000001</v>
      </c>
      <c r="G1227" s="54">
        <v>6.39</v>
      </c>
      <c r="H1227" s="56">
        <f t="shared" si="57"/>
        <v>61.855199999999996</v>
      </c>
      <c r="I1227" s="57">
        <f t="shared" si="58"/>
        <v>81.504450000000006</v>
      </c>
      <c r="J1227" s="56">
        <f t="shared" si="59"/>
        <v>101.1537</v>
      </c>
    </row>
    <row r="1228" spans="1:10" ht="18">
      <c r="A1228" s="49">
        <v>6024</v>
      </c>
      <c r="B1228" s="49" t="s">
        <v>1019</v>
      </c>
      <c r="D1228" s="49">
        <v>9.1460000000000008</v>
      </c>
      <c r="E1228" s="49">
        <v>14.603999999999999</v>
      </c>
      <c r="F1228" s="49">
        <v>11.875</v>
      </c>
      <c r="G1228" s="54">
        <v>4.8</v>
      </c>
      <c r="H1228" s="56">
        <f t="shared" si="57"/>
        <v>43.900800000000004</v>
      </c>
      <c r="I1228" s="57">
        <f t="shared" si="58"/>
        <v>57</v>
      </c>
      <c r="J1228" s="56">
        <f t="shared" si="59"/>
        <v>70.099199999999996</v>
      </c>
    </row>
    <row r="1229" spans="1:10" ht="18">
      <c r="A1229" s="49">
        <v>6026</v>
      </c>
      <c r="B1229" s="49" t="s">
        <v>1717</v>
      </c>
      <c r="D1229" s="49">
        <v>8.2059999999999995</v>
      </c>
      <c r="E1229" s="49">
        <v>14.878</v>
      </c>
      <c r="F1229" s="49">
        <v>11.542</v>
      </c>
      <c r="G1229" s="54">
        <v>1.61</v>
      </c>
      <c r="H1229" s="56">
        <f t="shared" si="57"/>
        <v>13.21166</v>
      </c>
      <c r="I1229" s="57">
        <f t="shared" si="58"/>
        <v>18.582620000000002</v>
      </c>
      <c r="J1229" s="56">
        <f t="shared" si="59"/>
        <v>23.953580000000002</v>
      </c>
    </row>
    <row r="1230" spans="1:10" ht="18">
      <c r="A1230" s="49">
        <v>6101</v>
      </c>
      <c r="B1230" s="49" t="s">
        <v>1718</v>
      </c>
      <c r="D1230" s="49">
        <v>0</v>
      </c>
      <c r="E1230" s="49">
        <v>0</v>
      </c>
      <c r="F1230" s="49">
        <v>0</v>
      </c>
      <c r="G1230" s="54">
        <v>0.55000000000000004</v>
      </c>
      <c r="H1230" s="56">
        <f t="shared" si="57"/>
        <v>0</v>
      </c>
      <c r="I1230" s="57">
        <f t="shared" si="58"/>
        <v>0</v>
      </c>
      <c r="J1230" s="56">
        <f t="shared" si="59"/>
        <v>0</v>
      </c>
    </row>
    <row r="1231" spans="1:10" ht="18">
      <c r="A1231" s="49">
        <v>6103</v>
      </c>
      <c r="B1231" s="49" t="s">
        <v>1719</v>
      </c>
      <c r="D1231" s="49">
        <v>0</v>
      </c>
      <c r="E1231" s="49">
        <v>0</v>
      </c>
      <c r="F1231" s="49">
        <v>0</v>
      </c>
      <c r="G1231" s="54">
        <v>-0.53</v>
      </c>
      <c r="H1231" s="56">
        <f t="shared" si="57"/>
        <v>0</v>
      </c>
      <c r="I1231" s="57">
        <f t="shared" si="58"/>
        <v>0</v>
      </c>
      <c r="J1231" s="56">
        <f t="shared" si="59"/>
        <v>0</v>
      </c>
    </row>
    <row r="1232" spans="1:10" ht="18">
      <c r="A1232" s="49">
        <v>6104</v>
      </c>
      <c r="B1232" s="49" t="s">
        <v>1720</v>
      </c>
      <c r="D1232" s="49">
        <v>13.618</v>
      </c>
      <c r="E1232" s="49">
        <v>21.795999999999999</v>
      </c>
      <c r="F1232" s="49">
        <v>17.707000000000001</v>
      </c>
      <c r="G1232" s="54">
        <v>1.07</v>
      </c>
      <c r="H1232" s="56">
        <f t="shared" si="57"/>
        <v>14.571260000000001</v>
      </c>
      <c r="I1232" s="57">
        <f t="shared" si="58"/>
        <v>18.946490000000001</v>
      </c>
      <c r="J1232" s="56">
        <f t="shared" si="59"/>
        <v>23.321719999999999</v>
      </c>
    </row>
    <row r="1233" spans="1:10" ht="18">
      <c r="A1233" s="49">
        <v>6108</v>
      </c>
      <c r="B1233" s="49" t="s">
        <v>1020</v>
      </c>
      <c r="D1233" s="49">
        <v>7.0840000000000005</v>
      </c>
      <c r="E1233" s="49">
        <v>16.71</v>
      </c>
      <c r="F1233" s="49">
        <v>11.897</v>
      </c>
      <c r="G1233" s="54">
        <v>0.34</v>
      </c>
      <c r="H1233" s="56">
        <f t="shared" si="57"/>
        <v>2.4085600000000005</v>
      </c>
      <c r="I1233" s="57">
        <f t="shared" si="58"/>
        <v>4.0449800000000007</v>
      </c>
      <c r="J1233" s="56">
        <f t="shared" si="59"/>
        <v>5.6814000000000009</v>
      </c>
    </row>
    <row r="1234" spans="1:10" ht="18">
      <c r="A1234" s="49">
        <v>6109</v>
      </c>
      <c r="B1234" s="49" t="s">
        <v>1721</v>
      </c>
      <c r="D1234" s="49">
        <v>13.334</v>
      </c>
      <c r="E1234" s="49">
        <v>20.8</v>
      </c>
      <c r="F1234" s="49">
        <v>17.067</v>
      </c>
      <c r="G1234" s="54">
        <v>0.28000000000000003</v>
      </c>
      <c r="H1234" s="56">
        <f t="shared" si="57"/>
        <v>3.7335200000000004</v>
      </c>
      <c r="I1234" s="57">
        <f t="shared" si="58"/>
        <v>4.7787600000000001</v>
      </c>
      <c r="J1234" s="56">
        <f t="shared" si="59"/>
        <v>5.8240000000000007</v>
      </c>
    </row>
    <row r="1235" spans="1:10" ht="18">
      <c r="A1235" s="49">
        <v>6111</v>
      </c>
      <c r="B1235" s="49" t="s">
        <v>1722</v>
      </c>
      <c r="D1235" s="49">
        <v>0</v>
      </c>
      <c r="E1235" s="49">
        <v>0</v>
      </c>
      <c r="F1235" s="49">
        <v>0</v>
      </c>
      <c r="G1235" s="54">
        <v>-3.29</v>
      </c>
      <c r="H1235" s="56">
        <f t="shared" si="57"/>
        <v>0</v>
      </c>
      <c r="I1235" s="57">
        <f t="shared" si="58"/>
        <v>0</v>
      </c>
      <c r="J1235" s="56">
        <f t="shared" si="59"/>
        <v>0</v>
      </c>
    </row>
    <row r="1236" spans="1:10" ht="18">
      <c r="A1236" s="49">
        <v>6112</v>
      </c>
      <c r="B1236" s="49" t="s">
        <v>1021</v>
      </c>
      <c r="D1236" s="49">
        <v>9.1859999999999999</v>
      </c>
      <c r="E1236" s="49">
        <v>20.100000000000001</v>
      </c>
      <c r="F1236" s="49">
        <v>14.643000000000001</v>
      </c>
      <c r="G1236" s="54">
        <v>3.14</v>
      </c>
      <c r="H1236" s="56">
        <f t="shared" si="57"/>
        <v>28.84404</v>
      </c>
      <c r="I1236" s="57">
        <f t="shared" si="58"/>
        <v>45.979020000000006</v>
      </c>
      <c r="J1236" s="56">
        <f t="shared" si="59"/>
        <v>63.114000000000004</v>
      </c>
    </row>
    <row r="1237" spans="1:10" ht="18">
      <c r="A1237" s="49">
        <v>6113</v>
      </c>
      <c r="B1237" s="49" t="s">
        <v>1723</v>
      </c>
      <c r="D1237" s="49">
        <v>11.87</v>
      </c>
      <c r="E1237" s="49">
        <v>15.406000000000001</v>
      </c>
      <c r="F1237" s="49">
        <v>13.638</v>
      </c>
      <c r="G1237" s="54">
        <v>0.24</v>
      </c>
      <c r="H1237" s="56">
        <f t="shared" si="57"/>
        <v>2.8487999999999998</v>
      </c>
      <c r="I1237" s="57">
        <f t="shared" si="58"/>
        <v>3.27312</v>
      </c>
      <c r="J1237" s="56">
        <f t="shared" si="59"/>
        <v>3.6974399999999998</v>
      </c>
    </row>
    <row r="1238" spans="1:10" ht="18">
      <c r="A1238" s="49">
        <v>6114</v>
      </c>
      <c r="B1238" s="49" t="s">
        <v>1724</v>
      </c>
      <c r="D1238" s="49">
        <v>7.1080000000000014</v>
      </c>
      <c r="E1238" s="49">
        <v>13.180000000000001</v>
      </c>
      <c r="F1238" s="49">
        <v>10.144000000000002</v>
      </c>
      <c r="G1238" s="54">
        <v>-0.63</v>
      </c>
      <c r="H1238" s="56">
        <f t="shared" si="57"/>
        <v>-4.4780400000000009</v>
      </c>
      <c r="I1238" s="57">
        <f t="shared" si="58"/>
        <v>-6.3907200000000008</v>
      </c>
      <c r="J1238" s="56">
        <f t="shared" si="59"/>
        <v>-8.3034000000000017</v>
      </c>
    </row>
    <row r="1239" spans="1:10" ht="18">
      <c r="A1239" s="49">
        <v>6115</v>
      </c>
      <c r="B1239" s="49" t="s">
        <v>1022</v>
      </c>
      <c r="D1239" s="49">
        <v>8.5460000000000012</v>
      </c>
      <c r="E1239" s="49">
        <v>15.544</v>
      </c>
      <c r="F1239" s="49">
        <v>12.045000000000002</v>
      </c>
      <c r="G1239" s="54">
        <v>2.82</v>
      </c>
      <c r="H1239" s="56">
        <f t="shared" si="57"/>
        <v>24.099720000000001</v>
      </c>
      <c r="I1239" s="57">
        <f t="shared" si="58"/>
        <v>33.966900000000003</v>
      </c>
      <c r="J1239" s="56">
        <f t="shared" si="59"/>
        <v>43.83408</v>
      </c>
    </row>
    <row r="1240" spans="1:10" ht="18">
      <c r="A1240" s="49">
        <v>6116</v>
      </c>
      <c r="B1240" s="49" t="s">
        <v>1023</v>
      </c>
      <c r="D1240" s="49">
        <v>4.5299999999999994</v>
      </c>
      <c r="E1240" s="49">
        <v>15.282</v>
      </c>
      <c r="F1240" s="49">
        <v>9.9059999999999988</v>
      </c>
      <c r="G1240" s="54">
        <v>-1.63</v>
      </c>
      <c r="H1240" s="56">
        <f t="shared" si="57"/>
        <v>-7.3838999999999988</v>
      </c>
      <c r="I1240" s="57">
        <f t="shared" si="58"/>
        <v>-16.146779999999996</v>
      </c>
      <c r="J1240" s="56">
        <f t="shared" si="59"/>
        <v>-24.909659999999999</v>
      </c>
    </row>
    <row r="1241" spans="1:10" ht="18">
      <c r="A1241" s="49">
        <v>6117</v>
      </c>
      <c r="B1241" s="49" t="s">
        <v>1024</v>
      </c>
      <c r="D1241" s="49">
        <v>14.722</v>
      </c>
      <c r="E1241" s="49">
        <v>14.722</v>
      </c>
      <c r="F1241" s="49">
        <v>14.722</v>
      </c>
      <c r="G1241" s="54">
        <v>1.02</v>
      </c>
      <c r="H1241" s="56">
        <f t="shared" si="57"/>
        <v>15.016439999999999</v>
      </c>
      <c r="I1241" s="57">
        <f t="shared" si="58"/>
        <v>15.016439999999999</v>
      </c>
      <c r="J1241" s="56">
        <f t="shared" si="59"/>
        <v>15.016439999999999</v>
      </c>
    </row>
    <row r="1242" spans="1:10" ht="18">
      <c r="A1242" s="49">
        <v>6118</v>
      </c>
      <c r="B1242" s="49" t="s">
        <v>1725</v>
      </c>
      <c r="D1242" s="49">
        <v>32.311999999999998</v>
      </c>
      <c r="E1242" s="49">
        <v>32.311999999999998</v>
      </c>
      <c r="F1242" s="49">
        <v>32.311999999999998</v>
      </c>
      <c r="G1242" s="54">
        <v>0.23</v>
      </c>
      <c r="H1242" s="56">
        <f t="shared" si="57"/>
        <v>7.4317599999999997</v>
      </c>
      <c r="I1242" s="57">
        <f t="shared" si="58"/>
        <v>7.4317599999999997</v>
      </c>
      <c r="J1242" s="56">
        <f t="shared" si="59"/>
        <v>7.4317599999999997</v>
      </c>
    </row>
    <row r="1243" spans="1:10" ht="18">
      <c r="A1243" s="49">
        <v>6120</v>
      </c>
      <c r="B1243" s="49" t="s">
        <v>1025</v>
      </c>
      <c r="D1243" s="49">
        <v>18.368000000000002</v>
      </c>
      <c r="E1243" s="49">
        <v>25.48</v>
      </c>
      <c r="F1243" s="49">
        <v>21.923999999999999</v>
      </c>
      <c r="G1243" s="54">
        <v>0.17</v>
      </c>
      <c r="H1243" s="56">
        <f t="shared" si="57"/>
        <v>3.1225600000000004</v>
      </c>
      <c r="I1243" s="57">
        <f t="shared" si="58"/>
        <v>3.7270800000000004</v>
      </c>
      <c r="J1243" s="56">
        <f t="shared" si="59"/>
        <v>4.3316000000000008</v>
      </c>
    </row>
    <row r="1244" spans="1:10" ht="18">
      <c r="A1244" s="49">
        <v>6121</v>
      </c>
      <c r="B1244" s="49" t="s">
        <v>1726</v>
      </c>
      <c r="D1244" s="49">
        <v>8.6999999999999993</v>
      </c>
      <c r="E1244" s="49">
        <v>16.321999999999996</v>
      </c>
      <c r="F1244" s="49">
        <v>12.510999999999997</v>
      </c>
      <c r="G1244" s="54">
        <v>30.67</v>
      </c>
      <c r="H1244" s="56">
        <f t="shared" si="57"/>
        <v>266.82900000000001</v>
      </c>
      <c r="I1244" s="57">
        <f t="shared" si="58"/>
        <v>383.71236999999996</v>
      </c>
      <c r="J1244" s="56">
        <f t="shared" si="59"/>
        <v>500.59573999999992</v>
      </c>
    </row>
    <row r="1245" spans="1:10" ht="18">
      <c r="A1245" s="49">
        <v>6122</v>
      </c>
      <c r="B1245" s="49" t="s">
        <v>1727</v>
      </c>
      <c r="D1245" s="49">
        <v>7.258</v>
      </c>
      <c r="E1245" s="49">
        <v>22.722000000000001</v>
      </c>
      <c r="F1245" s="49">
        <v>14.99</v>
      </c>
      <c r="G1245" s="54">
        <v>5.23</v>
      </c>
      <c r="H1245" s="56">
        <f t="shared" si="57"/>
        <v>37.959340000000005</v>
      </c>
      <c r="I1245" s="57">
        <f t="shared" si="58"/>
        <v>78.397700000000015</v>
      </c>
      <c r="J1245" s="56">
        <f t="shared" si="59"/>
        <v>118.83606000000002</v>
      </c>
    </row>
    <row r="1246" spans="1:10" ht="18">
      <c r="A1246" s="49">
        <v>6123</v>
      </c>
      <c r="B1246" s="49" t="s">
        <v>1728</v>
      </c>
      <c r="D1246" s="49">
        <v>8.6800000000000015</v>
      </c>
      <c r="E1246" s="49">
        <v>20.532</v>
      </c>
      <c r="F1246" s="49">
        <v>14.606000000000002</v>
      </c>
      <c r="G1246" s="54">
        <v>3.95</v>
      </c>
      <c r="H1246" s="56">
        <f t="shared" si="57"/>
        <v>34.286000000000008</v>
      </c>
      <c r="I1246" s="57">
        <f t="shared" si="58"/>
        <v>57.693700000000007</v>
      </c>
      <c r="J1246" s="56">
        <f t="shared" si="59"/>
        <v>81.101399999999998</v>
      </c>
    </row>
    <row r="1247" spans="1:10" ht="18">
      <c r="A1247" s="49">
        <v>6124</v>
      </c>
      <c r="B1247" s="49" t="s">
        <v>1729</v>
      </c>
      <c r="D1247" s="49">
        <v>23.175999999999998</v>
      </c>
      <c r="E1247" s="49">
        <v>26.434000000000005</v>
      </c>
      <c r="F1247" s="49">
        <v>24.805</v>
      </c>
      <c r="G1247" s="54">
        <v>-0.47</v>
      </c>
      <c r="H1247" s="56">
        <f t="shared" si="57"/>
        <v>-10.892719999999999</v>
      </c>
      <c r="I1247" s="57">
        <f t="shared" si="58"/>
        <v>-11.658349999999999</v>
      </c>
      <c r="J1247" s="56">
        <f t="shared" si="59"/>
        <v>-12.423980000000002</v>
      </c>
    </row>
    <row r="1248" spans="1:10" ht="18">
      <c r="A1248" s="49">
        <v>6125</v>
      </c>
      <c r="B1248" s="49" t="s">
        <v>1730</v>
      </c>
      <c r="D1248" s="49">
        <v>11.806000000000001</v>
      </c>
      <c r="E1248" s="49">
        <v>23.816000000000003</v>
      </c>
      <c r="F1248" s="49">
        <v>17.811</v>
      </c>
      <c r="G1248" s="54">
        <v>3.2</v>
      </c>
      <c r="H1248" s="56">
        <f t="shared" si="57"/>
        <v>37.779200000000003</v>
      </c>
      <c r="I1248" s="57">
        <f t="shared" si="58"/>
        <v>56.995200000000004</v>
      </c>
      <c r="J1248" s="56">
        <f t="shared" si="59"/>
        <v>76.211200000000005</v>
      </c>
    </row>
    <row r="1249" spans="1:10" ht="18">
      <c r="A1249" s="49">
        <v>6126</v>
      </c>
      <c r="B1249" s="49" t="s">
        <v>1731</v>
      </c>
      <c r="D1249" s="49">
        <v>10.19</v>
      </c>
      <c r="E1249" s="49">
        <v>22.928000000000004</v>
      </c>
      <c r="F1249" s="49">
        <v>16.559000000000001</v>
      </c>
      <c r="G1249" s="54">
        <v>1.52</v>
      </c>
      <c r="H1249" s="56">
        <f t="shared" si="57"/>
        <v>15.488799999999999</v>
      </c>
      <c r="I1249" s="57">
        <f t="shared" si="58"/>
        <v>25.169680000000003</v>
      </c>
      <c r="J1249" s="56">
        <f t="shared" si="59"/>
        <v>34.850560000000009</v>
      </c>
    </row>
    <row r="1250" spans="1:10" ht="18">
      <c r="A1250" s="49">
        <v>6127</v>
      </c>
      <c r="B1250" s="49" t="s">
        <v>1732</v>
      </c>
      <c r="D1250" s="49">
        <v>18.46</v>
      </c>
      <c r="E1250" s="49">
        <v>22.036000000000001</v>
      </c>
      <c r="F1250" s="49">
        <v>20.248000000000001</v>
      </c>
      <c r="G1250" s="54">
        <v>0.56999999999999995</v>
      </c>
      <c r="H1250" s="56">
        <f t="shared" si="57"/>
        <v>10.5222</v>
      </c>
      <c r="I1250" s="57">
        <f t="shared" si="58"/>
        <v>11.541359999999999</v>
      </c>
      <c r="J1250" s="56">
        <f t="shared" si="59"/>
        <v>12.56052</v>
      </c>
    </row>
    <row r="1251" spans="1:10" ht="18">
      <c r="A1251" s="49">
        <v>6128</v>
      </c>
      <c r="B1251" s="49" t="s">
        <v>1026</v>
      </c>
      <c r="D1251" s="49">
        <v>8.1319999999999997</v>
      </c>
      <c r="E1251" s="49">
        <v>15.681999999999999</v>
      </c>
      <c r="F1251" s="49">
        <v>11.907</v>
      </c>
      <c r="G1251" s="54">
        <v>3.4</v>
      </c>
      <c r="H1251" s="56">
        <f t="shared" si="57"/>
        <v>27.648799999999998</v>
      </c>
      <c r="I1251" s="57">
        <f t="shared" si="58"/>
        <v>40.483800000000002</v>
      </c>
      <c r="J1251" s="56">
        <f t="shared" si="59"/>
        <v>53.318799999999996</v>
      </c>
    </row>
    <row r="1252" spans="1:10" ht="18">
      <c r="A1252" s="49">
        <v>6129</v>
      </c>
      <c r="B1252" s="49" t="s">
        <v>1733</v>
      </c>
      <c r="D1252" s="49">
        <v>25.564</v>
      </c>
      <c r="E1252" s="49">
        <v>25.564</v>
      </c>
      <c r="F1252" s="49">
        <v>25.564</v>
      </c>
      <c r="G1252" s="54">
        <v>0.33</v>
      </c>
      <c r="H1252" s="56">
        <f t="shared" si="57"/>
        <v>8.4361200000000007</v>
      </c>
      <c r="I1252" s="57">
        <f t="shared" si="58"/>
        <v>8.4361200000000007</v>
      </c>
      <c r="J1252" s="56">
        <f t="shared" si="59"/>
        <v>8.4361200000000007</v>
      </c>
    </row>
    <row r="1253" spans="1:10" ht="18">
      <c r="A1253" s="49">
        <v>6130</v>
      </c>
      <c r="B1253" s="49" t="s">
        <v>1734</v>
      </c>
      <c r="D1253" s="49">
        <v>0</v>
      </c>
      <c r="E1253" s="49">
        <v>0</v>
      </c>
      <c r="F1253" s="49">
        <v>0</v>
      </c>
      <c r="G1253" s="54">
        <v>-1.81</v>
      </c>
      <c r="H1253" s="56">
        <f t="shared" si="57"/>
        <v>0</v>
      </c>
      <c r="I1253" s="57">
        <f t="shared" si="58"/>
        <v>0</v>
      </c>
      <c r="J1253" s="56">
        <f t="shared" si="59"/>
        <v>0</v>
      </c>
    </row>
    <row r="1254" spans="1:10" ht="18">
      <c r="A1254" s="49">
        <v>6133</v>
      </c>
      <c r="B1254" s="49" t="s">
        <v>1027</v>
      </c>
      <c r="D1254" s="49">
        <v>19.803999999999998</v>
      </c>
      <c r="E1254" s="49">
        <v>19.803999999999998</v>
      </c>
      <c r="F1254" s="49">
        <v>19.803999999999998</v>
      </c>
      <c r="G1254" s="54">
        <v>0.09</v>
      </c>
      <c r="H1254" s="56">
        <f t="shared" si="57"/>
        <v>1.7823599999999997</v>
      </c>
      <c r="I1254" s="57">
        <f t="shared" si="58"/>
        <v>1.7823599999999997</v>
      </c>
      <c r="J1254" s="56">
        <f t="shared" si="59"/>
        <v>1.7823599999999997</v>
      </c>
    </row>
    <row r="1255" spans="1:10" ht="18">
      <c r="A1255" s="49">
        <v>6134</v>
      </c>
      <c r="B1255" s="49" t="s">
        <v>1735</v>
      </c>
      <c r="D1255" s="49">
        <v>12.042000000000002</v>
      </c>
      <c r="E1255" s="49">
        <v>12.042000000000002</v>
      </c>
      <c r="F1255" s="49">
        <v>12.042000000000002</v>
      </c>
      <c r="G1255" s="54">
        <v>-0.67</v>
      </c>
      <c r="H1255" s="56">
        <f t="shared" si="57"/>
        <v>-8.0681400000000014</v>
      </c>
      <c r="I1255" s="57">
        <f t="shared" si="58"/>
        <v>-8.0681400000000014</v>
      </c>
      <c r="J1255" s="56">
        <f t="shared" si="59"/>
        <v>-8.0681400000000014</v>
      </c>
    </row>
    <row r="1256" spans="1:10" ht="18">
      <c r="A1256" s="49">
        <v>6136</v>
      </c>
      <c r="B1256" s="49" t="s">
        <v>1028</v>
      </c>
      <c r="D1256" s="49">
        <v>8.516</v>
      </c>
      <c r="E1256" s="49">
        <v>28.042000000000002</v>
      </c>
      <c r="F1256" s="49">
        <v>18.279</v>
      </c>
      <c r="G1256" s="54">
        <v>0.9</v>
      </c>
      <c r="H1256" s="56">
        <f t="shared" si="57"/>
        <v>7.6644000000000005</v>
      </c>
      <c r="I1256" s="57">
        <f t="shared" si="58"/>
        <v>16.4511</v>
      </c>
      <c r="J1256" s="56">
        <f t="shared" si="59"/>
        <v>25.237800000000004</v>
      </c>
    </row>
    <row r="1257" spans="1:10" ht="18">
      <c r="A1257" s="49">
        <v>6138</v>
      </c>
      <c r="B1257" s="49" t="s">
        <v>1736</v>
      </c>
      <c r="D1257" s="49">
        <v>10.504000000000001</v>
      </c>
      <c r="E1257" s="49">
        <v>26.387999999999998</v>
      </c>
      <c r="F1257" s="49">
        <v>18.445999999999998</v>
      </c>
      <c r="G1257" s="54">
        <v>7</v>
      </c>
      <c r="H1257" s="56">
        <f t="shared" si="57"/>
        <v>73.528000000000006</v>
      </c>
      <c r="I1257" s="57">
        <f t="shared" si="58"/>
        <v>129.12199999999999</v>
      </c>
      <c r="J1257" s="56">
        <f t="shared" si="59"/>
        <v>184.71599999999998</v>
      </c>
    </row>
    <row r="1258" spans="1:10" ht="18">
      <c r="A1258" s="49">
        <v>6139</v>
      </c>
      <c r="B1258" s="49" t="s">
        <v>1029</v>
      </c>
      <c r="D1258" s="49">
        <v>7.8680000000000003</v>
      </c>
      <c r="E1258" s="49">
        <v>23.262</v>
      </c>
      <c r="F1258" s="49">
        <v>15.565000000000001</v>
      </c>
      <c r="G1258" s="54">
        <v>12.81</v>
      </c>
      <c r="H1258" s="56">
        <f t="shared" si="57"/>
        <v>100.78908000000001</v>
      </c>
      <c r="I1258" s="57">
        <f t="shared" si="58"/>
        <v>199.38765000000004</v>
      </c>
      <c r="J1258" s="56">
        <f t="shared" si="59"/>
        <v>297.98622</v>
      </c>
    </row>
    <row r="1259" spans="1:10" ht="18">
      <c r="A1259" s="49">
        <v>6140</v>
      </c>
      <c r="B1259" s="49" t="s">
        <v>1737</v>
      </c>
      <c r="D1259" s="49">
        <v>8.6560000000000006</v>
      </c>
      <c r="E1259" s="49">
        <v>12.2</v>
      </c>
      <c r="F1259" s="49">
        <v>10.428000000000001</v>
      </c>
      <c r="G1259" s="54">
        <v>0.11</v>
      </c>
      <c r="H1259" s="56">
        <f t="shared" si="57"/>
        <v>0.95216000000000012</v>
      </c>
      <c r="I1259" s="57">
        <f t="shared" si="58"/>
        <v>1.1470800000000001</v>
      </c>
      <c r="J1259" s="56">
        <f t="shared" si="59"/>
        <v>1.3419999999999999</v>
      </c>
    </row>
    <row r="1260" spans="1:10" ht="18">
      <c r="A1260" s="49">
        <v>6141</v>
      </c>
      <c r="B1260" s="49" t="s">
        <v>1030</v>
      </c>
      <c r="D1260" s="49">
        <v>7.9539999999999988</v>
      </c>
      <c r="E1260" s="49">
        <v>19.943999999999999</v>
      </c>
      <c r="F1260" s="49">
        <v>13.948999999999998</v>
      </c>
      <c r="G1260" s="54">
        <v>-3.76</v>
      </c>
      <c r="H1260" s="56">
        <f t="shared" si="57"/>
        <v>-29.907039999999995</v>
      </c>
      <c r="I1260" s="57">
        <f t="shared" si="58"/>
        <v>-52.448239999999991</v>
      </c>
      <c r="J1260" s="56">
        <f t="shared" si="59"/>
        <v>-74.989439999999988</v>
      </c>
    </row>
    <row r="1261" spans="1:10" ht="18">
      <c r="A1261" s="49">
        <v>6142</v>
      </c>
      <c r="B1261" s="49" t="s">
        <v>1031</v>
      </c>
      <c r="D1261" s="49">
        <v>9.2660000000000018</v>
      </c>
      <c r="E1261" s="49">
        <v>13.904</v>
      </c>
      <c r="F1261" s="49">
        <v>11.585000000000001</v>
      </c>
      <c r="G1261" s="54">
        <v>-0.11</v>
      </c>
      <c r="H1261" s="56">
        <f t="shared" si="57"/>
        <v>-1.0192600000000003</v>
      </c>
      <c r="I1261" s="57">
        <f t="shared" si="58"/>
        <v>-1.2743500000000001</v>
      </c>
      <c r="J1261" s="56">
        <f t="shared" si="59"/>
        <v>-1.5294399999999999</v>
      </c>
    </row>
    <row r="1262" spans="1:10" ht="18">
      <c r="A1262" s="49">
        <v>6143</v>
      </c>
      <c r="B1262" s="49" t="s">
        <v>1738</v>
      </c>
      <c r="D1262" s="49">
        <v>8.6479999999999997</v>
      </c>
      <c r="E1262" s="49">
        <v>18.45</v>
      </c>
      <c r="F1262" s="49">
        <v>13.548999999999999</v>
      </c>
      <c r="G1262" s="54">
        <v>4.3099999999999996</v>
      </c>
      <c r="H1262" s="56">
        <f t="shared" si="57"/>
        <v>37.272879999999994</v>
      </c>
      <c r="I1262" s="57">
        <f t="shared" si="58"/>
        <v>58.39618999999999</v>
      </c>
      <c r="J1262" s="56">
        <f t="shared" si="59"/>
        <v>79.519499999999994</v>
      </c>
    </row>
    <row r="1263" spans="1:10" ht="18">
      <c r="A1263" s="49">
        <v>6144</v>
      </c>
      <c r="B1263" s="49" t="s">
        <v>1739</v>
      </c>
      <c r="D1263" s="49">
        <v>0</v>
      </c>
      <c r="E1263" s="49">
        <v>0</v>
      </c>
      <c r="F1263" s="49">
        <v>0</v>
      </c>
      <c r="G1263" s="54">
        <v>-0.48</v>
      </c>
      <c r="H1263" s="56">
        <f t="shared" si="57"/>
        <v>0</v>
      </c>
      <c r="I1263" s="57">
        <f t="shared" si="58"/>
        <v>0</v>
      </c>
      <c r="J1263" s="56">
        <f t="shared" si="59"/>
        <v>0</v>
      </c>
    </row>
    <row r="1264" spans="1:10" ht="18">
      <c r="A1264" s="49">
        <v>6146</v>
      </c>
      <c r="B1264" s="49" t="s">
        <v>1740</v>
      </c>
      <c r="D1264" s="49">
        <v>10.8</v>
      </c>
      <c r="E1264" s="49">
        <v>27.890000000000004</v>
      </c>
      <c r="F1264" s="49">
        <v>19.345000000000002</v>
      </c>
      <c r="G1264" s="54">
        <v>14.12</v>
      </c>
      <c r="H1264" s="56">
        <f t="shared" si="57"/>
        <v>152.49600000000001</v>
      </c>
      <c r="I1264" s="57">
        <f t="shared" si="58"/>
        <v>273.15140000000002</v>
      </c>
      <c r="J1264" s="56">
        <f t="shared" si="59"/>
        <v>393.80680000000001</v>
      </c>
    </row>
    <row r="1265" spans="1:10" ht="18">
      <c r="A1265" s="49">
        <v>6147</v>
      </c>
      <c r="B1265" s="49" t="s">
        <v>1741</v>
      </c>
      <c r="D1265" s="49">
        <v>7.3819999999999997</v>
      </c>
      <c r="E1265" s="49">
        <v>16.336000000000002</v>
      </c>
      <c r="F1265" s="49">
        <v>11.859000000000002</v>
      </c>
      <c r="G1265" s="54">
        <v>5.41</v>
      </c>
      <c r="H1265" s="56">
        <f t="shared" si="57"/>
        <v>39.936619999999998</v>
      </c>
      <c r="I1265" s="57">
        <f t="shared" si="58"/>
        <v>64.157190000000014</v>
      </c>
      <c r="J1265" s="56">
        <f t="shared" si="59"/>
        <v>88.377760000000009</v>
      </c>
    </row>
    <row r="1266" spans="1:10" ht="18">
      <c r="A1266" s="49">
        <v>6148</v>
      </c>
      <c r="B1266" s="49" t="s">
        <v>1742</v>
      </c>
      <c r="D1266" s="49">
        <v>13.939999999999998</v>
      </c>
      <c r="E1266" s="49">
        <v>20.984000000000002</v>
      </c>
      <c r="F1266" s="49">
        <v>17.462</v>
      </c>
      <c r="G1266" s="54">
        <v>1.64</v>
      </c>
      <c r="H1266" s="56">
        <f t="shared" si="57"/>
        <v>22.861599999999996</v>
      </c>
      <c r="I1266" s="57">
        <f t="shared" si="58"/>
        <v>28.63768</v>
      </c>
      <c r="J1266" s="56">
        <f t="shared" si="59"/>
        <v>34.413760000000003</v>
      </c>
    </row>
    <row r="1267" spans="1:10" ht="18">
      <c r="A1267" s="49">
        <v>6150</v>
      </c>
      <c r="B1267" s="49" t="s">
        <v>1743</v>
      </c>
      <c r="D1267" s="49">
        <v>8.2099999999999991</v>
      </c>
      <c r="E1267" s="49">
        <v>17.119999999999997</v>
      </c>
      <c r="F1267" s="49">
        <v>12.664999999999999</v>
      </c>
      <c r="G1267" s="54">
        <v>-2.84</v>
      </c>
      <c r="H1267" s="56">
        <f t="shared" si="57"/>
        <v>-23.316399999999994</v>
      </c>
      <c r="I1267" s="57">
        <f t="shared" si="58"/>
        <v>-35.968599999999995</v>
      </c>
      <c r="J1267" s="56">
        <f t="shared" si="59"/>
        <v>-48.620799999999988</v>
      </c>
    </row>
    <row r="1268" spans="1:10" ht="18">
      <c r="A1268" s="49">
        <v>6151</v>
      </c>
      <c r="B1268" s="49" t="s">
        <v>1744</v>
      </c>
      <c r="D1268" s="49">
        <v>9.2639999999999993</v>
      </c>
      <c r="E1268" s="49">
        <v>20.832000000000001</v>
      </c>
      <c r="F1268" s="49">
        <v>15.048</v>
      </c>
      <c r="G1268" s="54">
        <v>1.55</v>
      </c>
      <c r="H1268" s="56">
        <f t="shared" si="57"/>
        <v>14.3592</v>
      </c>
      <c r="I1268" s="57">
        <f t="shared" si="58"/>
        <v>23.324400000000001</v>
      </c>
      <c r="J1268" s="56">
        <f t="shared" si="59"/>
        <v>32.2896</v>
      </c>
    </row>
    <row r="1269" spans="1:10" ht="18">
      <c r="A1269" s="49">
        <v>6152</v>
      </c>
      <c r="B1269" s="49" t="s">
        <v>1032</v>
      </c>
      <c r="D1269" s="49">
        <v>9.6859999999999999</v>
      </c>
      <c r="E1269" s="49">
        <v>13.004</v>
      </c>
      <c r="F1269" s="49">
        <v>11.344999999999999</v>
      </c>
      <c r="G1269" s="54">
        <v>-0.12</v>
      </c>
      <c r="H1269" s="56">
        <f t="shared" si="57"/>
        <v>-1.16232</v>
      </c>
      <c r="I1269" s="57">
        <f t="shared" si="58"/>
        <v>-1.3613999999999997</v>
      </c>
      <c r="J1269" s="56">
        <f t="shared" si="59"/>
        <v>-1.5604799999999999</v>
      </c>
    </row>
    <row r="1270" spans="1:10" ht="18">
      <c r="A1270" s="49">
        <v>6153</v>
      </c>
      <c r="B1270" s="49" t="s">
        <v>1033</v>
      </c>
      <c r="D1270" s="49">
        <v>13.648000000000001</v>
      </c>
      <c r="E1270" s="49">
        <v>23.155999999999999</v>
      </c>
      <c r="F1270" s="49">
        <v>18.402000000000001</v>
      </c>
      <c r="G1270" s="54">
        <v>-6.04</v>
      </c>
      <c r="H1270" s="56">
        <f t="shared" si="57"/>
        <v>-82.433920000000015</v>
      </c>
      <c r="I1270" s="57">
        <f t="shared" si="58"/>
        <v>-111.14808000000001</v>
      </c>
      <c r="J1270" s="56">
        <f t="shared" si="59"/>
        <v>-139.86223999999999</v>
      </c>
    </row>
    <row r="1271" spans="1:10" ht="18">
      <c r="A1271" s="49">
        <v>6154</v>
      </c>
      <c r="B1271" s="49" t="s">
        <v>1745</v>
      </c>
      <c r="D1271" s="49">
        <v>9.0860000000000021</v>
      </c>
      <c r="E1271" s="49">
        <v>24.295999999999999</v>
      </c>
      <c r="F1271" s="49">
        <v>16.691000000000003</v>
      </c>
      <c r="G1271" s="54">
        <v>0.73</v>
      </c>
      <c r="H1271" s="56">
        <f t="shared" si="57"/>
        <v>6.6327800000000012</v>
      </c>
      <c r="I1271" s="57">
        <f t="shared" si="58"/>
        <v>12.184430000000001</v>
      </c>
      <c r="J1271" s="56">
        <f t="shared" si="59"/>
        <v>17.736079999999998</v>
      </c>
    </row>
    <row r="1272" spans="1:10" ht="18">
      <c r="A1272" s="49">
        <v>6155</v>
      </c>
      <c r="B1272" s="49" t="s">
        <v>1034</v>
      </c>
      <c r="D1272" s="49">
        <v>10.370000000000001</v>
      </c>
      <c r="E1272" s="49">
        <v>26.183999999999997</v>
      </c>
      <c r="F1272" s="49">
        <v>18.277000000000001</v>
      </c>
      <c r="G1272" s="54">
        <v>0.85</v>
      </c>
      <c r="H1272" s="56">
        <f t="shared" si="57"/>
        <v>8.8145000000000007</v>
      </c>
      <c r="I1272" s="57">
        <f t="shared" si="58"/>
        <v>15.535450000000001</v>
      </c>
      <c r="J1272" s="56">
        <f t="shared" si="59"/>
        <v>22.256399999999996</v>
      </c>
    </row>
    <row r="1273" spans="1:10" ht="18">
      <c r="A1273" s="49">
        <v>6156</v>
      </c>
      <c r="B1273" s="49" t="s">
        <v>1746</v>
      </c>
      <c r="D1273" s="49">
        <v>9.1900000000000013</v>
      </c>
      <c r="E1273" s="49">
        <v>17.582000000000001</v>
      </c>
      <c r="F1273" s="49">
        <v>13.386000000000001</v>
      </c>
      <c r="G1273" s="54">
        <v>1.95</v>
      </c>
      <c r="H1273" s="56">
        <f t="shared" si="57"/>
        <v>17.920500000000001</v>
      </c>
      <c r="I1273" s="57">
        <f t="shared" si="58"/>
        <v>26.102700000000002</v>
      </c>
      <c r="J1273" s="56">
        <f t="shared" si="59"/>
        <v>34.2849</v>
      </c>
    </row>
    <row r="1274" spans="1:10" ht="18">
      <c r="A1274" s="49">
        <v>6158</v>
      </c>
      <c r="B1274" s="49" t="s">
        <v>1747</v>
      </c>
      <c r="D1274" s="49">
        <v>8.3879999999999999</v>
      </c>
      <c r="E1274" s="49">
        <v>20.696000000000002</v>
      </c>
      <c r="F1274" s="49">
        <v>14.542000000000002</v>
      </c>
      <c r="G1274" s="54">
        <v>1.43</v>
      </c>
      <c r="H1274" s="56">
        <f t="shared" si="57"/>
        <v>11.99484</v>
      </c>
      <c r="I1274" s="57">
        <f t="shared" si="58"/>
        <v>20.795060000000003</v>
      </c>
      <c r="J1274" s="56">
        <f t="shared" si="59"/>
        <v>29.595280000000002</v>
      </c>
    </row>
    <row r="1275" spans="1:10" ht="18">
      <c r="A1275" s="49">
        <v>6160</v>
      </c>
      <c r="B1275" s="49" t="s">
        <v>1748</v>
      </c>
      <c r="D1275" s="49">
        <v>12.146000000000001</v>
      </c>
      <c r="E1275" s="49">
        <v>23.707999999999998</v>
      </c>
      <c r="F1275" s="49">
        <v>17.927</v>
      </c>
      <c r="G1275" s="54">
        <v>-0.06</v>
      </c>
      <c r="H1275" s="56">
        <f t="shared" si="57"/>
        <v>-0.72876000000000007</v>
      </c>
      <c r="I1275" s="57">
        <f t="shared" si="58"/>
        <v>-1.07562</v>
      </c>
      <c r="J1275" s="56">
        <f t="shared" si="59"/>
        <v>-1.4224799999999997</v>
      </c>
    </row>
    <row r="1276" spans="1:10" ht="18">
      <c r="A1276" s="49">
        <v>6161</v>
      </c>
      <c r="B1276" s="49" t="s">
        <v>1749</v>
      </c>
      <c r="D1276" s="49">
        <v>7.8520000000000012</v>
      </c>
      <c r="E1276" s="49">
        <v>15.465999999999999</v>
      </c>
      <c r="F1276" s="49">
        <v>11.659000000000001</v>
      </c>
      <c r="G1276" s="54">
        <v>2.2999999999999998</v>
      </c>
      <c r="H1276" s="56">
        <f t="shared" si="57"/>
        <v>18.0596</v>
      </c>
      <c r="I1276" s="57">
        <f t="shared" si="58"/>
        <v>26.8157</v>
      </c>
      <c r="J1276" s="56">
        <f t="shared" si="59"/>
        <v>35.571799999999996</v>
      </c>
    </row>
    <row r="1277" spans="1:10" ht="18">
      <c r="A1277" s="49">
        <v>6163</v>
      </c>
      <c r="B1277" s="49" t="s">
        <v>1750</v>
      </c>
      <c r="D1277" s="49">
        <v>8.782</v>
      </c>
      <c r="E1277" s="49">
        <v>28.340000000000003</v>
      </c>
      <c r="F1277" s="49">
        <v>18.561</v>
      </c>
      <c r="G1277" s="54">
        <v>0.42</v>
      </c>
      <c r="H1277" s="56">
        <f t="shared" si="57"/>
        <v>3.6884399999999999</v>
      </c>
      <c r="I1277" s="57">
        <f t="shared" si="58"/>
        <v>7.7956199999999995</v>
      </c>
      <c r="J1277" s="56">
        <f t="shared" si="59"/>
        <v>11.902800000000001</v>
      </c>
    </row>
    <row r="1278" spans="1:10" ht="18">
      <c r="A1278" s="49">
        <v>6164</v>
      </c>
      <c r="B1278" s="49" t="s">
        <v>1035</v>
      </c>
      <c r="D1278" s="49">
        <v>13.482000000000003</v>
      </c>
      <c r="E1278" s="49">
        <v>30.593999999999994</v>
      </c>
      <c r="F1278" s="49">
        <v>22.037999999999997</v>
      </c>
      <c r="G1278" s="54">
        <v>-0.24</v>
      </c>
      <c r="H1278" s="56">
        <f t="shared" si="57"/>
        <v>-3.2356800000000008</v>
      </c>
      <c r="I1278" s="57">
        <f t="shared" si="58"/>
        <v>-5.2891199999999987</v>
      </c>
      <c r="J1278" s="56">
        <f t="shared" si="59"/>
        <v>-7.342559999999998</v>
      </c>
    </row>
    <row r="1279" spans="1:10" ht="18">
      <c r="A1279" s="49">
        <v>6165</v>
      </c>
      <c r="B1279" s="49" t="s">
        <v>1036</v>
      </c>
      <c r="D1279" s="49">
        <v>0</v>
      </c>
      <c r="E1279" s="49">
        <v>0</v>
      </c>
      <c r="F1279" s="49">
        <v>0</v>
      </c>
      <c r="G1279" s="54">
        <v>0.26</v>
      </c>
      <c r="H1279" s="56">
        <f t="shared" si="57"/>
        <v>0</v>
      </c>
      <c r="I1279" s="57">
        <f t="shared" si="58"/>
        <v>0</v>
      </c>
      <c r="J1279" s="56">
        <f t="shared" si="59"/>
        <v>0</v>
      </c>
    </row>
    <row r="1280" spans="1:10" ht="18">
      <c r="A1280" s="49">
        <v>6166</v>
      </c>
      <c r="B1280" s="49" t="s">
        <v>1037</v>
      </c>
      <c r="D1280" s="49">
        <v>10.430000000000001</v>
      </c>
      <c r="E1280" s="49">
        <v>29.548000000000002</v>
      </c>
      <c r="F1280" s="49">
        <v>19.989000000000001</v>
      </c>
      <c r="G1280" s="54">
        <v>1.51</v>
      </c>
      <c r="H1280" s="56">
        <f t="shared" si="57"/>
        <v>15.749300000000002</v>
      </c>
      <c r="I1280" s="57">
        <f t="shared" si="58"/>
        <v>30.183390000000003</v>
      </c>
      <c r="J1280" s="56">
        <f t="shared" si="59"/>
        <v>44.61748</v>
      </c>
    </row>
    <row r="1281" spans="1:10" ht="18">
      <c r="A1281" s="49">
        <v>6167</v>
      </c>
      <c r="B1281" s="49" t="s">
        <v>1751</v>
      </c>
      <c r="D1281" s="49">
        <v>5.9359999999999999</v>
      </c>
      <c r="E1281" s="49">
        <v>10.616</v>
      </c>
      <c r="F1281" s="49">
        <v>8.2759999999999998</v>
      </c>
      <c r="G1281" s="54">
        <v>1.25</v>
      </c>
      <c r="H1281" s="56">
        <f t="shared" si="57"/>
        <v>7.42</v>
      </c>
      <c r="I1281" s="57">
        <f t="shared" si="58"/>
        <v>10.344999999999999</v>
      </c>
      <c r="J1281" s="56">
        <f t="shared" si="59"/>
        <v>13.27</v>
      </c>
    </row>
    <row r="1282" spans="1:10" ht="18">
      <c r="A1282" s="49">
        <v>6168</v>
      </c>
      <c r="B1282" s="49" t="s">
        <v>1038</v>
      </c>
      <c r="D1282" s="49">
        <v>10.882</v>
      </c>
      <c r="E1282" s="49">
        <v>24.1</v>
      </c>
      <c r="F1282" s="49">
        <v>17.491</v>
      </c>
      <c r="G1282" s="54">
        <v>0.52</v>
      </c>
      <c r="H1282" s="56">
        <f t="shared" si="57"/>
        <v>5.6586400000000001</v>
      </c>
      <c r="I1282" s="57">
        <f t="shared" si="58"/>
        <v>9.095320000000001</v>
      </c>
      <c r="J1282" s="56">
        <f t="shared" si="59"/>
        <v>12.532000000000002</v>
      </c>
    </row>
    <row r="1283" spans="1:10" ht="18">
      <c r="A1283" s="49">
        <v>6169</v>
      </c>
      <c r="B1283" s="49" t="s">
        <v>1752</v>
      </c>
      <c r="D1283" s="49">
        <v>0</v>
      </c>
      <c r="E1283" s="49">
        <v>0</v>
      </c>
      <c r="F1283" s="49">
        <v>0</v>
      </c>
      <c r="G1283" s="54">
        <v>-0.69</v>
      </c>
      <c r="H1283" s="56">
        <f t="shared" ref="H1283:H1346" si="60">G1283*D1283</f>
        <v>0</v>
      </c>
      <c r="I1283" s="57">
        <f t="shared" ref="I1283:I1346" si="61">G1283*F1283</f>
        <v>0</v>
      </c>
      <c r="J1283" s="56">
        <f t="shared" ref="J1283:J1346" si="62">G1283*E1283</f>
        <v>0</v>
      </c>
    </row>
    <row r="1284" spans="1:10" ht="18">
      <c r="A1284" s="49">
        <v>6170</v>
      </c>
      <c r="B1284" s="49" t="s">
        <v>1753</v>
      </c>
      <c r="D1284" s="49">
        <v>12.45</v>
      </c>
      <c r="E1284" s="49">
        <v>26.038</v>
      </c>
      <c r="F1284" s="49">
        <v>19.244</v>
      </c>
      <c r="G1284" s="54">
        <v>2.74</v>
      </c>
      <c r="H1284" s="56">
        <f t="shared" si="60"/>
        <v>34.113</v>
      </c>
      <c r="I1284" s="57">
        <f t="shared" si="61"/>
        <v>52.728560000000002</v>
      </c>
      <c r="J1284" s="56">
        <f t="shared" si="62"/>
        <v>71.344120000000004</v>
      </c>
    </row>
    <row r="1285" spans="1:10" ht="18">
      <c r="A1285" s="49">
        <v>6171</v>
      </c>
      <c r="B1285" s="49" t="s">
        <v>1754</v>
      </c>
      <c r="D1285" s="49">
        <v>11.347999999999999</v>
      </c>
      <c r="E1285" s="49">
        <v>11.347999999999999</v>
      </c>
      <c r="F1285" s="49">
        <v>11.347999999999999</v>
      </c>
      <c r="G1285" s="54">
        <v>2.48</v>
      </c>
      <c r="H1285" s="56">
        <f t="shared" si="60"/>
        <v>28.143039999999996</v>
      </c>
      <c r="I1285" s="57">
        <f t="shared" si="61"/>
        <v>28.143039999999996</v>
      </c>
      <c r="J1285" s="56">
        <f t="shared" si="62"/>
        <v>28.143039999999996</v>
      </c>
    </row>
    <row r="1286" spans="1:10" ht="18">
      <c r="A1286" s="49">
        <v>6173</v>
      </c>
      <c r="B1286" s="49" t="s">
        <v>1755</v>
      </c>
      <c r="D1286" s="49">
        <v>8.5659999999999989</v>
      </c>
      <c r="E1286" s="49">
        <v>20.622</v>
      </c>
      <c r="F1286" s="49">
        <v>14.593999999999999</v>
      </c>
      <c r="G1286" s="54">
        <v>2.64</v>
      </c>
      <c r="H1286" s="56">
        <f t="shared" si="60"/>
        <v>22.614239999999999</v>
      </c>
      <c r="I1286" s="57">
        <f t="shared" si="61"/>
        <v>38.52816</v>
      </c>
      <c r="J1286" s="56">
        <f t="shared" si="62"/>
        <v>54.442080000000004</v>
      </c>
    </row>
    <row r="1287" spans="1:10" ht="18">
      <c r="A1287" s="49">
        <v>6174</v>
      </c>
      <c r="B1287" s="49" t="s">
        <v>1756</v>
      </c>
      <c r="D1287" s="49">
        <v>10.081999999999999</v>
      </c>
      <c r="E1287" s="49">
        <v>32.260000000000005</v>
      </c>
      <c r="F1287" s="49">
        <v>21.171000000000003</v>
      </c>
      <c r="G1287" s="54">
        <v>0.28999999999999998</v>
      </c>
      <c r="H1287" s="56">
        <f t="shared" si="60"/>
        <v>2.9237799999999994</v>
      </c>
      <c r="I1287" s="57">
        <f t="shared" si="61"/>
        <v>6.1395900000000001</v>
      </c>
      <c r="J1287" s="56">
        <f t="shared" si="62"/>
        <v>9.3554000000000013</v>
      </c>
    </row>
    <row r="1288" spans="1:10" ht="18">
      <c r="A1288" s="49">
        <v>6175</v>
      </c>
      <c r="B1288" s="49" t="s">
        <v>1757</v>
      </c>
      <c r="D1288" s="49">
        <v>11.459999999999999</v>
      </c>
      <c r="E1288" s="49">
        <v>24.56</v>
      </c>
      <c r="F1288" s="49">
        <v>18.009999999999998</v>
      </c>
      <c r="G1288" s="54">
        <v>2.08</v>
      </c>
      <c r="H1288" s="56">
        <f t="shared" si="60"/>
        <v>23.8368</v>
      </c>
      <c r="I1288" s="57">
        <f t="shared" si="61"/>
        <v>37.460799999999999</v>
      </c>
      <c r="J1288" s="56">
        <f t="shared" si="62"/>
        <v>51.084800000000001</v>
      </c>
    </row>
    <row r="1289" spans="1:10" ht="18">
      <c r="A1289" s="49">
        <v>6176</v>
      </c>
      <c r="B1289" s="49" t="s">
        <v>1039</v>
      </c>
      <c r="D1289" s="49">
        <v>7.2640000000000002</v>
      </c>
      <c r="E1289" s="49">
        <v>13.534000000000001</v>
      </c>
      <c r="F1289" s="49">
        <v>10.399000000000001</v>
      </c>
      <c r="G1289" s="54">
        <v>11.35</v>
      </c>
      <c r="H1289" s="56">
        <f t="shared" si="60"/>
        <v>82.446399999999997</v>
      </c>
      <c r="I1289" s="57">
        <f t="shared" si="61"/>
        <v>118.02865000000001</v>
      </c>
      <c r="J1289" s="56">
        <f t="shared" si="62"/>
        <v>153.61090000000002</v>
      </c>
    </row>
    <row r="1290" spans="1:10" ht="18">
      <c r="A1290" s="49">
        <v>6177</v>
      </c>
      <c r="B1290" s="49" t="s">
        <v>1040</v>
      </c>
      <c r="D1290" s="49">
        <v>4.524</v>
      </c>
      <c r="E1290" s="49">
        <v>28.868000000000002</v>
      </c>
      <c r="F1290" s="49">
        <v>16.696000000000002</v>
      </c>
      <c r="G1290" s="54">
        <v>5.05</v>
      </c>
      <c r="H1290" s="56">
        <f t="shared" si="60"/>
        <v>22.8462</v>
      </c>
      <c r="I1290" s="57">
        <f t="shared" si="61"/>
        <v>84.314800000000005</v>
      </c>
      <c r="J1290" s="56">
        <f t="shared" si="62"/>
        <v>145.7834</v>
      </c>
    </row>
    <row r="1291" spans="1:10" ht="18">
      <c r="A1291" s="49">
        <v>6179</v>
      </c>
      <c r="B1291" s="49" t="s">
        <v>1758</v>
      </c>
      <c r="D1291" s="49">
        <v>15.13</v>
      </c>
      <c r="E1291" s="49">
        <v>17.544</v>
      </c>
      <c r="F1291" s="49">
        <v>16.337</v>
      </c>
      <c r="G1291" s="54">
        <v>0.5</v>
      </c>
      <c r="H1291" s="56">
        <f t="shared" si="60"/>
        <v>7.5650000000000004</v>
      </c>
      <c r="I1291" s="57">
        <f t="shared" si="61"/>
        <v>8.1684999999999999</v>
      </c>
      <c r="J1291" s="56">
        <f t="shared" si="62"/>
        <v>8.7720000000000002</v>
      </c>
    </row>
    <row r="1292" spans="1:10" ht="18">
      <c r="A1292" s="49">
        <v>6180</v>
      </c>
      <c r="B1292" s="49" t="s">
        <v>1759</v>
      </c>
      <c r="D1292" s="49">
        <v>9.6580000000000013</v>
      </c>
      <c r="E1292" s="49">
        <v>25.001999999999999</v>
      </c>
      <c r="F1292" s="49">
        <v>17.329999999999998</v>
      </c>
      <c r="G1292" s="54">
        <v>3.28</v>
      </c>
      <c r="H1292" s="56">
        <f t="shared" si="60"/>
        <v>31.678240000000002</v>
      </c>
      <c r="I1292" s="57">
        <f t="shared" si="61"/>
        <v>56.842399999999991</v>
      </c>
      <c r="J1292" s="56">
        <f t="shared" si="62"/>
        <v>82.006559999999993</v>
      </c>
    </row>
    <row r="1293" spans="1:10" ht="18">
      <c r="A1293" s="49">
        <v>6182</v>
      </c>
      <c r="B1293" s="49" t="s">
        <v>1760</v>
      </c>
      <c r="D1293" s="49">
        <v>10.241999999999999</v>
      </c>
      <c r="E1293" s="49">
        <v>19.592000000000002</v>
      </c>
      <c r="F1293" s="49">
        <v>14.917000000000002</v>
      </c>
      <c r="G1293" s="54">
        <v>1.05</v>
      </c>
      <c r="H1293" s="56">
        <f t="shared" si="60"/>
        <v>10.754099999999999</v>
      </c>
      <c r="I1293" s="57">
        <f t="shared" si="61"/>
        <v>15.662850000000002</v>
      </c>
      <c r="J1293" s="56">
        <f t="shared" si="62"/>
        <v>20.571600000000004</v>
      </c>
    </row>
    <row r="1294" spans="1:10" ht="18">
      <c r="A1294" s="49">
        <v>6183</v>
      </c>
      <c r="B1294" s="49" t="s">
        <v>1041</v>
      </c>
      <c r="D1294" s="49">
        <v>16.266000000000002</v>
      </c>
      <c r="E1294" s="49">
        <v>22.690000000000005</v>
      </c>
      <c r="F1294" s="49">
        <v>19.478000000000002</v>
      </c>
      <c r="G1294" s="54">
        <v>3.2</v>
      </c>
      <c r="H1294" s="56">
        <f t="shared" si="60"/>
        <v>52.051200000000009</v>
      </c>
      <c r="I1294" s="57">
        <f t="shared" si="61"/>
        <v>62.329600000000006</v>
      </c>
      <c r="J1294" s="56">
        <f t="shared" si="62"/>
        <v>72.608000000000018</v>
      </c>
    </row>
    <row r="1295" spans="1:10" ht="18">
      <c r="A1295" s="49">
        <v>6184</v>
      </c>
      <c r="B1295" s="49" t="s">
        <v>1042</v>
      </c>
      <c r="D1295" s="49">
        <v>11.447999999999999</v>
      </c>
      <c r="E1295" s="49">
        <v>17.744</v>
      </c>
      <c r="F1295" s="49">
        <v>14.596</v>
      </c>
      <c r="G1295" s="54">
        <v>3.52</v>
      </c>
      <c r="H1295" s="56">
        <f t="shared" si="60"/>
        <v>40.296959999999999</v>
      </c>
      <c r="I1295" s="57">
        <f t="shared" si="61"/>
        <v>51.377920000000003</v>
      </c>
      <c r="J1295" s="56">
        <f t="shared" si="62"/>
        <v>62.458880000000001</v>
      </c>
    </row>
    <row r="1296" spans="1:10" ht="18">
      <c r="A1296" s="49">
        <v>6185</v>
      </c>
      <c r="B1296" s="49" t="s">
        <v>1761</v>
      </c>
      <c r="D1296" s="49">
        <v>8.6479999999999997</v>
      </c>
      <c r="E1296" s="49">
        <v>22.81</v>
      </c>
      <c r="F1296" s="49">
        <v>15.728999999999999</v>
      </c>
      <c r="G1296" s="54">
        <v>0.66</v>
      </c>
      <c r="H1296" s="56">
        <f t="shared" si="60"/>
        <v>5.7076799999999999</v>
      </c>
      <c r="I1296" s="57">
        <f t="shared" si="61"/>
        <v>10.38114</v>
      </c>
      <c r="J1296" s="56">
        <f t="shared" si="62"/>
        <v>15.054600000000001</v>
      </c>
    </row>
    <row r="1297" spans="1:10" ht="18">
      <c r="A1297" s="49">
        <v>6186</v>
      </c>
      <c r="B1297" s="49" t="s">
        <v>1762</v>
      </c>
      <c r="D1297" s="49">
        <v>4.7840000000000007</v>
      </c>
      <c r="E1297" s="49">
        <v>9.8279999999999994</v>
      </c>
      <c r="F1297" s="49">
        <v>7.306</v>
      </c>
      <c r="G1297" s="54">
        <v>2.97</v>
      </c>
      <c r="H1297" s="56">
        <f t="shared" si="60"/>
        <v>14.208480000000003</v>
      </c>
      <c r="I1297" s="57">
        <f t="shared" si="61"/>
        <v>21.698820000000001</v>
      </c>
      <c r="J1297" s="56">
        <f t="shared" si="62"/>
        <v>29.189160000000001</v>
      </c>
    </row>
    <row r="1298" spans="1:10" ht="18">
      <c r="A1298" s="49">
        <v>6187</v>
      </c>
      <c r="B1298" s="49" t="s">
        <v>1763</v>
      </c>
      <c r="D1298" s="49">
        <v>9.8180000000000014</v>
      </c>
      <c r="E1298" s="49">
        <v>28.265999999999998</v>
      </c>
      <c r="F1298" s="49">
        <v>19.042000000000002</v>
      </c>
      <c r="G1298" s="54">
        <v>1.7</v>
      </c>
      <c r="H1298" s="56">
        <f t="shared" si="60"/>
        <v>16.690600000000003</v>
      </c>
      <c r="I1298" s="57">
        <f t="shared" si="61"/>
        <v>32.371400000000001</v>
      </c>
      <c r="J1298" s="56">
        <f t="shared" si="62"/>
        <v>48.052199999999999</v>
      </c>
    </row>
    <row r="1299" spans="1:10" ht="18">
      <c r="A1299" s="49">
        <v>6188</v>
      </c>
      <c r="B1299" s="49" t="s">
        <v>1764</v>
      </c>
      <c r="D1299" s="49">
        <v>8.6620000000000008</v>
      </c>
      <c r="E1299" s="49">
        <v>21.893999999999998</v>
      </c>
      <c r="F1299" s="49">
        <v>15.277999999999999</v>
      </c>
      <c r="G1299" s="54">
        <v>4</v>
      </c>
      <c r="H1299" s="56">
        <f t="shared" si="60"/>
        <v>34.648000000000003</v>
      </c>
      <c r="I1299" s="57">
        <f t="shared" si="61"/>
        <v>61.111999999999995</v>
      </c>
      <c r="J1299" s="56">
        <f t="shared" si="62"/>
        <v>87.575999999999993</v>
      </c>
    </row>
    <row r="1300" spans="1:10" ht="18">
      <c r="A1300" s="49">
        <v>6189</v>
      </c>
      <c r="B1300" s="49" t="s">
        <v>1043</v>
      </c>
      <c r="D1300" s="49">
        <v>7.8240000000000007</v>
      </c>
      <c r="E1300" s="49">
        <v>13.481999999999999</v>
      </c>
      <c r="F1300" s="49">
        <v>10.653</v>
      </c>
      <c r="G1300" s="54">
        <v>4</v>
      </c>
      <c r="H1300" s="56">
        <f t="shared" si="60"/>
        <v>31.296000000000003</v>
      </c>
      <c r="I1300" s="57">
        <f t="shared" si="61"/>
        <v>42.612000000000002</v>
      </c>
      <c r="J1300" s="56">
        <f t="shared" si="62"/>
        <v>53.927999999999997</v>
      </c>
    </row>
    <row r="1301" spans="1:10" ht="18">
      <c r="A1301" s="49">
        <v>6190</v>
      </c>
      <c r="B1301" s="49" t="s">
        <v>1765</v>
      </c>
      <c r="D1301" s="49">
        <v>9.4400000000000013</v>
      </c>
      <c r="E1301" s="49">
        <v>29.562000000000001</v>
      </c>
      <c r="F1301" s="49">
        <v>19.501000000000001</v>
      </c>
      <c r="G1301" s="54">
        <v>1.46</v>
      </c>
      <c r="H1301" s="56">
        <f t="shared" si="60"/>
        <v>13.782400000000001</v>
      </c>
      <c r="I1301" s="57">
        <f t="shared" si="61"/>
        <v>28.47146</v>
      </c>
      <c r="J1301" s="56">
        <f t="shared" si="62"/>
        <v>43.160519999999998</v>
      </c>
    </row>
    <row r="1302" spans="1:10" ht="18">
      <c r="A1302" s="49">
        <v>6191</v>
      </c>
      <c r="B1302" s="49" t="s">
        <v>1044</v>
      </c>
      <c r="D1302" s="49">
        <v>6.2080000000000002</v>
      </c>
      <c r="E1302" s="49">
        <v>16.399999999999999</v>
      </c>
      <c r="F1302" s="49">
        <v>11.303999999999998</v>
      </c>
      <c r="G1302" s="54">
        <v>6.73</v>
      </c>
      <c r="H1302" s="56">
        <f t="shared" si="60"/>
        <v>41.779840000000007</v>
      </c>
      <c r="I1302" s="57">
        <f t="shared" si="61"/>
        <v>76.075919999999996</v>
      </c>
      <c r="J1302" s="56">
        <f t="shared" si="62"/>
        <v>110.372</v>
      </c>
    </row>
    <row r="1303" spans="1:10" ht="18">
      <c r="A1303" s="49">
        <v>6192</v>
      </c>
      <c r="B1303" s="49" t="s">
        <v>1045</v>
      </c>
      <c r="D1303" s="49">
        <v>8.5659999999999989</v>
      </c>
      <c r="E1303" s="49">
        <v>12.783999999999999</v>
      </c>
      <c r="F1303" s="49">
        <v>10.674999999999999</v>
      </c>
      <c r="G1303" s="54">
        <v>8.17</v>
      </c>
      <c r="H1303" s="56">
        <f t="shared" si="60"/>
        <v>69.984219999999993</v>
      </c>
      <c r="I1303" s="57">
        <f t="shared" si="61"/>
        <v>87.214749999999995</v>
      </c>
      <c r="J1303" s="56">
        <f t="shared" si="62"/>
        <v>104.44528</v>
      </c>
    </row>
    <row r="1304" spans="1:10" ht="18">
      <c r="A1304" s="49">
        <v>6194</v>
      </c>
      <c r="B1304" s="49" t="s">
        <v>1766</v>
      </c>
      <c r="D1304" s="49">
        <v>8.8520000000000003</v>
      </c>
      <c r="E1304" s="49">
        <v>20.803999999999998</v>
      </c>
      <c r="F1304" s="49">
        <v>14.827999999999999</v>
      </c>
      <c r="G1304" s="54">
        <v>2.84</v>
      </c>
      <c r="H1304" s="56">
        <f t="shared" si="60"/>
        <v>25.139679999999998</v>
      </c>
      <c r="I1304" s="57">
        <f t="shared" si="61"/>
        <v>42.111519999999999</v>
      </c>
      <c r="J1304" s="56">
        <f t="shared" si="62"/>
        <v>59.083359999999992</v>
      </c>
    </row>
    <row r="1305" spans="1:10" ht="18">
      <c r="A1305" s="49">
        <v>6195</v>
      </c>
      <c r="B1305" s="49" t="s">
        <v>1767</v>
      </c>
      <c r="D1305" s="49">
        <v>7.4319999999999995</v>
      </c>
      <c r="E1305" s="49">
        <v>16.533999999999999</v>
      </c>
      <c r="F1305" s="49">
        <v>11.982999999999999</v>
      </c>
      <c r="G1305" s="54">
        <v>2.0699999999999998</v>
      </c>
      <c r="H1305" s="56">
        <f t="shared" si="60"/>
        <v>15.384239999999998</v>
      </c>
      <c r="I1305" s="57">
        <f t="shared" si="61"/>
        <v>24.804809999999996</v>
      </c>
      <c r="J1305" s="56">
        <f t="shared" si="62"/>
        <v>34.225379999999994</v>
      </c>
    </row>
    <row r="1306" spans="1:10" ht="18">
      <c r="A1306" s="49">
        <v>6196</v>
      </c>
      <c r="B1306" s="49" t="s">
        <v>1046</v>
      </c>
      <c r="D1306" s="49">
        <v>7.7159999999999993</v>
      </c>
      <c r="E1306" s="49">
        <v>22.442</v>
      </c>
      <c r="F1306" s="49">
        <v>15.079000000000001</v>
      </c>
      <c r="G1306" s="54">
        <v>10.96</v>
      </c>
      <c r="H1306" s="56">
        <f t="shared" si="60"/>
        <v>84.567359999999994</v>
      </c>
      <c r="I1306" s="57">
        <f t="shared" si="61"/>
        <v>165.26584000000003</v>
      </c>
      <c r="J1306" s="56">
        <f t="shared" si="62"/>
        <v>245.96432000000001</v>
      </c>
    </row>
    <row r="1307" spans="1:10" ht="18">
      <c r="A1307" s="49">
        <v>6197</v>
      </c>
      <c r="B1307" s="49" t="s">
        <v>1047</v>
      </c>
      <c r="D1307" s="49">
        <v>12.164000000000001</v>
      </c>
      <c r="E1307" s="49">
        <v>25.618000000000002</v>
      </c>
      <c r="F1307" s="49">
        <v>18.891000000000002</v>
      </c>
      <c r="G1307" s="54">
        <v>5.2</v>
      </c>
      <c r="H1307" s="56">
        <f t="shared" si="60"/>
        <v>63.252800000000008</v>
      </c>
      <c r="I1307" s="57">
        <f t="shared" si="61"/>
        <v>98.233200000000011</v>
      </c>
      <c r="J1307" s="56">
        <f t="shared" si="62"/>
        <v>133.21360000000001</v>
      </c>
    </row>
    <row r="1308" spans="1:10" ht="18">
      <c r="A1308" s="49">
        <v>6198</v>
      </c>
      <c r="B1308" s="49" t="s">
        <v>1768</v>
      </c>
      <c r="D1308" s="49">
        <v>0</v>
      </c>
      <c r="E1308" s="49">
        <v>0</v>
      </c>
      <c r="F1308" s="49">
        <v>0</v>
      </c>
      <c r="G1308" s="54">
        <v>2.37</v>
      </c>
      <c r="H1308" s="56">
        <f t="shared" si="60"/>
        <v>0</v>
      </c>
      <c r="I1308" s="57">
        <f t="shared" si="61"/>
        <v>0</v>
      </c>
      <c r="J1308" s="56">
        <f t="shared" si="62"/>
        <v>0</v>
      </c>
    </row>
    <row r="1309" spans="1:10" ht="18">
      <c r="A1309" s="49">
        <v>6199</v>
      </c>
      <c r="B1309" s="49" t="s">
        <v>1769</v>
      </c>
      <c r="D1309" s="49">
        <v>23.3</v>
      </c>
      <c r="E1309" s="49">
        <v>27.589999999999996</v>
      </c>
      <c r="F1309" s="49">
        <v>25.445</v>
      </c>
      <c r="G1309" s="54">
        <v>0.46</v>
      </c>
      <c r="H1309" s="56">
        <f t="shared" si="60"/>
        <v>10.718</v>
      </c>
      <c r="I1309" s="57">
        <f t="shared" si="61"/>
        <v>11.704700000000001</v>
      </c>
      <c r="J1309" s="56">
        <f t="shared" si="62"/>
        <v>12.691399999999998</v>
      </c>
    </row>
    <row r="1310" spans="1:10" ht="18">
      <c r="A1310" s="49">
        <v>6201</v>
      </c>
      <c r="B1310" s="49" t="s">
        <v>1048</v>
      </c>
      <c r="D1310" s="49">
        <v>9.0860000000000021</v>
      </c>
      <c r="E1310" s="49">
        <v>16.568000000000001</v>
      </c>
      <c r="F1310" s="49">
        <v>12.827000000000002</v>
      </c>
      <c r="G1310" s="54">
        <v>4.63</v>
      </c>
      <c r="H1310" s="56">
        <f t="shared" si="60"/>
        <v>42.068180000000005</v>
      </c>
      <c r="I1310" s="57">
        <f t="shared" si="61"/>
        <v>59.389010000000006</v>
      </c>
      <c r="J1310" s="56">
        <f t="shared" si="62"/>
        <v>76.70984</v>
      </c>
    </row>
    <row r="1311" spans="1:10" ht="18">
      <c r="A1311" s="49">
        <v>6202</v>
      </c>
      <c r="B1311" s="49" t="s">
        <v>1049</v>
      </c>
      <c r="D1311" s="49">
        <v>10.112</v>
      </c>
      <c r="E1311" s="49">
        <v>18.206</v>
      </c>
      <c r="F1311" s="49">
        <v>14.158999999999999</v>
      </c>
      <c r="G1311" s="54">
        <v>0.49</v>
      </c>
      <c r="H1311" s="56">
        <f t="shared" si="60"/>
        <v>4.9548800000000002</v>
      </c>
      <c r="I1311" s="57">
        <f t="shared" si="61"/>
        <v>6.9379099999999996</v>
      </c>
      <c r="J1311" s="56">
        <f t="shared" si="62"/>
        <v>8.9209399999999999</v>
      </c>
    </row>
    <row r="1312" spans="1:10" ht="18">
      <c r="A1312" s="49">
        <v>6203</v>
      </c>
      <c r="B1312" s="49" t="s">
        <v>1770</v>
      </c>
      <c r="D1312" s="49">
        <v>7.4240000000000013</v>
      </c>
      <c r="E1312" s="49">
        <v>16.490000000000002</v>
      </c>
      <c r="F1312" s="49">
        <v>11.957000000000001</v>
      </c>
      <c r="G1312" s="54">
        <v>7.58</v>
      </c>
      <c r="H1312" s="56">
        <f t="shared" si="60"/>
        <v>56.273920000000011</v>
      </c>
      <c r="I1312" s="57">
        <f t="shared" si="61"/>
        <v>90.634060000000005</v>
      </c>
      <c r="J1312" s="56">
        <f t="shared" si="62"/>
        <v>124.99420000000002</v>
      </c>
    </row>
    <row r="1313" spans="1:10" ht="18">
      <c r="A1313" s="49">
        <v>6204</v>
      </c>
      <c r="B1313" s="49" t="s">
        <v>1771</v>
      </c>
      <c r="D1313" s="49">
        <v>7.3120000000000003</v>
      </c>
      <c r="E1313" s="49">
        <v>16.113999999999997</v>
      </c>
      <c r="F1313" s="49">
        <v>11.712999999999999</v>
      </c>
      <c r="G1313" s="54">
        <v>17.899999999999999</v>
      </c>
      <c r="H1313" s="56">
        <f t="shared" si="60"/>
        <v>130.88479999999998</v>
      </c>
      <c r="I1313" s="57">
        <f t="shared" si="61"/>
        <v>209.66269999999997</v>
      </c>
      <c r="J1313" s="56">
        <f t="shared" si="62"/>
        <v>288.4405999999999</v>
      </c>
    </row>
    <row r="1314" spans="1:10" ht="18">
      <c r="A1314" s="49">
        <v>6205</v>
      </c>
      <c r="B1314" s="49" t="s">
        <v>1050</v>
      </c>
      <c r="D1314" s="49">
        <v>8.7560000000000002</v>
      </c>
      <c r="E1314" s="49">
        <v>21.762</v>
      </c>
      <c r="F1314" s="49">
        <v>15.259</v>
      </c>
      <c r="G1314" s="54">
        <v>2.1</v>
      </c>
      <c r="H1314" s="56">
        <f t="shared" si="60"/>
        <v>18.387600000000003</v>
      </c>
      <c r="I1314" s="57">
        <f t="shared" si="61"/>
        <v>32.043900000000001</v>
      </c>
      <c r="J1314" s="56">
        <f t="shared" si="62"/>
        <v>45.700200000000002</v>
      </c>
    </row>
    <row r="1315" spans="1:10" ht="18">
      <c r="A1315" s="49">
        <v>6206</v>
      </c>
      <c r="B1315" s="49" t="s">
        <v>1051</v>
      </c>
      <c r="D1315" s="49">
        <v>9.6280000000000001</v>
      </c>
      <c r="E1315" s="49">
        <v>18.533999999999999</v>
      </c>
      <c r="F1315" s="49">
        <v>14.081</v>
      </c>
      <c r="G1315" s="54">
        <v>3.51</v>
      </c>
      <c r="H1315" s="56">
        <f t="shared" si="60"/>
        <v>33.794280000000001</v>
      </c>
      <c r="I1315" s="57">
        <f t="shared" si="61"/>
        <v>49.424309999999998</v>
      </c>
      <c r="J1315" s="56">
        <f t="shared" si="62"/>
        <v>65.054339999999996</v>
      </c>
    </row>
    <row r="1316" spans="1:10" ht="18">
      <c r="A1316" s="49">
        <v>6207</v>
      </c>
      <c r="B1316" s="49" t="s">
        <v>1772</v>
      </c>
      <c r="D1316" s="49">
        <v>8.5079999999999991</v>
      </c>
      <c r="E1316" s="49">
        <v>28.51</v>
      </c>
      <c r="F1316" s="49">
        <v>18.509</v>
      </c>
      <c r="G1316" s="54">
        <v>1.84</v>
      </c>
      <c r="H1316" s="56">
        <f t="shared" si="60"/>
        <v>15.654719999999999</v>
      </c>
      <c r="I1316" s="57">
        <f t="shared" si="61"/>
        <v>34.056560000000005</v>
      </c>
      <c r="J1316" s="56">
        <f t="shared" si="62"/>
        <v>52.458400000000005</v>
      </c>
    </row>
    <row r="1317" spans="1:10" ht="18">
      <c r="A1317" s="49">
        <v>6208</v>
      </c>
      <c r="B1317" s="49" t="s">
        <v>1773</v>
      </c>
      <c r="D1317" s="49">
        <v>9.4879999999999995</v>
      </c>
      <c r="E1317" s="49">
        <v>17.07</v>
      </c>
      <c r="F1317" s="49">
        <v>13.279</v>
      </c>
      <c r="G1317" s="54">
        <v>3.02</v>
      </c>
      <c r="H1317" s="56">
        <f t="shared" si="60"/>
        <v>28.653759999999998</v>
      </c>
      <c r="I1317" s="57">
        <f t="shared" si="61"/>
        <v>40.102580000000003</v>
      </c>
      <c r="J1317" s="56">
        <f t="shared" si="62"/>
        <v>51.551400000000001</v>
      </c>
    </row>
    <row r="1318" spans="1:10" ht="18">
      <c r="A1318" s="49">
        <v>6209</v>
      </c>
      <c r="B1318" s="49" t="s">
        <v>1052</v>
      </c>
      <c r="D1318" s="49">
        <v>17.225999999999999</v>
      </c>
      <c r="E1318" s="49">
        <v>17.225999999999999</v>
      </c>
      <c r="F1318" s="49">
        <v>17.225999999999999</v>
      </c>
      <c r="G1318" s="54">
        <v>-0.28999999999999998</v>
      </c>
      <c r="H1318" s="56">
        <f t="shared" si="60"/>
        <v>-4.9955399999999992</v>
      </c>
      <c r="I1318" s="57">
        <f t="shared" si="61"/>
        <v>-4.9955399999999992</v>
      </c>
      <c r="J1318" s="56">
        <f t="shared" si="62"/>
        <v>-4.9955399999999992</v>
      </c>
    </row>
    <row r="1319" spans="1:10" ht="18">
      <c r="A1319" s="49">
        <v>6210</v>
      </c>
      <c r="B1319" s="49" t="s">
        <v>1774</v>
      </c>
      <c r="D1319" s="49">
        <v>7.8259999999999987</v>
      </c>
      <c r="E1319" s="49">
        <v>15.469999999999999</v>
      </c>
      <c r="F1319" s="49">
        <v>11.648</v>
      </c>
      <c r="G1319" s="54">
        <v>-4.04</v>
      </c>
      <c r="H1319" s="56">
        <f t="shared" si="60"/>
        <v>-31.617039999999996</v>
      </c>
      <c r="I1319" s="57">
        <f t="shared" si="61"/>
        <v>-47.057919999999996</v>
      </c>
      <c r="J1319" s="56">
        <f t="shared" si="62"/>
        <v>-62.498799999999996</v>
      </c>
    </row>
    <row r="1320" spans="1:10" ht="18">
      <c r="A1320" s="49">
        <v>6212</v>
      </c>
      <c r="B1320" s="49" t="s">
        <v>1775</v>
      </c>
      <c r="D1320" s="49">
        <v>7.6340000000000003</v>
      </c>
      <c r="E1320" s="49">
        <v>23.374000000000002</v>
      </c>
      <c r="F1320" s="49">
        <v>15.504000000000001</v>
      </c>
      <c r="G1320" s="54">
        <v>6.26</v>
      </c>
      <c r="H1320" s="56">
        <f t="shared" si="60"/>
        <v>47.78884</v>
      </c>
      <c r="I1320" s="57">
        <f t="shared" si="61"/>
        <v>97.055040000000005</v>
      </c>
      <c r="J1320" s="56">
        <f t="shared" si="62"/>
        <v>146.32124000000002</v>
      </c>
    </row>
    <row r="1321" spans="1:10" ht="18">
      <c r="A1321" s="49">
        <v>6213</v>
      </c>
      <c r="B1321" s="49" t="s">
        <v>1053</v>
      </c>
      <c r="D1321" s="49">
        <v>7.6579999999999995</v>
      </c>
      <c r="E1321" s="49">
        <v>19.03</v>
      </c>
      <c r="F1321" s="49">
        <v>13.344000000000001</v>
      </c>
      <c r="G1321" s="54">
        <v>1.86</v>
      </c>
      <c r="H1321" s="56">
        <f t="shared" si="60"/>
        <v>14.243879999999999</v>
      </c>
      <c r="I1321" s="57">
        <f t="shared" si="61"/>
        <v>24.819840000000003</v>
      </c>
      <c r="J1321" s="56">
        <f t="shared" si="62"/>
        <v>35.395800000000001</v>
      </c>
    </row>
    <row r="1322" spans="1:10" ht="18">
      <c r="A1322" s="49">
        <v>6214</v>
      </c>
      <c r="B1322" s="49" t="s">
        <v>1054</v>
      </c>
      <c r="D1322" s="49">
        <v>11.504</v>
      </c>
      <c r="E1322" s="49">
        <v>24.904000000000003</v>
      </c>
      <c r="F1322" s="49">
        <v>18.204000000000001</v>
      </c>
      <c r="G1322" s="54">
        <v>6.02</v>
      </c>
      <c r="H1322" s="56">
        <f t="shared" si="60"/>
        <v>69.254079999999988</v>
      </c>
      <c r="I1322" s="57">
        <f t="shared" si="61"/>
        <v>109.58807999999999</v>
      </c>
      <c r="J1322" s="56">
        <f t="shared" si="62"/>
        <v>149.92208000000002</v>
      </c>
    </row>
    <row r="1323" spans="1:10" ht="18">
      <c r="A1323" s="49">
        <v>6215</v>
      </c>
      <c r="B1323" s="49" t="s">
        <v>1055</v>
      </c>
      <c r="D1323" s="49">
        <v>11.497999999999999</v>
      </c>
      <c r="E1323" s="49">
        <v>26.084000000000003</v>
      </c>
      <c r="F1323" s="49">
        <v>18.791</v>
      </c>
      <c r="G1323" s="54">
        <v>0.95</v>
      </c>
      <c r="H1323" s="56">
        <f t="shared" si="60"/>
        <v>10.923099999999998</v>
      </c>
      <c r="I1323" s="57">
        <f t="shared" si="61"/>
        <v>17.85145</v>
      </c>
      <c r="J1323" s="56">
        <f t="shared" si="62"/>
        <v>24.779800000000002</v>
      </c>
    </row>
    <row r="1324" spans="1:10" ht="18">
      <c r="A1324" s="49">
        <v>6216</v>
      </c>
      <c r="B1324" s="49" t="s">
        <v>1056</v>
      </c>
      <c r="D1324" s="49">
        <v>8.7480000000000011</v>
      </c>
      <c r="E1324" s="49">
        <v>19.290000000000003</v>
      </c>
      <c r="F1324" s="49">
        <v>14.019000000000002</v>
      </c>
      <c r="G1324" s="54">
        <v>1.34</v>
      </c>
      <c r="H1324" s="56">
        <f t="shared" si="60"/>
        <v>11.722320000000002</v>
      </c>
      <c r="I1324" s="57">
        <f t="shared" si="61"/>
        <v>18.785460000000004</v>
      </c>
      <c r="J1324" s="56">
        <f t="shared" si="62"/>
        <v>25.848600000000005</v>
      </c>
    </row>
    <row r="1325" spans="1:10" ht="18">
      <c r="A1325" s="49">
        <v>6217</v>
      </c>
      <c r="B1325" s="49" t="s">
        <v>1776</v>
      </c>
      <c r="D1325" s="49">
        <v>13.292000000000002</v>
      </c>
      <c r="E1325" s="49">
        <v>19.96</v>
      </c>
      <c r="F1325" s="49">
        <v>16.626000000000001</v>
      </c>
      <c r="G1325" s="54">
        <v>-0.37</v>
      </c>
      <c r="H1325" s="56">
        <f t="shared" si="60"/>
        <v>-4.9180400000000004</v>
      </c>
      <c r="I1325" s="57">
        <f t="shared" si="61"/>
        <v>-6.1516200000000003</v>
      </c>
      <c r="J1325" s="56">
        <f t="shared" si="62"/>
        <v>-7.3852000000000002</v>
      </c>
    </row>
    <row r="1326" spans="1:10" ht="18">
      <c r="A1326" s="49">
        <v>6218</v>
      </c>
      <c r="B1326" s="49" t="s">
        <v>1777</v>
      </c>
      <c r="D1326" s="49">
        <v>9.3520000000000003</v>
      </c>
      <c r="E1326" s="49">
        <v>22.06</v>
      </c>
      <c r="F1326" s="49">
        <v>15.706</v>
      </c>
      <c r="G1326" s="54">
        <v>0.44</v>
      </c>
      <c r="H1326" s="56">
        <f t="shared" si="60"/>
        <v>4.1148800000000003</v>
      </c>
      <c r="I1326" s="57">
        <f t="shared" si="61"/>
        <v>6.9106399999999999</v>
      </c>
      <c r="J1326" s="56">
        <f t="shared" si="62"/>
        <v>9.7064000000000004</v>
      </c>
    </row>
    <row r="1327" spans="1:10" ht="18">
      <c r="A1327" s="49">
        <v>6219</v>
      </c>
      <c r="B1327" s="49" t="s">
        <v>1778</v>
      </c>
      <c r="D1327" s="49">
        <v>10.046000000000001</v>
      </c>
      <c r="E1327" s="49">
        <v>29.503999999999998</v>
      </c>
      <c r="F1327" s="49">
        <v>19.774999999999999</v>
      </c>
      <c r="G1327" s="54">
        <v>2.0299999999999998</v>
      </c>
      <c r="H1327" s="56">
        <f t="shared" si="60"/>
        <v>20.393380000000001</v>
      </c>
      <c r="I1327" s="57">
        <f t="shared" si="61"/>
        <v>40.143249999999995</v>
      </c>
      <c r="J1327" s="56">
        <f t="shared" si="62"/>
        <v>59.893119999999989</v>
      </c>
    </row>
    <row r="1328" spans="1:10" ht="18">
      <c r="A1328" s="49">
        <v>6220</v>
      </c>
      <c r="B1328" s="49" t="s">
        <v>1779</v>
      </c>
      <c r="D1328" s="49">
        <v>8.65</v>
      </c>
      <c r="E1328" s="49">
        <v>26.422000000000004</v>
      </c>
      <c r="F1328" s="49">
        <v>17.536000000000001</v>
      </c>
      <c r="G1328" s="54">
        <v>-3.03</v>
      </c>
      <c r="H1328" s="56">
        <f t="shared" si="60"/>
        <v>-26.209499999999998</v>
      </c>
      <c r="I1328" s="57">
        <f t="shared" si="61"/>
        <v>-53.134079999999997</v>
      </c>
      <c r="J1328" s="56">
        <f t="shared" si="62"/>
        <v>-80.058660000000003</v>
      </c>
    </row>
    <row r="1329" spans="1:10" ht="18">
      <c r="A1329" s="49">
        <v>6221</v>
      </c>
      <c r="B1329" s="49" t="s">
        <v>1780</v>
      </c>
      <c r="D1329" s="49">
        <v>8.2840000000000007</v>
      </c>
      <c r="E1329" s="49">
        <v>17.944000000000003</v>
      </c>
      <c r="F1329" s="49">
        <v>13.114000000000001</v>
      </c>
      <c r="G1329" s="54">
        <v>2.79</v>
      </c>
      <c r="H1329" s="56">
        <f t="shared" si="60"/>
        <v>23.112360000000002</v>
      </c>
      <c r="I1329" s="57">
        <f t="shared" si="61"/>
        <v>36.588060000000006</v>
      </c>
      <c r="J1329" s="56">
        <f t="shared" si="62"/>
        <v>50.063760000000009</v>
      </c>
    </row>
    <row r="1330" spans="1:10" ht="18">
      <c r="A1330" s="49">
        <v>6222</v>
      </c>
      <c r="B1330" s="49" t="s">
        <v>1781</v>
      </c>
      <c r="D1330" s="49">
        <v>0</v>
      </c>
      <c r="E1330" s="49">
        <v>0</v>
      </c>
      <c r="F1330" s="49">
        <v>0</v>
      </c>
      <c r="G1330" s="54">
        <v>-0.5</v>
      </c>
      <c r="H1330" s="56">
        <f t="shared" si="60"/>
        <v>0</v>
      </c>
      <c r="I1330" s="57">
        <f t="shared" si="61"/>
        <v>0</v>
      </c>
      <c r="J1330" s="56">
        <f t="shared" si="62"/>
        <v>0</v>
      </c>
    </row>
    <row r="1331" spans="1:10" ht="18">
      <c r="A1331" s="49">
        <v>6223</v>
      </c>
      <c r="B1331" s="49" t="s">
        <v>1782</v>
      </c>
      <c r="D1331" s="49">
        <v>9.2039999999999988</v>
      </c>
      <c r="E1331" s="49">
        <v>21.218</v>
      </c>
      <c r="F1331" s="49">
        <v>15.210999999999999</v>
      </c>
      <c r="G1331" s="54">
        <v>13.92</v>
      </c>
      <c r="H1331" s="56">
        <f t="shared" si="60"/>
        <v>128.11967999999999</v>
      </c>
      <c r="I1331" s="57">
        <f t="shared" si="61"/>
        <v>211.73711999999998</v>
      </c>
      <c r="J1331" s="56">
        <f t="shared" si="62"/>
        <v>295.35455999999999</v>
      </c>
    </row>
    <row r="1332" spans="1:10" ht="18">
      <c r="A1332" s="49">
        <v>6224</v>
      </c>
      <c r="B1332" s="49" t="s">
        <v>1057</v>
      </c>
      <c r="D1332" s="49">
        <v>10.034000000000001</v>
      </c>
      <c r="E1332" s="49">
        <v>22.972000000000001</v>
      </c>
      <c r="F1332" s="49">
        <v>16.503</v>
      </c>
      <c r="G1332" s="54">
        <v>1.24</v>
      </c>
      <c r="H1332" s="56">
        <f t="shared" si="60"/>
        <v>12.442160000000001</v>
      </c>
      <c r="I1332" s="57">
        <f t="shared" si="61"/>
        <v>20.463719999999999</v>
      </c>
      <c r="J1332" s="56">
        <f t="shared" si="62"/>
        <v>28.485280000000003</v>
      </c>
    </row>
    <row r="1333" spans="1:10" ht="18">
      <c r="A1333" s="49">
        <v>6225</v>
      </c>
      <c r="B1333" s="49" t="s">
        <v>1058</v>
      </c>
      <c r="D1333" s="49">
        <v>0</v>
      </c>
      <c r="E1333" s="49">
        <v>0</v>
      </c>
      <c r="F1333" s="49">
        <v>0</v>
      </c>
      <c r="G1333" s="54">
        <v>0.31</v>
      </c>
      <c r="H1333" s="56">
        <f t="shared" si="60"/>
        <v>0</v>
      </c>
      <c r="I1333" s="57">
        <f t="shared" si="61"/>
        <v>0</v>
      </c>
      <c r="J1333" s="56">
        <f t="shared" si="62"/>
        <v>0</v>
      </c>
    </row>
    <row r="1334" spans="1:10" ht="18">
      <c r="A1334" s="49">
        <v>6226</v>
      </c>
      <c r="B1334" s="49" t="s">
        <v>1059</v>
      </c>
      <c r="D1334" s="49">
        <v>14.796000000000001</v>
      </c>
      <c r="E1334" s="49">
        <v>17.836000000000002</v>
      </c>
      <c r="F1334" s="49">
        <v>16.316000000000003</v>
      </c>
      <c r="G1334" s="54">
        <v>-0.65</v>
      </c>
      <c r="H1334" s="56">
        <f t="shared" si="60"/>
        <v>-9.6174000000000017</v>
      </c>
      <c r="I1334" s="57">
        <f t="shared" si="61"/>
        <v>-10.605400000000001</v>
      </c>
      <c r="J1334" s="56">
        <f t="shared" si="62"/>
        <v>-11.593400000000003</v>
      </c>
    </row>
    <row r="1335" spans="1:10" ht="18">
      <c r="A1335" s="49">
        <v>6227</v>
      </c>
      <c r="B1335" s="49" t="s">
        <v>1783</v>
      </c>
      <c r="D1335" s="49">
        <v>7.5280000000000005</v>
      </c>
      <c r="E1335" s="49">
        <v>14.292000000000002</v>
      </c>
      <c r="F1335" s="49">
        <v>10.91</v>
      </c>
      <c r="G1335" s="54">
        <v>4.18</v>
      </c>
      <c r="H1335" s="56">
        <f t="shared" si="60"/>
        <v>31.467040000000001</v>
      </c>
      <c r="I1335" s="57">
        <f t="shared" si="61"/>
        <v>45.6038</v>
      </c>
      <c r="J1335" s="56">
        <f t="shared" si="62"/>
        <v>59.740560000000002</v>
      </c>
    </row>
    <row r="1336" spans="1:10" ht="18">
      <c r="A1336" s="49">
        <v>6228</v>
      </c>
      <c r="B1336" s="49" t="s">
        <v>1784</v>
      </c>
      <c r="D1336" s="49">
        <v>0</v>
      </c>
      <c r="E1336" s="49">
        <v>0</v>
      </c>
      <c r="F1336" s="49">
        <v>0</v>
      </c>
      <c r="G1336" s="54">
        <v>-1.7</v>
      </c>
      <c r="H1336" s="56">
        <f t="shared" si="60"/>
        <v>0</v>
      </c>
      <c r="I1336" s="57">
        <f t="shared" si="61"/>
        <v>0</v>
      </c>
      <c r="J1336" s="56">
        <f t="shared" si="62"/>
        <v>0</v>
      </c>
    </row>
    <row r="1337" spans="1:10" ht="18">
      <c r="A1337" s="49">
        <v>6229</v>
      </c>
      <c r="B1337" s="49" t="s">
        <v>1785</v>
      </c>
      <c r="D1337" s="49">
        <v>10.540000000000001</v>
      </c>
      <c r="E1337" s="49">
        <v>27.07</v>
      </c>
      <c r="F1337" s="49">
        <v>18.805</v>
      </c>
      <c r="G1337" s="54">
        <v>0.05</v>
      </c>
      <c r="H1337" s="56">
        <f t="shared" si="60"/>
        <v>0.52700000000000002</v>
      </c>
      <c r="I1337" s="57">
        <f t="shared" si="61"/>
        <v>0.94025000000000003</v>
      </c>
      <c r="J1337" s="56">
        <f t="shared" si="62"/>
        <v>1.3535000000000001</v>
      </c>
    </row>
    <row r="1338" spans="1:10" ht="18">
      <c r="A1338" s="49">
        <v>6230</v>
      </c>
      <c r="B1338" s="49" t="s">
        <v>1060</v>
      </c>
      <c r="D1338" s="49">
        <v>9.1720000000000006</v>
      </c>
      <c r="E1338" s="49">
        <v>26.610000000000003</v>
      </c>
      <c r="F1338" s="49">
        <v>17.891000000000002</v>
      </c>
      <c r="G1338" s="54">
        <v>7.02</v>
      </c>
      <c r="H1338" s="56">
        <f t="shared" si="60"/>
        <v>64.387439999999998</v>
      </c>
      <c r="I1338" s="57">
        <f t="shared" si="61"/>
        <v>125.59482</v>
      </c>
      <c r="J1338" s="56">
        <f t="shared" si="62"/>
        <v>186.8022</v>
      </c>
    </row>
    <row r="1339" spans="1:10" ht="18">
      <c r="A1339" s="49">
        <v>6231</v>
      </c>
      <c r="B1339" s="49" t="s">
        <v>1786</v>
      </c>
      <c r="D1339" s="49">
        <v>15.734</v>
      </c>
      <c r="E1339" s="49">
        <v>24.423999999999999</v>
      </c>
      <c r="F1339" s="49">
        <v>20.079000000000001</v>
      </c>
      <c r="G1339" s="54">
        <v>4.8600000000000003</v>
      </c>
      <c r="H1339" s="56">
        <f t="shared" si="60"/>
        <v>76.467240000000004</v>
      </c>
      <c r="I1339" s="57">
        <f t="shared" si="61"/>
        <v>97.583940000000013</v>
      </c>
      <c r="J1339" s="56">
        <f t="shared" si="62"/>
        <v>118.70064000000001</v>
      </c>
    </row>
    <row r="1340" spans="1:10" ht="18">
      <c r="A1340" s="49">
        <v>6233</v>
      </c>
      <c r="B1340" s="49" t="s">
        <v>1787</v>
      </c>
      <c r="D1340" s="49">
        <v>0</v>
      </c>
      <c r="E1340" s="49">
        <v>0</v>
      </c>
      <c r="F1340" s="49">
        <v>0</v>
      </c>
      <c r="G1340" s="54">
        <v>0.04</v>
      </c>
      <c r="H1340" s="56">
        <f t="shared" si="60"/>
        <v>0</v>
      </c>
      <c r="I1340" s="57">
        <f t="shared" si="61"/>
        <v>0</v>
      </c>
      <c r="J1340" s="56">
        <f t="shared" si="62"/>
        <v>0</v>
      </c>
    </row>
    <row r="1341" spans="1:10" ht="18">
      <c r="A1341" s="49">
        <v>6234</v>
      </c>
      <c r="B1341" s="49" t="s">
        <v>1788</v>
      </c>
      <c r="D1341" s="49">
        <v>11.746</v>
      </c>
      <c r="E1341" s="49">
        <v>20.803999999999998</v>
      </c>
      <c r="F1341" s="49">
        <v>16.274999999999999</v>
      </c>
      <c r="G1341" s="54">
        <v>1.27</v>
      </c>
      <c r="H1341" s="56">
        <f t="shared" si="60"/>
        <v>14.91742</v>
      </c>
      <c r="I1341" s="57">
        <f t="shared" si="61"/>
        <v>20.669249999999998</v>
      </c>
      <c r="J1341" s="56">
        <f t="shared" si="62"/>
        <v>26.42108</v>
      </c>
    </row>
    <row r="1342" spans="1:10" ht="18">
      <c r="A1342" s="49">
        <v>6235</v>
      </c>
      <c r="B1342" s="49" t="s">
        <v>1061</v>
      </c>
      <c r="D1342" s="49">
        <v>13.459999999999999</v>
      </c>
      <c r="E1342" s="49">
        <v>18.761999999999997</v>
      </c>
      <c r="F1342" s="49">
        <v>16.110999999999997</v>
      </c>
      <c r="G1342" s="54">
        <v>4.17</v>
      </c>
      <c r="H1342" s="56">
        <f t="shared" si="60"/>
        <v>56.128199999999993</v>
      </c>
      <c r="I1342" s="57">
        <f t="shared" si="61"/>
        <v>67.18286999999998</v>
      </c>
      <c r="J1342" s="56">
        <f t="shared" si="62"/>
        <v>78.237539999999981</v>
      </c>
    </row>
    <row r="1343" spans="1:10" ht="18">
      <c r="A1343" s="49">
        <v>6236</v>
      </c>
      <c r="B1343" s="49" t="s">
        <v>1789</v>
      </c>
      <c r="D1343" s="49">
        <v>0</v>
      </c>
      <c r="E1343" s="49">
        <v>0</v>
      </c>
      <c r="F1343" s="49">
        <v>0</v>
      </c>
      <c r="G1343" s="54">
        <v>-0.96</v>
      </c>
      <c r="H1343" s="56">
        <f t="shared" si="60"/>
        <v>0</v>
      </c>
      <c r="I1343" s="57">
        <f t="shared" si="61"/>
        <v>0</v>
      </c>
      <c r="J1343" s="56">
        <f t="shared" si="62"/>
        <v>0</v>
      </c>
    </row>
    <row r="1344" spans="1:10" ht="18">
      <c r="A1344" s="49">
        <v>6237</v>
      </c>
      <c r="B1344" s="49" t="s">
        <v>1790</v>
      </c>
      <c r="D1344" s="49">
        <v>15.25</v>
      </c>
      <c r="E1344" s="49">
        <v>18.045999999999999</v>
      </c>
      <c r="F1344" s="49">
        <v>16.648</v>
      </c>
      <c r="G1344" s="54">
        <v>-1.34</v>
      </c>
      <c r="H1344" s="56">
        <f t="shared" si="60"/>
        <v>-20.435000000000002</v>
      </c>
      <c r="I1344" s="57">
        <f t="shared" si="61"/>
        <v>-22.308320000000002</v>
      </c>
      <c r="J1344" s="56">
        <f t="shared" si="62"/>
        <v>-24.181640000000002</v>
      </c>
    </row>
    <row r="1345" spans="1:10" ht="18">
      <c r="A1345" s="49">
        <v>6239</v>
      </c>
      <c r="B1345" s="49" t="s">
        <v>1062</v>
      </c>
      <c r="D1345" s="49">
        <v>7.1460000000000008</v>
      </c>
      <c r="E1345" s="49">
        <v>15.862</v>
      </c>
      <c r="F1345" s="49">
        <v>11.504000000000001</v>
      </c>
      <c r="G1345" s="54">
        <v>10.72</v>
      </c>
      <c r="H1345" s="56">
        <f t="shared" si="60"/>
        <v>76.605120000000014</v>
      </c>
      <c r="I1345" s="57">
        <f t="shared" si="61"/>
        <v>123.32288000000003</v>
      </c>
      <c r="J1345" s="56">
        <f t="shared" si="62"/>
        <v>170.04064000000002</v>
      </c>
    </row>
    <row r="1346" spans="1:10" ht="18">
      <c r="A1346" s="49">
        <v>6240</v>
      </c>
      <c r="B1346" s="49" t="s">
        <v>1791</v>
      </c>
      <c r="D1346" s="49">
        <v>9.5540000000000003</v>
      </c>
      <c r="E1346" s="49">
        <v>12.497999999999999</v>
      </c>
      <c r="F1346" s="49">
        <v>11.026</v>
      </c>
      <c r="G1346" s="54">
        <v>-0.45</v>
      </c>
      <c r="H1346" s="56">
        <f t="shared" si="60"/>
        <v>-4.2993000000000006</v>
      </c>
      <c r="I1346" s="57">
        <f t="shared" si="61"/>
        <v>-4.9617000000000004</v>
      </c>
      <c r="J1346" s="56">
        <f t="shared" si="62"/>
        <v>-5.6240999999999994</v>
      </c>
    </row>
    <row r="1347" spans="1:10" ht="18">
      <c r="A1347" s="49">
        <v>6241</v>
      </c>
      <c r="B1347" s="49" t="s">
        <v>1792</v>
      </c>
      <c r="D1347" s="49">
        <v>0</v>
      </c>
      <c r="E1347" s="49">
        <v>0</v>
      </c>
      <c r="F1347" s="49">
        <v>0</v>
      </c>
      <c r="G1347" s="54">
        <v>6.9999999999999798E-2</v>
      </c>
      <c r="H1347" s="56">
        <f t="shared" ref="H1347:H1410" si="63">G1347*D1347</f>
        <v>0</v>
      </c>
      <c r="I1347" s="57">
        <f t="shared" ref="I1347:I1410" si="64">G1347*F1347</f>
        <v>0</v>
      </c>
      <c r="J1347" s="56">
        <f t="shared" ref="J1347:J1410" si="65">G1347*E1347</f>
        <v>0</v>
      </c>
    </row>
    <row r="1348" spans="1:10" ht="18">
      <c r="A1348" s="49">
        <v>6242</v>
      </c>
      <c r="B1348" s="49" t="s">
        <v>1793</v>
      </c>
      <c r="D1348" s="49">
        <v>12.35</v>
      </c>
      <c r="E1348" s="49">
        <v>19.34</v>
      </c>
      <c r="F1348" s="49">
        <v>15.844999999999999</v>
      </c>
      <c r="G1348" s="54">
        <v>3.98</v>
      </c>
      <c r="H1348" s="56">
        <f t="shared" si="63"/>
        <v>49.152999999999999</v>
      </c>
      <c r="I1348" s="57">
        <f t="shared" si="64"/>
        <v>63.063099999999999</v>
      </c>
      <c r="J1348" s="56">
        <f t="shared" si="65"/>
        <v>76.973200000000006</v>
      </c>
    </row>
    <row r="1349" spans="1:10" ht="18">
      <c r="A1349" s="49">
        <v>6243</v>
      </c>
      <c r="B1349" s="49" t="s">
        <v>1063</v>
      </c>
      <c r="D1349" s="49">
        <v>0</v>
      </c>
      <c r="E1349" s="49">
        <v>0</v>
      </c>
      <c r="F1349" s="49">
        <v>0</v>
      </c>
      <c r="G1349" s="54">
        <v>1.5</v>
      </c>
      <c r="H1349" s="56">
        <f t="shared" si="63"/>
        <v>0</v>
      </c>
      <c r="I1349" s="57">
        <f t="shared" si="64"/>
        <v>0</v>
      </c>
      <c r="J1349" s="56">
        <f t="shared" si="65"/>
        <v>0</v>
      </c>
    </row>
    <row r="1350" spans="1:10" ht="18">
      <c r="A1350" s="49">
        <v>6244</v>
      </c>
      <c r="B1350" s="49" t="s">
        <v>1794</v>
      </c>
      <c r="D1350" s="49">
        <v>18.748000000000001</v>
      </c>
      <c r="E1350" s="49">
        <v>23.742000000000001</v>
      </c>
      <c r="F1350" s="49">
        <v>21.245000000000001</v>
      </c>
      <c r="G1350" s="54">
        <v>0.56000000000000005</v>
      </c>
      <c r="H1350" s="56">
        <f t="shared" si="63"/>
        <v>10.498880000000002</v>
      </c>
      <c r="I1350" s="57">
        <f t="shared" si="64"/>
        <v>11.897200000000002</v>
      </c>
      <c r="J1350" s="56">
        <f t="shared" si="65"/>
        <v>13.295520000000002</v>
      </c>
    </row>
    <row r="1351" spans="1:10" ht="18">
      <c r="A1351" s="49">
        <v>6245</v>
      </c>
      <c r="B1351" s="49" t="s">
        <v>1795</v>
      </c>
      <c r="D1351" s="49">
        <v>10.059999999999999</v>
      </c>
      <c r="E1351" s="49">
        <v>15.580000000000002</v>
      </c>
      <c r="F1351" s="49">
        <v>12.82</v>
      </c>
      <c r="G1351" s="54">
        <v>7.45</v>
      </c>
      <c r="H1351" s="56">
        <f t="shared" si="63"/>
        <v>74.946999999999989</v>
      </c>
      <c r="I1351" s="57">
        <f t="shared" si="64"/>
        <v>95.509</v>
      </c>
      <c r="J1351" s="56">
        <f t="shared" si="65"/>
        <v>116.07100000000001</v>
      </c>
    </row>
    <row r="1352" spans="1:10" ht="18">
      <c r="A1352" s="49">
        <v>6246</v>
      </c>
      <c r="B1352" s="49" t="s">
        <v>1796</v>
      </c>
      <c r="D1352" s="49">
        <v>12.75</v>
      </c>
      <c r="E1352" s="49">
        <v>22.318000000000001</v>
      </c>
      <c r="F1352" s="49">
        <v>17.533999999999999</v>
      </c>
      <c r="G1352" s="54">
        <v>-0.37</v>
      </c>
      <c r="H1352" s="56">
        <f t="shared" si="63"/>
        <v>-4.7175000000000002</v>
      </c>
      <c r="I1352" s="57">
        <f t="shared" si="64"/>
        <v>-6.4875799999999995</v>
      </c>
      <c r="J1352" s="56">
        <f t="shared" si="65"/>
        <v>-8.2576599999999996</v>
      </c>
    </row>
    <row r="1353" spans="1:10" ht="18">
      <c r="A1353" s="49">
        <v>6247</v>
      </c>
      <c r="B1353" s="49" t="s">
        <v>1797</v>
      </c>
      <c r="D1353" s="49">
        <v>22.009999999999998</v>
      </c>
      <c r="E1353" s="49">
        <v>22.009999999999998</v>
      </c>
      <c r="F1353" s="49">
        <v>22.009999999999998</v>
      </c>
      <c r="G1353" s="54" t="s">
        <v>271</v>
      </c>
      <c r="H1353" s="56" t="e">
        <f t="shared" si="63"/>
        <v>#VALUE!</v>
      </c>
      <c r="I1353" s="57" t="e">
        <f t="shared" si="64"/>
        <v>#VALUE!</v>
      </c>
      <c r="J1353" s="56" t="e">
        <f t="shared" si="65"/>
        <v>#VALUE!</v>
      </c>
    </row>
    <row r="1354" spans="1:10" ht="18">
      <c r="A1354" s="49">
        <v>6248</v>
      </c>
      <c r="B1354" s="49" t="s">
        <v>1798</v>
      </c>
      <c r="D1354" s="49">
        <v>11.532</v>
      </c>
      <c r="E1354" s="49">
        <v>19.433999999999997</v>
      </c>
      <c r="F1354" s="49">
        <v>15.482999999999999</v>
      </c>
      <c r="G1354" s="54">
        <v>4.0199999999999996</v>
      </c>
      <c r="H1354" s="56">
        <f t="shared" si="63"/>
        <v>46.358639999999994</v>
      </c>
      <c r="I1354" s="57">
        <f t="shared" si="64"/>
        <v>62.241659999999989</v>
      </c>
      <c r="J1354" s="56">
        <f t="shared" si="65"/>
        <v>78.124679999999984</v>
      </c>
    </row>
    <row r="1355" spans="1:10" ht="18">
      <c r="A1355" s="49">
        <v>6257</v>
      </c>
      <c r="B1355" s="49" t="s">
        <v>1064</v>
      </c>
      <c r="D1355" s="49">
        <v>6.9279999999999999</v>
      </c>
      <c r="E1355" s="49">
        <v>16.788</v>
      </c>
      <c r="F1355" s="49">
        <v>11.858000000000001</v>
      </c>
      <c r="G1355" s="54">
        <v>3.8</v>
      </c>
      <c r="H1355" s="56">
        <f t="shared" si="63"/>
        <v>26.3264</v>
      </c>
      <c r="I1355" s="57">
        <f t="shared" si="64"/>
        <v>45.060400000000001</v>
      </c>
      <c r="J1355" s="56">
        <f t="shared" si="65"/>
        <v>63.794399999999996</v>
      </c>
    </row>
    <row r="1356" spans="1:10" ht="18">
      <c r="A1356" s="49">
        <v>6259</v>
      </c>
      <c r="B1356" s="49" t="s">
        <v>1799</v>
      </c>
      <c r="D1356" s="49">
        <v>0</v>
      </c>
      <c r="E1356" s="49">
        <v>0</v>
      </c>
      <c r="F1356" s="49">
        <v>0</v>
      </c>
      <c r="G1356" s="54">
        <v>1.1399999999999999</v>
      </c>
      <c r="H1356" s="56">
        <f t="shared" si="63"/>
        <v>0</v>
      </c>
      <c r="I1356" s="57">
        <f t="shared" si="64"/>
        <v>0</v>
      </c>
      <c r="J1356" s="56">
        <f t="shared" si="65"/>
        <v>0</v>
      </c>
    </row>
    <row r="1357" spans="1:10" ht="18">
      <c r="A1357" s="49">
        <v>6261</v>
      </c>
      <c r="B1357" s="49" t="s">
        <v>1800</v>
      </c>
      <c r="D1357" s="49">
        <v>8.2480000000000011</v>
      </c>
      <c r="E1357" s="49">
        <v>17.96</v>
      </c>
      <c r="F1357" s="49">
        <v>13.104000000000001</v>
      </c>
      <c r="G1357" s="54">
        <v>4.09</v>
      </c>
      <c r="H1357" s="56">
        <f t="shared" si="63"/>
        <v>33.734320000000004</v>
      </c>
      <c r="I1357" s="57">
        <f t="shared" si="64"/>
        <v>53.595359999999999</v>
      </c>
      <c r="J1357" s="56">
        <f t="shared" si="65"/>
        <v>73.456400000000002</v>
      </c>
    </row>
    <row r="1358" spans="1:10" ht="18">
      <c r="A1358" s="49">
        <v>6263</v>
      </c>
      <c r="B1358" s="49" t="s">
        <v>1801</v>
      </c>
      <c r="D1358" s="49">
        <v>9.7000000000000011</v>
      </c>
      <c r="E1358" s="49">
        <v>15.724</v>
      </c>
      <c r="F1358" s="49">
        <v>12.712</v>
      </c>
      <c r="G1358" s="54">
        <v>8.1199999999999992</v>
      </c>
      <c r="H1358" s="56">
        <f t="shared" si="63"/>
        <v>78.763999999999996</v>
      </c>
      <c r="I1358" s="57">
        <f t="shared" si="64"/>
        <v>103.22143999999999</v>
      </c>
      <c r="J1358" s="56">
        <f t="shared" si="65"/>
        <v>127.67887999999999</v>
      </c>
    </row>
    <row r="1359" spans="1:10" ht="18">
      <c r="A1359" s="49">
        <v>6264</v>
      </c>
      <c r="B1359" s="49" t="s">
        <v>1802</v>
      </c>
      <c r="D1359" s="49">
        <v>0</v>
      </c>
      <c r="E1359" s="49">
        <v>0</v>
      </c>
      <c r="F1359" s="49">
        <v>0</v>
      </c>
      <c r="G1359" s="54">
        <v>-0.98</v>
      </c>
      <c r="H1359" s="56">
        <f t="shared" si="63"/>
        <v>0</v>
      </c>
      <c r="I1359" s="57">
        <f t="shared" si="64"/>
        <v>0</v>
      </c>
      <c r="J1359" s="56">
        <f t="shared" si="65"/>
        <v>0</v>
      </c>
    </row>
    <row r="1360" spans="1:10" ht="18">
      <c r="A1360" s="49">
        <v>6265</v>
      </c>
      <c r="B1360" s="49" t="s">
        <v>1803</v>
      </c>
      <c r="D1360" s="49">
        <v>13.059999999999999</v>
      </c>
      <c r="E1360" s="49">
        <v>28.669999999999998</v>
      </c>
      <c r="F1360" s="49">
        <v>20.864999999999998</v>
      </c>
      <c r="G1360" s="54">
        <v>-0.57999999999999996</v>
      </c>
      <c r="H1360" s="56">
        <f t="shared" si="63"/>
        <v>-7.5747999999999989</v>
      </c>
      <c r="I1360" s="57">
        <f t="shared" si="64"/>
        <v>-12.101699999999997</v>
      </c>
      <c r="J1360" s="56">
        <f t="shared" si="65"/>
        <v>-16.628599999999999</v>
      </c>
    </row>
    <row r="1361" spans="1:10" ht="18">
      <c r="A1361" s="49">
        <v>6266</v>
      </c>
      <c r="B1361" s="49" t="s">
        <v>1804</v>
      </c>
      <c r="D1361" s="49">
        <v>9.1620000000000008</v>
      </c>
      <c r="E1361" s="49">
        <v>17.600000000000001</v>
      </c>
      <c r="F1361" s="49">
        <v>13.381</v>
      </c>
      <c r="G1361" s="54">
        <v>2.0699999999999998</v>
      </c>
      <c r="H1361" s="56">
        <f t="shared" si="63"/>
        <v>18.965340000000001</v>
      </c>
      <c r="I1361" s="57">
        <f t="shared" si="64"/>
        <v>27.69867</v>
      </c>
      <c r="J1361" s="56">
        <f t="shared" si="65"/>
        <v>36.432000000000002</v>
      </c>
    </row>
    <row r="1362" spans="1:10" ht="18">
      <c r="A1362" s="49">
        <v>6269</v>
      </c>
      <c r="B1362" s="49" t="s">
        <v>1065</v>
      </c>
      <c r="D1362" s="49">
        <v>7.9159999999999995</v>
      </c>
      <c r="E1362" s="49">
        <v>15.728</v>
      </c>
      <c r="F1362" s="49">
        <v>11.821999999999999</v>
      </c>
      <c r="G1362" s="54">
        <v>6.45</v>
      </c>
      <c r="H1362" s="56">
        <f t="shared" si="63"/>
        <v>51.058199999999999</v>
      </c>
      <c r="I1362" s="57">
        <f t="shared" si="64"/>
        <v>76.251899999999992</v>
      </c>
      <c r="J1362" s="56">
        <f t="shared" si="65"/>
        <v>101.4456</v>
      </c>
    </row>
    <row r="1363" spans="1:10" ht="18">
      <c r="A1363" s="49">
        <v>6270</v>
      </c>
      <c r="B1363" s="49" t="s">
        <v>1805</v>
      </c>
      <c r="D1363" s="49">
        <v>8.6859999999999999</v>
      </c>
      <c r="E1363" s="49">
        <v>28.009999999999998</v>
      </c>
      <c r="F1363" s="49">
        <v>18.347999999999999</v>
      </c>
      <c r="G1363" s="54">
        <v>0.95</v>
      </c>
      <c r="H1363" s="56">
        <f t="shared" si="63"/>
        <v>8.2516999999999996</v>
      </c>
      <c r="I1363" s="57">
        <f t="shared" si="64"/>
        <v>17.430599999999998</v>
      </c>
      <c r="J1363" s="56">
        <f t="shared" si="65"/>
        <v>26.609499999999997</v>
      </c>
    </row>
    <row r="1364" spans="1:10" ht="18">
      <c r="A1364" s="49">
        <v>6271</v>
      </c>
      <c r="B1364" s="49" t="s">
        <v>1066</v>
      </c>
      <c r="D1364" s="49">
        <v>10.231999999999999</v>
      </c>
      <c r="E1364" s="49">
        <v>27.568000000000001</v>
      </c>
      <c r="F1364" s="49">
        <v>18.899999999999999</v>
      </c>
      <c r="G1364" s="54">
        <v>4.97</v>
      </c>
      <c r="H1364" s="56">
        <f t="shared" si="63"/>
        <v>50.853039999999993</v>
      </c>
      <c r="I1364" s="57">
        <f t="shared" si="64"/>
        <v>93.932999999999993</v>
      </c>
      <c r="J1364" s="56">
        <f t="shared" si="65"/>
        <v>137.01295999999999</v>
      </c>
    </row>
    <row r="1365" spans="1:10" ht="18">
      <c r="A1365" s="49">
        <v>6274</v>
      </c>
      <c r="B1365" s="49" t="s">
        <v>1806</v>
      </c>
      <c r="D1365" s="49">
        <v>7.95</v>
      </c>
      <c r="E1365" s="49">
        <v>17.152000000000001</v>
      </c>
      <c r="F1365" s="49">
        <v>12.551</v>
      </c>
      <c r="G1365" s="54">
        <v>3.05</v>
      </c>
      <c r="H1365" s="56">
        <f t="shared" si="63"/>
        <v>24.247499999999999</v>
      </c>
      <c r="I1365" s="57">
        <f t="shared" si="64"/>
        <v>38.280549999999998</v>
      </c>
      <c r="J1365" s="56">
        <f t="shared" si="65"/>
        <v>52.313600000000001</v>
      </c>
    </row>
    <row r="1366" spans="1:10" ht="18">
      <c r="A1366" s="49">
        <v>6275</v>
      </c>
      <c r="B1366" s="49" t="s">
        <v>1807</v>
      </c>
      <c r="D1366" s="49">
        <v>13.870000000000001</v>
      </c>
      <c r="E1366" s="49">
        <v>25.515999999999998</v>
      </c>
      <c r="F1366" s="49">
        <v>19.692999999999998</v>
      </c>
      <c r="G1366" s="54">
        <v>4.08</v>
      </c>
      <c r="H1366" s="56">
        <f t="shared" si="63"/>
        <v>56.589600000000004</v>
      </c>
      <c r="I1366" s="57">
        <f t="shared" si="64"/>
        <v>80.347439999999992</v>
      </c>
      <c r="J1366" s="56">
        <f t="shared" si="65"/>
        <v>104.10527999999999</v>
      </c>
    </row>
    <row r="1367" spans="1:10" ht="18">
      <c r="A1367" s="49">
        <v>6276</v>
      </c>
      <c r="B1367" s="49" t="s">
        <v>1808</v>
      </c>
      <c r="D1367" s="49">
        <v>16.957999999999998</v>
      </c>
      <c r="E1367" s="49">
        <v>21.36</v>
      </c>
      <c r="F1367" s="49">
        <v>19.158999999999999</v>
      </c>
      <c r="G1367" s="54">
        <v>1.88</v>
      </c>
      <c r="H1367" s="56">
        <f t="shared" si="63"/>
        <v>31.881039999999995</v>
      </c>
      <c r="I1367" s="57">
        <f t="shared" si="64"/>
        <v>36.018919999999994</v>
      </c>
      <c r="J1367" s="56">
        <f t="shared" si="65"/>
        <v>40.156799999999997</v>
      </c>
    </row>
    <row r="1368" spans="1:10" ht="18">
      <c r="A1368" s="49">
        <v>6277</v>
      </c>
      <c r="B1368" s="49" t="s">
        <v>1067</v>
      </c>
      <c r="D1368" s="49">
        <v>9.2460000000000004</v>
      </c>
      <c r="E1368" s="49">
        <v>18.562000000000001</v>
      </c>
      <c r="F1368" s="49">
        <v>13.904</v>
      </c>
      <c r="G1368" s="54">
        <v>4.7300000000000004</v>
      </c>
      <c r="H1368" s="56">
        <f t="shared" si="63"/>
        <v>43.733580000000003</v>
      </c>
      <c r="I1368" s="57">
        <f t="shared" si="64"/>
        <v>65.765920000000008</v>
      </c>
      <c r="J1368" s="56">
        <f t="shared" si="65"/>
        <v>87.798260000000013</v>
      </c>
    </row>
    <row r="1369" spans="1:10" ht="18">
      <c r="A1369" s="49">
        <v>6278</v>
      </c>
      <c r="B1369" s="49" t="s">
        <v>1068</v>
      </c>
      <c r="D1369" s="49">
        <v>7.0019999999999998</v>
      </c>
      <c r="E1369" s="49">
        <v>17.648</v>
      </c>
      <c r="F1369" s="49">
        <v>12.324999999999999</v>
      </c>
      <c r="G1369" s="54">
        <v>8.57</v>
      </c>
      <c r="H1369" s="56">
        <f t="shared" si="63"/>
        <v>60.00714</v>
      </c>
      <c r="I1369" s="57">
        <f t="shared" si="64"/>
        <v>105.62524999999999</v>
      </c>
      <c r="J1369" s="56">
        <f t="shared" si="65"/>
        <v>151.24336</v>
      </c>
    </row>
    <row r="1370" spans="1:10" ht="18">
      <c r="A1370" s="49">
        <v>6279</v>
      </c>
      <c r="B1370" s="49" t="s">
        <v>1809</v>
      </c>
      <c r="D1370" s="49">
        <v>10.314000000000002</v>
      </c>
      <c r="E1370" s="49">
        <v>22.36</v>
      </c>
      <c r="F1370" s="49">
        <v>16.337</v>
      </c>
      <c r="G1370" s="54">
        <v>9.24</v>
      </c>
      <c r="H1370" s="56">
        <f t="shared" si="63"/>
        <v>95.301360000000017</v>
      </c>
      <c r="I1370" s="57">
        <f t="shared" si="64"/>
        <v>150.95388</v>
      </c>
      <c r="J1370" s="56">
        <f t="shared" si="65"/>
        <v>206.60640000000001</v>
      </c>
    </row>
    <row r="1371" spans="1:10" ht="18">
      <c r="A1371" s="49">
        <v>6281</v>
      </c>
      <c r="B1371" s="49" t="s">
        <v>1069</v>
      </c>
      <c r="D1371" s="49">
        <v>11.084</v>
      </c>
      <c r="E1371" s="49">
        <v>15.272</v>
      </c>
      <c r="F1371" s="49">
        <v>13.178000000000001</v>
      </c>
      <c r="G1371" s="54">
        <v>5.13</v>
      </c>
      <c r="H1371" s="56">
        <f t="shared" si="63"/>
        <v>56.86092</v>
      </c>
      <c r="I1371" s="57">
        <f t="shared" si="64"/>
        <v>67.603139999999996</v>
      </c>
      <c r="J1371" s="56">
        <f t="shared" si="65"/>
        <v>78.345359999999999</v>
      </c>
    </row>
    <row r="1372" spans="1:10" ht="18">
      <c r="A1372" s="49">
        <v>6282</v>
      </c>
      <c r="B1372" s="49" t="s">
        <v>1070</v>
      </c>
      <c r="D1372" s="49">
        <v>9.1800000000000015</v>
      </c>
      <c r="E1372" s="49">
        <v>20.535999999999998</v>
      </c>
      <c r="F1372" s="49">
        <v>14.858000000000001</v>
      </c>
      <c r="G1372" s="54">
        <v>7.0000000000000007E-2</v>
      </c>
      <c r="H1372" s="56">
        <f t="shared" si="63"/>
        <v>0.64260000000000017</v>
      </c>
      <c r="I1372" s="57">
        <f t="shared" si="64"/>
        <v>1.0400600000000002</v>
      </c>
      <c r="J1372" s="56">
        <f t="shared" si="65"/>
        <v>1.4375199999999999</v>
      </c>
    </row>
    <row r="1373" spans="1:10" ht="18">
      <c r="A1373" s="49">
        <v>6283</v>
      </c>
      <c r="B1373" s="49" t="s">
        <v>1071</v>
      </c>
      <c r="D1373" s="49">
        <v>0</v>
      </c>
      <c r="E1373" s="49">
        <v>0</v>
      </c>
      <c r="F1373" s="49">
        <v>0</v>
      </c>
      <c r="G1373" s="54">
        <v>-1.19</v>
      </c>
      <c r="H1373" s="56">
        <f t="shared" si="63"/>
        <v>0</v>
      </c>
      <c r="I1373" s="57">
        <f t="shared" si="64"/>
        <v>0</v>
      </c>
      <c r="J1373" s="56">
        <f t="shared" si="65"/>
        <v>0</v>
      </c>
    </row>
    <row r="1374" spans="1:10" ht="18">
      <c r="A1374" s="49">
        <v>6284</v>
      </c>
      <c r="B1374" s="49" t="s">
        <v>1810</v>
      </c>
      <c r="D1374" s="49">
        <v>10.831999999999999</v>
      </c>
      <c r="E1374" s="49">
        <v>25.603999999999996</v>
      </c>
      <c r="F1374" s="49">
        <v>18.217999999999996</v>
      </c>
      <c r="G1374" s="54">
        <v>5.01</v>
      </c>
      <c r="H1374" s="56">
        <f t="shared" si="63"/>
        <v>54.268319999999996</v>
      </c>
      <c r="I1374" s="57">
        <f t="shared" si="64"/>
        <v>91.272179999999977</v>
      </c>
      <c r="J1374" s="56">
        <f t="shared" si="65"/>
        <v>128.27603999999997</v>
      </c>
    </row>
    <row r="1375" spans="1:10" ht="18">
      <c r="A1375" s="49">
        <v>6285</v>
      </c>
      <c r="B1375" s="49" t="s">
        <v>1072</v>
      </c>
      <c r="D1375" s="49">
        <v>9.418000000000001</v>
      </c>
      <c r="E1375" s="49">
        <v>20.646000000000004</v>
      </c>
      <c r="F1375" s="49">
        <v>15.032000000000004</v>
      </c>
      <c r="G1375" s="54">
        <v>8.98</v>
      </c>
      <c r="H1375" s="56">
        <f t="shared" si="63"/>
        <v>84.573640000000012</v>
      </c>
      <c r="I1375" s="57">
        <f t="shared" si="64"/>
        <v>134.98736000000005</v>
      </c>
      <c r="J1375" s="56">
        <f t="shared" si="65"/>
        <v>185.40108000000004</v>
      </c>
    </row>
    <row r="1376" spans="1:10" ht="18">
      <c r="A1376" s="49">
        <v>6287</v>
      </c>
      <c r="B1376" s="49" t="s">
        <v>1811</v>
      </c>
      <c r="D1376" s="49">
        <v>0</v>
      </c>
      <c r="E1376" s="49">
        <v>0</v>
      </c>
      <c r="F1376" s="49">
        <v>0</v>
      </c>
      <c r="G1376" s="54">
        <v>-2.1</v>
      </c>
      <c r="H1376" s="56">
        <f t="shared" si="63"/>
        <v>0</v>
      </c>
      <c r="I1376" s="57">
        <f t="shared" si="64"/>
        <v>0</v>
      </c>
      <c r="J1376" s="56">
        <f t="shared" si="65"/>
        <v>0</v>
      </c>
    </row>
    <row r="1377" spans="1:10" ht="18">
      <c r="A1377" s="49">
        <v>6288</v>
      </c>
      <c r="B1377" s="49" t="s">
        <v>1073</v>
      </c>
      <c r="D1377" s="49">
        <v>0</v>
      </c>
      <c r="E1377" s="49">
        <v>0</v>
      </c>
      <c r="F1377" s="49">
        <v>0</v>
      </c>
      <c r="G1377" s="54">
        <v>0.05</v>
      </c>
      <c r="H1377" s="56">
        <f t="shared" si="63"/>
        <v>0</v>
      </c>
      <c r="I1377" s="57">
        <f t="shared" si="64"/>
        <v>0</v>
      </c>
      <c r="J1377" s="56">
        <f t="shared" si="65"/>
        <v>0</v>
      </c>
    </row>
    <row r="1378" spans="1:10" ht="18">
      <c r="A1378" s="49">
        <v>6290</v>
      </c>
      <c r="B1378" s="49" t="s">
        <v>1812</v>
      </c>
      <c r="D1378" s="49">
        <v>8.5939999999999994</v>
      </c>
      <c r="E1378" s="49">
        <v>24.842000000000002</v>
      </c>
      <c r="F1378" s="49">
        <v>16.718</v>
      </c>
      <c r="G1378" s="54">
        <v>4.17</v>
      </c>
      <c r="H1378" s="56">
        <f t="shared" si="63"/>
        <v>35.836979999999997</v>
      </c>
      <c r="I1378" s="57">
        <f t="shared" si="64"/>
        <v>69.714060000000003</v>
      </c>
      <c r="J1378" s="56">
        <f t="shared" si="65"/>
        <v>103.59114000000001</v>
      </c>
    </row>
    <row r="1379" spans="1:10" ht="18">
      <c r="A1379" s="49">
        <v>6291</v>
      </c>
      <c r="B1379" s="49" t="s">
        <v>1813</v>
      </c>
      <c r="D1379" s="49">
        <v>0</v>
      </c>
      <c r="E1379" s="49">
        <v>0</v>
      </c>
      <c r="F1379" s="49">
        <v>0</v>
      </c>
      <c r="G1379" s="54">
        <v>10.32</v>
      </c>
      <c r="H1379" s="56">
        <f t="shared" si="63"/>
        <v>0</v>
      </c>
      <c r="I1379" s="57">
        <f t="shared" si="64"/>
        <v>0</v>
      </c>
      <c r="J1379" s="56">
        <f t="shared" si="65"/>
        <v>0</v>
      </c>
    </row>
    <row r="1380" spans="1:10" ht="18">
      <c r="A1380" s="49">
        <v>6292</v>
      </c>
      <c r="B1380" s="49" t="s">
        <v>1814</v>
      </c>
      <c r="D1380" s="49">
        <v>8.5079999999999991</v>
      </c>
      <c r="E1380" s="49">
        <v>12.096</v>
      </c>
      <c r="F1380" s="49">
        <v>10.302</v>
      </c>
      <c r="G1380" s="54">
        <v>5.52</v>
      </c>
      <c r="H1380" s="56">
        <f t="shared" si="63"/>
        <v>46.964159999999993</v>
      </c>
      <c r="I1380" s="57">
        <f t="shared" si="64"/>
        <v>56.867039999999996</v>
      </c>
      <c r="J1380" s="56">
        <f t="shared" si="65"/>
        <v>66.769919999999999</v>
      </c>
    </row>
    <row r="1381" spans="1:10" ht="18">
      <c r="A1381" s="49">
        <v>6294</v>
      </c>
      <c r="B1381" s="49" t="s">
        <v>1815</v>
      </c>
      <c r="D1381" s="49">
        <v>11.144000000000002</v>
      </c>
      <c r="E1381" s="49">
        <v>12.875999999999999</v>
      </c>
      <c r="F1381" s="49">
        <v>12.010000000000002</v>
      </c>
      <c r="G1381" s="54">
        <v>9.4600000000000009</v>
      </c>
      <c r="H1381" s="56">
        <f t="shared" si="63"/>
        <v>105.42224000000003</v>
      </c>
      <c r="I1381" s="57">
        <f t="shared" si="64"/>
        <v>113.61460000000002</v>
      </c>
      <c r="J1381" s="56">
        <f t="shared" si="65"/>
        <v>121.80696</v>
      </c>
    </row>
    <row r="1382" spans="1:10" ht="18">
      <c r="A1382" s="49">
        <v>6404</v>
      </c>
      <c r="B1382" s="49" t="s">
        <v>1816</v>
      </c>
      <c r="D1382" s="49">
        <v>0</v>
      </c>
      <c r="E1382" s="49">
        <v>0</v>
      </c>
      <c r="F1382" s="49">
        <v>0</v>
      </c>
      <c r="G1382" s="54">
        <v>-5.77</v>
      </c>
      <c r="H1382" s="56">
        <f t="shared" si="63"/>
        <v>0</v>
      </c>
      <c r="I1382" s="57">
        <f t="shared" si="64"/>
        <v>0</v>
      </c>
      <c r="J1382" s="56">
        <f t="shared" si="65"/>
        <v>0</v>
      </c>
    </row>
    <row r="1383" spans="1:10" ht="18">
      <c r="A1383" s="49">
        <v>6405</v>
      </c>
      <c r="B1383" s="49" t="s">
        <v>1074</v>
      </c>
      <c r="D1383" s="49">
        <v>12.816000000000003</v>
      </c>
      <c r="E1383" s="49">
        <v>17.393999999999998</v>
      </c>
      <c r="F1383" s="49">
        <v>15.105</v>
      </c>
      <c r="G1383" s="54">
        <v>-1.31</v>
      </c>
      <c r="H1383" s="56">
        <f t="shared" si="63"/>
        <v>-16.788960000000003</v>
      </c>
      <c r="I1383" s="57">
        <f t="shared" si="64"/>
        <v>-19.787550000000003</v>
      </c>
      <c r="J1383" s="56">
        <f t="shared" si="65"/>
        <v>-22.78614</v>
      </c>
    </row>
    <row r="1384" spans="1:10" ht="18">
      <c r="A1384" s="49">
        <v>6409</v>
      </c>
      <c r="B1384" s="49" t="s">
        <v>1075</v>
      </c>
      <c r="D1384" s="49">
        <v>25.671999999999997</v>
      </c>
      <c r="E1384" s="49">
        <v>31.756</v>
      </c>
      <c r="F1384" s="49">
        <v>28.713999999999999</v>
      </c>
      <c r="G1384" s="54">
        <v>41.52</v>
      </c>
      <c r="H1384" s="56">
        <f t="shared" si="63"/>
        <v>1065.9014399999999</v>
      </c>
      <c r="I1384" s="57">
        <f t="shared" si="64"/>
        <v>1192.2052800000001</v>
      </c>
      <c r="J1384" s="56">
        <f t="shared" si="65"/>
        <v>1318.5091200000002</v>
      </c>
    </row>
    <row r="1385" spans="1:10" ht="18">
      <c r="A1385" s="49">
        <v>6411</v>
      </c>
      <c r="B1385" s="49" t="s">
        <v>1817</v>
      </c>
      <c r="D1385" s="49">
        <v>12.081999999999999</v>
      </c>
      <c r="E1385" s="49">
        <v>24.907999999999998</v>
      </c>
      <c r="F1385" s="49">
        <v>18.494999999999997</v>
      </c>
      <c r="G1385" s="54">
        <v>4.2</v>
      </c>
      <c r="H1385" s="56">
        <f t="shared" si="63"/>
        <v>50.744399999999999</v>
      </c>
      <c r="I1385" s="57">
        <f t="shared" si="64"/>
        <v>77.678999999999988</v>
      </c>
      <c r="J1385" s="56">
        <f t="shared" si="65"/>
        <v>104.61359999999999</v>
      </c>
    </row>
    <row r="1386" spans="1:10" ht="18">
      <c r="A1386" s="49">
        <v>6412</v>
      </c>
      <c r="B1386" s="49" t="s">
        <v>1076</v>
      </c>
      <c r="D1386" s="49">
        <v>12.145999999999999</v>
      </c>
      <c r="E1386" s="49">
        <v>17.231999999999999</v>
      </c>
      <c r="F1386" s="49">
        <v>14.689</v>
      </c>
      <c r="G1386" s="54">
        <v>8.27</v>
      </c>
      <c r="H1386" s="56">
        <f t="shared" si="63"/>
        <v>100.44741999999998</v>
      </c>
      <c r="I1386" s="57">
        <f t="shared" si="64"/>
        <v>121.47802999999999</v>
      </c>
      <c r="J1386" s="56">
        <f t="shared" si="65"/>
        <v>142.50863999999999</v>
      </c>
    </row>
    <row r="1387" spans="1:10" ht="18">
      <c r="A1387" s="49">
        <v>6414</v>
      </c>
      <c r="B1387" s="49" t="s">
        <v>1077</v>
      </c>
      <c r="D1387" s="49">
        <v>15.124000000000001</v>
      </c>
      <c r="E1387" s="49">
        <v>30.213999999999999</v>
      </c>
      <c r="F1387" s="49">
        <v>22.669</v>
      </c>
      <c r="G1387" s="54">
        <v>19.010000000000002</v>
      </c>
      <c r="H1387" s="56">
        <f t="shared" si="63"/>
        <v>287.50724000000002</v>
      </c>
      <c r="I1387" s="57">
        <f t="shared" si="64"/>
        <v>430.93769000000003</v>
      </c>
      <c r="J1387" s="56">
        <f t="shared" si="65"/>
        <v>574.36814000000004</v>
      </c>
    </row>
    <row r="1388" spans="1:10" ht="18">
      <c r="A1388" s="49">
        <v>6415</v>
      </c>
      <c r="B1388" s="49" t="s">
        <v>1078</v>
      </c>
      <c r="D1388" s="49">
        <v>25.131999999999998</v>
      </c>
      <c r="E1388" s="49">
        <v>28.810000000000002</v>
      </c>
      <c r="F1388" s="49">
        <v>26.971</v>
      </c>
      <c r="G1388" s="54">
        <v>1.96</v>
      </c>
      <c r="H1388" s="56">
        <f t="shared" si="63"/>
        <v>49.258719999999997</v>
      </c>
      <c r="I1388" s="57">
        <f t="shared" si="64"/>
        <v>52.863160000000001</v>
      </c>
      <c r="J1388" s="56">
        <f t="shared" si="65"/>
        <v>56.467600000000004</v>
      </c>
    </row>
    <row r="1389" spans="1:10" ht="18">
      <c r="A1389" s="49">
        <v>6416</v>
      </c>
      <c r="B1389" s="49" t="s">
        <v>1079</v>
      </c>
      <c r="D1389" s="49">
        <v>19.756000000000004</v>
      </c>
      <c r="E1389" s="49">
        <v>22.598000000000003</v>
      </c>
      <c r="F1389" s="49">
        <v>21.177000000000003</v>
      </c>
      <c r="G1389" s="54">
        <v>4.4000000000000004</v>
      </c>
      <c r="H1389" s="56">
        <f t="shared" si="63"/>
        <v>86.926400000000029</v>
      </c>
      <c r="I1389" s="57">
        <f t="shared" si="64"/>
        <v>93.178800000000024</v>
      </c>
      <c r="J1389" s="56">
        <f t="shared" si="65"/>
        <v>99.431200000000018</v>
      </c>
    </row>
    <row r="1390" spans="1:10" ht="18">
      <c r="A1390" s="49">
        <v>6417</v>
      </c>
      <c r="B1390" s="49" t="s">
        <v>1818</v>
      </c>
      <c r="D1390" s="49">
        <v>19.977999999999998</v>
      </c>
      <c r="E1390" s="49">
        <v>30.465999999999998</v>
      </c>
      <c r="F1390" s="49">
        <v>25.221999999999998</v>
      </c>
      <c r="G1390" s="54">
        <v>4.0199999999999996</v>
      </c>
      <c r="H1390" s="56">
        <f t="shared" si="63"/>
        <v>80.311559999999986</v>
      </c>
      <c r="I1390" s="57">
        <f t="shared" si="64"/>
        <v>101.39243999999998</v>
      </c>
      <c r="J1390" s="56">
        <f t="shared" si="65"/>
        <v>122.47331999999997</v>
      </c>
    </row>
    <row r="1391" spans="1:10" ht="18">
      <c r="A1391" s="49">
        <v>6418</v>
      </c>
      <c r="B1391" s="49" t="s">
        <v>1819</v>
      </c>
      <c r="D1391" s="49">
        <v>0</v>
      </c>
      <c r="E1391" s="49">
        <v>0</v>
      </c>
      <c r="F1391" s="49">
        <v>0</v>
      </c>
      <c r="G1391" s="54">
        <v>0.28000000000000003</v>
      </c>
      <c r="H1391" s="56">
        <f t="shared" si="63"/>
        <v>0</v>
      </c>
      <c r="I1391" s="57">
        <f t="shared" si="64"/>
        <v>0</v>
      </c>
      <c r="J1391" s="56">
        <f t="shared" si="65"/>
        <v>0</v>
      </c>
    </row>
    <row r="1392" spans="1:10" ht="18">
      <c r="A1392" s="49">
        <v>6419</v>
      </c>
      <c r="B1392" s="49" t="s">
        <v>1820</v>
      </c>
      <c r="D1392" s="49">
        <v>23.068000000000001</v>
      </c>
      <c r="E1392" s="49">
        <v>23.068000000000001</v>
      </c>
      <c r="F1392" s="49">
        <v>23.068000000000001</v>
      </c>
      <c r="G1392" s="54">
        <v>1.48</v>
      </c>
      <c r="H1392" s="56">
        <f t="shared" si="63"/>
        <v>34.140640000000005</v>
      </c>
      <c r="I1392" s="57">
        <f t="shared" si="64"/>
        <v>34.140640000000005</v>
      </c>
      <c r="J1392" s="56">
        <f t="shared" si="65"/>
        <v>34.140640000000005</v>
      </c>
    </row>
    <row r="1393" spans="1:10" ht="18">
      <c r="A1393" s="49">
        <v>6425</v>
      </c>
      <c r="B1393" s="49" t="s">
        <v>1821</v>
      </c>
      <c r="D1393" s="49">
        <v>0</v>
      </c>
      <c r="E1393" s="49">
        <v>0</v>
      </c>
      <c r="F1393" s="49">
        <v>0</v>
      </c>
      <c r="G1393" s="54">
        <v>0.7</v>
      </c>
      <c r="H1393" s="56">
        <f t="shared" si="63"/>
        <v>0</v>
      </c>
      <c r="I1393" s="57">
        <f t="shared" si="64"/>
        <v>0</v>
      </c>
      <c r="J1393" s="56">
        <f t="shared" si="65"/>
        <v>0</v>
      </c>
    </row>
    <row r="1394" spans="1:10" ht="18">
      <c r="A1394" s="49">
        <v>6426</v>
      </c>
      <c r="B1394" s="49" t="s">
        <v>1080</v>
      </c>
      <c r="D1394" s="49">
        <v>22.354000000000003</v>
      </c>
      <c r="E1394" s="49">
        <v>22.354000000000003</v>
      </c>
      <c r="F1394" s="49">
        <v>22.354000000000003</v>
      </c>
      <c r="G1394" s="54">
        <v>-2.68</v>
      </c>
      <c r="H1394" s="56">
        <f t="shared" si="63"/>
        <v>-59.90872000000001</v>
      </c>
      <c r="I1394" s="57">
        <f t="shared" si="64"/>
        <v>-59.90872000000001</v>
      </c>
      <c r="J1394" s="56">
        <f t="shared" si="65"/>
        <v>-59.90872000000001</v>
      </c>
    </row>
    <row r="1395" spans="1:10" ht="18">
      <c r="A1395" s="49">
        <v>6431</v>
      </c>
      <c r="B1395" s="49" t="s">
        <v>1081</v>
      </c>
      <c r="D1395" s="49">
        <v>0</v>
      </c>
      <c r="E1395" s="49">
        <v>0</v>
      </c>
      <c r="F1395" s="49">
        <v>0</v>
      </c>
      <c r="G1395" s="54">
        <v>-1.82</v>
      </c>
      <c r="H1395" s="56">
        <f t="shared" si="63"/>
        <v>0</v>
      </c>
      <c r="I1395" s="57">
        <f t="shared" si="64"/>
        <v>0</v>
      </c>
      <c r="J1395" s="56">
        <f t="shared" si="65"/>
        <v>0</v>
      </c>
    </row>
    <row r="1396" spans="1:10" ht="18">
      <c r="A1396" s="49">
        <v>6432</v>
      </c>
      <c r="B1396" s="49" t="s">
        <v>1822</v>
      </c>
      <c r="D1396" s="49">
        <v>11.093999999999999</v>
      </c>
      <c r="E1396" s="49">
        <v>19.658000000000001</v>
      </c>
      <c r="F1396" s="49">
        <v>15.376000000000001</v>
      </c>
      <c r="G1396" s="54">
        <v>1.19</v>
      </c>
      <c r="H1396" s="56">
        <f t="shared" si="63"/>
        <v>13.201859999999998</v>
      </c>
      <c r="I1396" s="57">
        <f t="shared" si="64"/>
        <v>18.297440000000002</v>
      </c>
      <c r="J1396" s="56">
        <f t="shared" si="65"/>
        <v>23.39302</v>
      </c>
    </row>
    <row r="1397" spans="1:10" ht="18">
      <c r="A1397" s="49">
        <v>6435</v>
      </c>
      <c r="B1397" s="49" t="s">
        <v>1823</v>
      </c>
      <c r="D1397" s="49">
        <v>11.976000000000003</v>
      </c>
      <c r="E1397" s="49">
        <v>20.968</v>
      </c>
      <c r="F1397" s="49">
        <v>16.472000000000001</v>
      </c>
      <c r="G1397" s="54">
        <v>3.97</v>
      </c>
      <c r="H1397" s="56">
        <f t="shared" si="63"/>
        <v>47.544720000000012</v>
      </c>
      <c r="I1397" s="57">
        <f t="shared" si="64"/>
        <v>65.393840000000012</v>
      </c>
      <c r="J1397" s="56">
        <f t="shared" si="65"/>
        <v>83.242960000000011</v>
      </c>
    </row>
    <row r="1398" spans="1:10" ht="18">
      <c r="A1398" s="49">
        <v>6438</v>
      </c>
      <c r="B1398" s="49" t="s">
        <v>1082</v>
      </c>
      <c r="D1398" s="49">
        <v>12.628</v>
      </c>
      <c r="E1398" s="49">
        <v>15.091999999999999</v>
      </c>
      <c r="F1398" s="49">
        <v>13.86</v>
      </c>
      <c r="G1398" s="54">
        <v>8.89</v>
      </c>
      <c r="H1398" s="56">
        <f t="shared" si="63"/>
        <v>112.26292000000001</v>
      </c>
      <c r="I1398" s="57">
        <f t="shared" si="64"/>
        <v>123.2154</v>
      </c>
      <c r="J1398" s="56">
        <f t="shared" si="65"/>
        <v>134.16788</v>
      </c>
    </row>
    <row r="1399" spans="1:10" ht="18">
      <c r="A1399" s="49">
        <v>6441</v>
      </c>
      <c r="B1399" s="49" t="s">
        <v>1824</v>
      </c>
      <c r="D1399" s="49">
        <v>0</v>
      </c>
      <c r="E1399" s="49">
        <v>0</v>
      </c>
      <c r="F1399" s="49">
        <v>0</v>
      </c>
      <c r="G1399" s="54">
        <v>-1.42</v>
      </c>
      <c r="H1399" s="56">
        <f t="shared" si="63"/>
        <v>0</v>
      </c>
      <c r="I1399" s="57">
        <f t="shared" si="64"/>
        <v>0</v>
      </c>
      <c r="J1399" s="56">
        <f t="shared" si="65"/>
        <v>0</v>
      </c>
    </row>
    <row r="1400" spans="1:10" ht="18">
      <c r="A1400" s="49">
        <v>6442</v>
      </c>
      <c r="B1400" s="49" t="s">
        <v>1083</v>
      </c>
      <c r="D1400" s="49">
        <v>15.469999999999999</v>
      </c>
      <c r="E1400" s="49">
        <v>23.67</v>
      </c>
      <c r="F1400" s="49">
        <v>19.57</v>
      </c>
      <c r="G1400" s="54">
        <v>2.5299999999999998</v>
      </c>
      <c r="H1400" s="56">
        <f t="shared" si="63"/>
        <v>39.139099999999992</v>
      </c>
      <c r="I1400" s="57">
        <f t="shared" si="64"/>
        <v>49.512099999999997</v>
      </c>
      <c r="J1400" s="56">
        <f t="shared" si="65"/>
        <v>59.885100000000001</v>
      </c>
    </row>
    <row r="1401" spans="1:10" ht="18">
      <c r="A1401" s="49">
        <v>6443</v>
      </c>
      <c r="B1401" s="49" t="s">
        <v>1084</v>
      </c>
      <c r="D1401" s="49">
        <v>0</v>
      </c>
      <c r="E1401" s="49">
        <v>0</v>
      </c>
      <c r="F1401" s="49">
        <v>0</v>
      </c>
      <c r="G1401" s="54">
        <v>1.07</v>
      </c>
      <c r="H1401" s="56">
        <f t="shared" si="63"/>
        <v>0</v>
      </c>
      <c r="I1401" s="57">
        <f t="shared" si="64"/>
        <v>0</v>
      </c>
      <c r="J1401" s="56">
        <f t="shared" si="65"/>
        <v>0</v>
      </c>
    </row>
    <row r="1402" spans="1:10" ht="18">
      <c r="A1402" s="49">
        <v>6446</v>
      </c>
      <c r="B1402" s="49" t="s">
        <v>1825</v>
      </c>
      <c r="D1402" s="49">
        <v>0</v>
      </c>
      <c r="E1402" s="49">
        <v>0</v>
      </c>
      <c r="F1402" s="49">
        <v>0</v>
      </c>
      <c r="G1402" s="54">
        <v>-1.93</v>
      </c>
      <c r="H1402" s="56">
        <f t="shared" si="63"/>
        <v>0</v>
      </c>
      <c r="I1402" s="57">
        <f t="shared" si="64"/>
        <v>0</v>
      </c>
      <c r="J1402" s="56">
        <f t="shared" si="65"/>
        <v>0</v>
      </c>
    </row>
    <row r="1403" spans="1:10" ht="18">
      <c r="A1403" s="49">
        <v>6449</v>
      </c>
      <c r="B1403" s="49" t="s">
        <v>1085</v>
      </c>
      <c r="D1403" s="49">
        <v>11.5</v>
      </c>
      <c r="E1403" s="49">
        <v>23.472000000000001</v>
      </c>
      <c r="F1403" s="49">
        <v>17.486000000000001</v>
      </c>
      <c r="G1403" s="54">
        <v>3.73</v>
      </c>
      <c r="H1403" s="56">
        <f t="shared" si="63"/>
        <v>42.895000000000003</v>
      </c>
      <c r="I1403" s="57">
        <f t="shared" si="64"/>
        <v>65.22278</v>
      </c>
      <c r="J1403" s="56">
        <f t="shared" si="65"/>
        <v>87.550560000000004</v>
      </c>
    </row>
    <row r="1404" spans="1:10" ht="18">
      <c r="A1404" s="49">
        <v>6451</v>
      </c>
      <c r="B1404" s="49" t="s">
        <v>1086</v>
      </c>
      <c r="D1404" s="49">
        <v>16.512</v>
      </c>
      <c r="E1404" s="49">
        <v>16.512</v>
      </c>
      <c r="F1404" s="49">
        <v>16.512</v>
      </c>
      <c r="G1404" s="54">
        <v>4.0999999999999996</v>
      </c>
      <c r="H1404" s="56">
        <f t="shared" si="63"/>
        <v>67.69919999999999</v>
      </c>
      <c r="I1404" s="57">
        <f t="shared" si="64"/>
        <v>67.69919999999999</v>
      </c>
      <c r="J1404" s="56">
        <f t="shared" si="65"/>
        <v>67.69919999999999</v>
      </c>
    </row>
    <row r="1405" spans="1:10" ht="18">
      <c r="A1405" s="49">
        <v>6456</v>
      </c>
      <c r="B1405" s="49" t="s">
        <v>1087</v>
      </c>
      <c r="D1405" s="49">
        <v>8.5</v>
      </c>
      <c r="E1405" s="49">
        <v>13.675999999999998</v>
      </c>
      <c r="F1405" s="49">
        <v>11.087999999999999</v>
      </c>
      <c r="G1405" s="54">
        <v>-8.11</v>
      </c>
      <c r="H1405" s="56">
        <f t="shared" si="63"/>
        <v>-68.935000000000002</v>
      </c>
      <c r="I1405" s="57">
        <f t="shared" si="64"/>
        <v>-89.92367999999999</v>
      </c>
      <c r="J1405" s="56">
        <f t="shared" si="65"/>
        <v>-110.91235999999998</v>
      </c>
    </row>
    <row r="1406" spans="1:10" ht="18">
      <c r="A1406" s="49">
        <v>6457</v>
      </c>
      <c r="B1406" s="49" t="s">
        <v>1826</v>
      </c>
      <c r="D1406" s="49">
        <v>15.304000000000002</v>
      </c>
      <c r="E1406" s="49">
        <v>18.099999999999998</v>
      </c>
      <c r="F1406" s="49">
        <v>16.701999999999998</v>
      </c>
      <c r="G1406" s="54">
        <v>-3.2</v>
      </c>
      <c r="H1406" s="56">
        <f t="shared" si="63"/>
        <v>-48.972800000000007</v>
      </c>
      <c r="I1406" s="57">
        <f t="shared" si="64"/>
        <v>-53.446399999999997</v>
      </c>
      <c r="J1406" s="56">
        <f t="shared" si="65"/>
        <v>-57.919999999999995</v>
      </c>
    </row>
    <row r="1407" spans="1:10" ht="18">
      <c r="A1407" s="49">
        <v>6461</v>
      </c>
      <c r="B1407" s="49" t="s">
        <v>1827</v>
      </c>
      <c r="D1407" s="49">
        <v>0</v>
      </c>
      <c r="E1407" s="49">
        <v>0</v>
      </c>
      <c r="F1407" s="49">
        <v>0</v>
      </c>
      <c r="G1407" s="54">
        <v>-2.81</v>
      </c>
      <c r="H1407" s="56">
        <f t="shared" si="63"/>
        <v>0</v>
      </c>
      <c r="I1407" s="57">
        <f t="shared" si="64"/>
        <v>0</v>
      </c>
      <c r="J1407" s="56">
        <f t="shared" si="65"/>
        <v>0</v>
      </c>
    </row>
    <row r="1408" spans="1:10" ht="18">
      <c r="A1408" s="49">
        <v>6462</v>
      </c>
      <c r="B1408" s="49" t="s">
        <v>1828</v>
      </c>
      <c r="D1408" s="49">
        <v>0</v>
      </c>
      <c r="E1408" s="49">
        <v>0</v>
      </c>
      <c r="F1408" s="49">
        <v>0</v>
      </c>
      <c r="G1408" s="54">
        <v>-9.9700000000000006</v>
      </c>
      <c r="H1408" s="56">
        <f t="shared" si="63"/>
        <v>0</v>
      </c>
      <c r="I1408" s="57">
        <f t="shared" si="64"/>
        <v>0</v>
      </c>
      <c r="J1408" s="56">
        <f t="shared" si="65"/>
        <v>0</v>
      </c>
    </row>
    <row r="1409" spans="1:10" ht="18">
      <c r="A1409" s="49">
        <v>6464</v>
      </c>
      <c r="B1409" s="49" t="s">
        <v>1088</v>
      </c>
      <c r="D1409" s="49">
        <v>13.023999999999997</v>
      </c>
      <c r="E1409" s="49">
        <v>20.436</v>
      </c>
      <c r="F1409" s="49">
        <v>16.729999999999997</v>
      </c>
      <c r="G1409" s="54">
        <v>5.78</v>
      </c>
      <c r="H1409" s="56">
        <f t="shared" si="63"/>
        <v>75.278719999999993</v>
      </c>
      <c r="I1409" s="57">
        <f t="shared" si="64"/>
        <v>96.699399999999983</v>
      </c>
      <c r="J1409" s="56">
        <f t="shared" si="65"/>
        <v>118.12008</v>
      </c>
    </row>
    <row r="1410" spans="1:10" ht="18">
      <c r="A1410" s="49">
        <v>6465</v>
      </c>
      <c r="B1410" s="49" t="s">
        <v>1829</v>
      </c>
      <c r="D1410" s="49">
        <v>0</v>
      </c>
      <c r="E1410" s="49">
        <v>0</v>
      </c>
      <c r="F1410" s="49">
        <v>0</v>
      </c>
      <c r="G1410" s="54">
        <v>-1.66</v>
      </c>
      <c r="H1410" s="56">
        <f t="shared" si="63"/>
        <v>0</v>
      </c>
      <c r="I1410" s="57">
        <f t="shared" si="64"/>
        <v>0</v>
      </c>
      <c r="J1410" s="56">
        <f t="shared" si="65"/>
        <v>0</v>
      </c>
    </row>
    <row r="1411" spans="1:10" ht="18">
      <c r="A1411" s="49">
        <v>6469</v>
      </c>
      <c r="B1411" s="49" t="s">
        <v>1830</v>
      </c>
      <c r="D1411" s="49">
        <v>24.506</v>
      </c>
      <c r="E1411" s="49">
        <v>24.506</v>
      </c>
      <c r="F1411" s="49">
        <v>24.506</v>
      </c>
      <c r="G1411" s="54">
        <v>5.68</v>
      </c>
      <c r="H1411" s="56">
        <f t="shared" ref="H1411:H1474" si="66">G1411*D1411</f>
        <v>139.19407999999999</v>
      </c>
      <c r="I1411" s="57">
        <f t="shared" ref="I1411:I1474" si="67">G1411*F1411</f>
        <v>139.19407999999999</v>
      </c>
      <c r="J1411" s="56">
        <f t="shared" ref="J1411:J1474" si="68">G1411*E1411</f>
        <v>139.19407999999999</v>
      </c>
    </row>
    <row r="1412" spans="1:10" ht="18">
      <c r="A1412" s="49">
        <v>6470</v>
      </c>
      <c r="B1412" s="49" t="s">
        <v>1831</v>
      </c>
      <c r="D1412" s="49">
        <v>9.7439999999999998</v>
      </c>
      <c r="E1412" s="49">
        <v>14.810000000000002</v>
      </c>
      <c r="F1412" s="49">
        <v>12.277000000000001</v>
      </c>
      <c r="G1412" s="54">
        <v>4.18</v>
      </c>
      <c r="H1412" s="56">
        <f t="shared" si="66"/>
        <v>40.729919999999993</v>
      </c>
      <c r="I1412" s="57">
        <f t="shared" si="67"/>
        <v>51.317860000000003</v>
      </c>
      <c r="J1412" s="56">
        <f t="shared" si="68"/>
        <v>61.905800000000006</v>
      </c>
    </row>
    <row r="1413" spans="1:10" ht="18">
      <c r="A1413" s="49">
        <v>6472</v>
      </c>
      <c r="B1413" s="49" t="s">
        <v>1832</v>
      </c>
      <c r="D1413" s="49">
        <v>17.458000000000002</v>
      </c>
      <c r="E1413" s="49">
        <v>17.458000000000002</v>
      </c>
      <c r="F1413" s="49">
        <v>17.458000000000002</v>
      </c>
      <c r="G1413" s="54">
        <v>27.06</v>
      </c>
      <c r="H1413" s="56">
        <f t="shared" si="66"/>
        <v>472.41348000000005</v>
      </c>
      <c r="I1413" s="57">
        <f t="shared" si="67"/>
        <v>472.41348000000005</v>
      </c>
      <c r="J1413" s="56">
        <f t="shared" si="68"/>
        <v>472.41348000000005</v>
      </c>
    </row>
    <row r="1414" spans="1:10" ht="18">
      <c r="A1414" s="49">
        <v>6477</v>
      </c>
      <c r="B1414" s="49" t="s">
        <v>1089</v>
      </c>
      <c r="D1414" s="49">
        <v>17.904000000000003</v>
      </c>
      <c r="E1414" s="49">
        <v>26.577999999999996</v>
      </c>
      <c r="F1414" s="49">
        <v>22.241</v>
      </c>
      <c r="G1414" s="54">
        <v>1.2</v>
      </c>
      <c r="H1414" s="56">
        <f t="shared" si="66"/>
        <v>21.484800000000003</v>
      </c>
      <c r="I1414" s="57">
        <f t="shared" si="67"/>
        <v>26.6892</v>
      </c>
      <c r="J1414" s="56">
        <f t="shared" si="68"/>
        <v>31.893599999999992</v>
      </c>
    </row>
    <row r="1415" spans="1:10" ht="18">
      <c r="A1415" s="49">
        <v>6482</v>
      </c>
      <c r="B1415" s="49" t="s">
        <v>1833</v>
      </c>
      <c r="D1415" s="49">
        <v>0</v>
      </c>
      <c r="E1415" s="49">
        <v>0</v>
      </c>
      <c r="F1415" s="49">
        <v>0</v>
      </c>
      <c r="G1415" s="54">
        <v>1.57</v>
      </c>
      <c r="H1415" s="56">
        <f t="shared" si="66"/>
        <v>0</v>
      </c>
      <c r="I1415" s="57">
        <f t="shared" si="67"/>
        <v>0</v>
      </c>
      <c r="J1415" s="56">
        <f t="shared" si="68"/>
        <v>0</v>
      </c>
    </row>
    <row r="1416" spans="1:10" ht="18">
      <c r="A1416" s="49">
        <v>6485</v>
      </c>
      <c r="B1416" s="49" t="s">
        <v>1834</v>
      </c>
      <c r="D1416" s="49">
        <v>12.508000000000001</v>
      </c>
      <c r="E1416" s="49">
        <v>18.226000000000003</v>
      </c>
      <c r="F1416" s="49">
        <v>15.367000000000001</v>
      </c>
      <c r="G1416" s="54">
        <v>2</v>
      </c>
      <c r="H1416" s="56">
        <f t="shared" si="66"/>
        <v>25.016000000000002</v>
      </c>
      <c r="I1416" s="57">
        <f t="shared" si="67"/>
        <v>30.734000000000002</v>
      </c>
      <c r="J1416" s="56">
        <f t="shared" si="68"/>
        <v>36.452000000000005</v>
      </c>
    </row>
    <row r="1417" spans="1:10" ht="18">
      <c r="A1417" s="49">
        <v>6486</v>
      </c>
      <c r="B1417" s="49" t="s">
        <v>1835</v>
      </c>
      <c r="D1417" s="49">
        <v>10.412000000000001</v>
      </c>
      <c r="E1417" s="49">
        <v>13.63</v>
      </c>
      <c r="F1417" s="49">
        <v>12.021000000000001</v>
      </c>
      <c r="G1417" s="54">
        <v>6.26</v>
      </c>
      <c r="H1417" s="56">
        <f t="shared" si="66"/>
        <v>65.179119999999998</v>
      </c>
      <c r="I1417" s="57">
        <f t="shared" si="67"/>
        <v>75.251460000000009</v>
      </c>
      <c r="J1417" s="56">
        <f t="shared" si="68"/>
        <v>85.323800000000006</v>
      </c>
    </row>
    <row r="1418" spans="1:10" ht="18">
      <c r="A1418" s="49">
        <v>6488</v>
      </c>
      <c r="B1418" s="49" t="s">
        <v>1836</v>
      </c>
      <c r="D1418" s="49">
        <v>12.688000000000001</v>
      </c>
      <c r="E1418" s="49">
        <v>22.103999999999999</v>
      </c>
      <c r="F1418" s="49">
        <v>17.396000000000001</v>
      </c>
      <c r="G1418" s="54">
        <v>45.41</v>
      </c>
      <c r="H1418" s="56">
        <f t="shared" si="66"/>
        <v>576.16207999999995</v>
      </c>
      <c r="I1418" s="57">
        <f t="shared" si="67"/>
        <v>789.95236</v>
      </c>
      <c r="J1418" s="56">
        <f t="shared" si="68"/>
        <v>1003.7426399999999</v>
      </c>
    </row>
    <row r="1419" spans="1:10" ht="18">
      <c r="A1419" s="49">
        <v>6491</v>
      </c>
      <c r="B1419" s="49" t="s">
        <v>1090</v>
      </c>
      <c r="D1419" s="49">
        <v>24.004000000000001</v>
      </c>
      <c r="E1419" s="49">
        <v>24.004000000000001</v>
      </c>
      <c r="F1419" s="49">
        <v>24.004000000000001</v>
      </c>
      <c r="G1419" s="54">
        <v>6.54</v>
      </c>
      <c r="H1419" s="56">
        <f t="shared" si="66"/>
        <v>156.98616000000001</v>
      </c>
      <c r="I1419" s="57">
        <f t="shared" si="67"/>
        <v>156.98616000000001</v>
      </c>
      <c r="J1419" s="56">
        <f t="shared" si="68"/>
        <v>156.98616000000001</v>
      </c>
    </row>
    <row r="1420" spans="1:10" ht="18">
      <c r="A1420" s="49">
        <v>6492</v>
      </c>
      <c r="B1420" s="49" t="s">
        <v>1837</v>
      </c>
      <c r="D1420" s="49">
        <v>0</v>
      </c>
      <c r="E1420" s="49">
        <v>0</v>
      </c>
      <c r="F1420" s="49">
        <v>0</v>
      </c>
      <c r="G1420" s="54">
        <v>-3.32</v>
      </c>
      <c r="H1420" s="56">
        <f t="shared" si="66"/>
        <v>0</v>
      </c>
      <c r="I1420" s="57">
        <f t="shared" si="67"/>
        <v>0</v>
      </c>
      <c r="J1420" s="56">
        <f t="shared" si="68"/>
        <v>0</v>
      </c>
    </row>
    <row r="1421" spans="1:10" ht="18">
      <c r="A1421" s="49">
        <v>6494</v>
      </c>
      <c r="B1421" s="49" t="s">
        <v>1838</v>
      </c>
      <c r="D1421" s="49">
        <v>10.309999999999999</v>
      </c>
      <c r="E1421" s="49">
        <v>14.032</v>
      </c>
      <c r="F1421" s="49">
        <v>12.170999999999999</v>
      </c>
      <c r="G1421" s="54">
        <v>1.8</v>
      </c>
      <c r="H1421" s="56">
        <f t="shared" si="66"/>
        <v>18.558</v>
      </c>
      <c r="I1421" s="57">
        <f t="shared" si="67"/>
        <v>21.907799999999998</v>
      </c>
      <c r="J1421" s="56">
        <f t="shared" si="68"/>
        <v>25.2576</v>
      </c>
    </row>
    <row r="1422" spans="1:10" ht="18">
      <c r="A1422" s="49">
        <v>6496</v>
      </c>
      <c r="B1422" s="49" t="s">
        <v>1839</v>
      </c>
      <c r="D1422" s="49">
        <v>15.974</v>
      </c>
      <c r="E1422" s="49">
        <v>15.974</v>
      </c>
      <c r="F1422" s="49">
        <v>15.974</v>
      </c>
      <c r="G1422" s="54">
        <v>-1.98</v>
      </c>
      <c r="H1422" s="56">
        <f t="shared" si="66"/>
        <v>-31.628520000000002</v>
      </c>
      <c r="I1422" s="57">
        <f t="shared" si="67"/>
        <v>-31.628520000000002</v>
      </c>
      <c r="J1422" s="56">
        <f t="shared" si="68"/>
        <v>-31.628520000000002</v>
      </c>
    </row>
    <row r="1423" spans="1:10" ht="18">
      <c r="A1423" s="49">
        <v>6499</v>
      </c>
      <c r="B1423" s="49" t="s">
        <v>1840</v>
      </c>
      <c r="D1423" s="49">
        <v>0</v>
      </c>
      <c r="E1423" s="49">
        <v>0</v>
      </c>
      <c r="F1423" s="49">
        <v>0</v>
      </c>
      <c r="G1423" s="54">
        <v>-13</v>
      </c>
      <c r="H1423" s="56">
        <f t="shared" si="66"/>
        <v>0</v>
      </c>
      <c r="I1423" s="57">
        <f t="shared" si="67"/>
        <v>0</v>
      </c>
      <c r="J1423" s="56">
        <f t="shared" si="68"/>
        <v>0</v>
      </c>
    </row>
    <row r="1424" spans="1:10" ht="18">
      <c r="A1424" s="49">
        <v>6504</v>
      </c>
      <c r="B1424" s="49" t="s">
        <v>1091</v>
      </c>
      <c r="D1424" s="49">
        <v>16.692</v>
      </c>
      <c r="E1424" s="49">
        <v>24.79</v>
      </c>
      <c r="F1424" s="49">
        <v>20.741</v>
      </c>
      <c r="G1424" s="54">
        <v>1.65</v>
      </c>
      <c r="H1424" s="56">
        <f t="shared" si="66"/>
        <v>27.541799999999999</v>
      </c>
      <c r="I1424" s="57">
        <f t="shared" si="67"/>
        <v>34.222649999999994</v>
      </c>
      <c r="J1424" s="56">
        <f t="shared" si="68"/>
        <v>40.903499999999994</v>
      </c>
    </row>
    <row r="1425" spans="1:10" ht="18">
      <c r="A1425" s="49">
        <v>6505</v>
      </c>
      <c r="B1425" s="49" t="s">
        <v>1092</v>
      </c>
      <c r="D1425" s="49">
        <v>13.12</v>
      </c>
      <c r="E1425" s="49">
        <v>30.935999999999996</v>
      </c>
      <c r="F1425" s="49">
        <v>22.027999999999999</v>
      </c>
      <c r="G1425" s="54">
        <v>2.2999999999999998</v>
      </c>
      <c r="H1425" s="56">
        <f t="shared" si="66"/>
        <v>30.175999999999995</v>
      </c>
      <c r="I1425" s="57">
        <f t="shared" si="67"/>
        <v>50.664399999999993</v>
      </c>
      <c r="J1425" s="56">
        <f t="shared" si="68"/>
        <v>71.152799999999985</v>
      </c>
    </row>
    <row r="1426" spans="1:10" ht="18">
      <c r="A1426" s="49">
        <v>6506</v>
      </c>
      <c r="B1426" s="49" t="s">
        <v>1841</v>
      </c>
      <c r="D1426" s="49">
        <v>11.012</v>
      </c>
      <c r="E1426" s="49">
        <v>24.991999999999997</v>
      </c>
      <c r="F1426" s="49">
        <v>18.001999999999999</v>
      </c>
      <c r="G1426" s="54">
        <v>9.9999999999999794E-3</v>
      </c>
      <c r="H1426" s="56">
        <f t="shared" si="66"/>
        <v>0.11011999999999977</v>
      </c>
      <c r="I1426" s="57">
        <f t="shared" si="67"/>
        <v>0.18001999999999962</v>
      </c>
      <c r="J1426" s="56">
        <f t="shared" si="68"/>
        <v>0.24991999999999945</v>
      </c>
    </row>
    <row r="1427" spans="1:10" ht="18">
      <c r="A1427" s="49">
        <v>6508</v>
      </c>
      <c r="B1427" s="49" t="s">
        <v>1842</v>
      </c>
      <c r="D1427" s="49">
        <v>9.4539999999999988</v>
      </c>
      <c r="E1427" s="49">
        <v>19.642000000000003</v>
      </c>
      <c r="F1427" s="49">
        <v>14.548000000000002</v>
      </c>
      <c r="G1427" s="54">
        <v>1.05</v>
      </c>
      <c r="H1427" s="56">
        <f t="shared" si="66"/>
        <v>9.9266999999999985</v>
      </c>
      <c r="I1427" s="57">
        <f t="shared" si="67"/>
        <v>15.275400000000003</v>
      </c>
      <c r="J1427" s="56">
        <f t="shared" si="68"/>
        <v>20.624100000000006</v>
      </c>
    </row>
    <row r="1428" spans="1:10" ht="18">
      <c r="A1428" s="49">
        <v>6509</v>
      </c>
      <c r="B1428" s="49" t="s">
        <v>1843</v>
      </c>
      <c r="D1428" s="49">
        <v>16.125999999999998</v>
      </c>
      <c r="E1428" s="49">
        <v>27.477999999999998</v>
      </c>
      <c r="F1428" s="49">
        <v>21.802</v>
      </c>
      <c r="G1428" s="54">
        <v>2.48</v>
      </c>
      <c r="H1428" s="56">
        <f t="shared" si="66"/>
        <v>39.992479999999993</v>
      </c>
      <c r="I1428" s="57">
        <f t="shared" si="67"/>
        <v>54.068959999999997</v>
      </c>
      <c r="J1428" s="56">
        <f t="shared" si="68"/>
        <v>68.145439999999994</v>
      </c>
    </row>
    <row r="1429" spans="1:10" ht="18">
      <c r="A1429" s="49">
        <v>6510</v>
      </c>
      <c r="B1429" s="49" t="s">
        <v>1844</v>
      </c>
      <c r="D1429" s="49">
        <v>0</v>
      </c>
      <c r="E1429" s="49">
        <v>0</v>
      </c>
      <c r="F1429" s="49">
        <v>0</v>
      </c>
      <c r="G1429" s="54">
        <v>0.99</v>
      </c>
      <c r="H1429" s="56">
        <f t="shared" si="66"/>
        <v>0</v>
      </c>
      <c r="I1429" s="57">
        <f t="shared" si="67"/>
        <v>0</v>
      </c>
      <c r="J1429" s="56">
        <f t="shared" si="68"/>
        <v>0</v>
      </c>
    </row>
    <row r="1430" spans="1:10" ht="18">
      <c r="A1430" s="49">
        <v>6512</v>
      </c>
      <c r="B1430" s="49" t="s">
        <v>1845</v>
      </c>
      <c r="D1430" s="49">
        <v>0</v>
      </c>
      <c r="E1430" s="49">
        <v>0</v>
      </c>
      <c r="F1430" s="49">
        <v>0</v>
      </c>
      <c r="G1430" s="54">
        <v>-0.98</v>
      </c>
      <c r="H1430" s="56">
        <f t="shared" si="66"/>
        <v>0</v>
      </c>
      <c r="I1430" s="57">
        <f t="shared" si="67"/>
        <v>0</v>
      </c>
      <c r="J1430" s="56">
        <f t="shared" si="68"/>
        <v>0</v>
      </c>
    </row>
    <row r="1431" spans="1:10" ht="18">
      <c r="A1431" s="49">
        <v>6514</v>
      </c>
      <c r="B1431" s="49" t="s">
        <v>1846</v>
      </c>
      <c r="D1431" s="49">
        <v>15.394</v>
      </c>
      <c r="E1431" s="49">
        <v>24.445999999999998</v>
      </c>
      <c r="F1431" s="49">
        <v>19.919999999999998</v>
      </c>
      <c r="G1431" s="54">
        <v>2.79</v>
      </c>
      <c r="H1431" s="56">
        <f t="shared" si="66"/>
        <v>42.949260000000002</v>
      </c>
      <c r="I1431" s="57">
        <f t="shared" si="67"/>
        <v>55.576799999999999</v>
      </c>
      <c r="J1431" s="56">
        <f t="shared" si="68"/>
        <v>68.204340000000002</v>
      </c>
    </row>
    <row r="1432" spans="1:10" ht="18">
      <c r="A1432" s="49">
        <v>6515</v>
      </c>
      <c r="B1432" s="49" t="s">
        <v>1093</v>
      </c>
      <c r="D1432" s="49">
        <v>0</v>
      </c>
      <c r="E1432" s="49">
        <v>0</v>
      </c>
      <c r="F1432" s="49">
        <v>0</v>
      </c>
      <c r="G1432" s="54" t="s">
        <v>271</v>
      </c>
      <c r="H1432" s="56" t="e">
        <f t="shared" si="66"/>
        <v>#VALUE!</v>
      </c>
      <c r="I1432" s="57" t="e">
        <f t="shared" si="67"/>
        <v>#VALUE!</v>
      </c>
      <c r="J1432" s="56" t="e">
        <f t="shared" si="68"/>
        <v>#VALUE!</v>
      </c>
    </row>
    <row r="1433" spans="1:10" ht="18">
      <c r="A1433" s="49">
        <v>6516</v>
      </c>
      <c r="B1433" s="49" t="s">
        <v>1847</v>
      </c>
      <c r="D1433" s="49">
        <v>0</v>
      </c>
      <c r="E1433" s="49">
        <v>0</v>
      </c>
      <c r="F1433" s="49">
        <v>0</v>
      </c>
      <c r="G1433" s="54">
        <v>0.33</v>
      </c>
      <c r="H1433" s="56">
        <f t="shared" si="66"/>
        <v>0</v>
      </c>
      <c r="I1433" s="57">
        <f t="shared" si="67"/>
        <v>0</v>
      </c>
      <c r="J1433" s="56">
        <f t="shared" si="68"/>
        <v>0</v>
      </c>
    </row>
    <row r="1434" spans="1:10" ht="18">
      <c r="A1434" s="49">
        <v>6517</v>
      </c>
      <c r="B1434" s="49" t="s">
        <v>1848</v>
      </c>
      <c r="D1434" s="49">
        <v>0</v>
      </c>
      <c r="E1434" s="49">
        <v>0</v>
      </c>
      <c r="F1434" s="49">
        <v>0</v>
      </c>
      <c r="G1434" s="54" t="s">
        <v>271</v>
      </c>
      <c r="H1434" s="56" t="e">
        <f t="shared" si="66"/>
        <v>#VALUE!</v>
      </c>
      <c r="I1434" s="57" t="e">
        <f t="shared" si="67"/>
        <v>#VALUE!</v>
      </c>
      <c r="J1434" s="56" t="e">
        <f t="shared" si="68"/>
        <v>#VALUE!</v>
      </c>
    </row>
    <row r="1435" spans="1:10" ht="18">
      <c r="A1435" s="49">
        <v>6523</v>
      </c>
      <c r="B1435" s="49" t="s">
        <v>1849</v>
      </c>
      <c r="D1435" s="49">
        <v>14.01</v>
      </c>
      <c r="E1435" s="49">
        <v>23.274000000000001</v>
      </c>
      <c r="F1435" s="49">
        <v>18.641999999999999</v>
      </c>
      <c r="G1435" s="54">
        <v>9.43</v>
      </c>
      <c r="H1435" s="56">
        <f t="shared" si="66"/>
        <v>132.11429999999999</v>
      </c>
      <c r="I1435" s="57">
        <f t="shared" si="67"/>
        <v>175.79406</v>
      </c>
      <c r="J1435" s="56">
        <f t="shared" si="68"/>
        <v>219.47381999999999</v>
      </c>
    </row>
    <row r="1436" spans="1:10" ht="18">
      <c r="A1436" s="49">
        <v>6525</v>
      </c>
      <c r="B1436" s="49" t="s">
        <v>1094</v>
      </c>
      <c r="D1436" s="49">
        <v>11.077999999999999</v>
      </c>
      <c r="E1436" s="49">
        <v>14.312000000000001</v>
      </c>
      <c r="F1436" s="49">
        <v>12.695</v>
      </c>
      <c r="G1436" s="54">
        <v>4.3899999999999997</v>
      </c>
      <c r="H1436" s="56">
        <f t="shared" si="66"/>
        <v>48.632419999999996</v>
      </c>
      <c r="I1436" s="57">
        <f t="shared" si="67"/>
        <v>55.731049999999996</v>
      </c>
      <c r="J1436" s="56">
        <f t="shared" si="68"/>
        <v>62.829680000000003</v>
      </c>
    </row>
    <row r="1437" spans="1:10" ht="18">
      <c r="A1437" s="49">
        <v>6527</v>
      </c>
      <c r="B1437" s="49" t="s">
        <v>1850</v>
      </c>
      <c r="D1437" s="49">
        <v>16.923999999999999</v>
      </c>
      <c r="E1437" s="49">
        <v>16.923999999999999</v>
      </c>
      <c r="F1437" s="49">
        <v>16.923999999999999</v>
      </c>
      <c r="G1437" s="54">
        <v>1.24</v>
      </c>
      <c r="H1437" s="56">
        <f t="shared" si="66"/>
        <v>20.985759999999999</v>
      </c>
      <c r="I1437" s="57">
        <f t="shared" si="67"/>
        <v>20.985759999999999</v>
      </c>
      <c r="J1437" s="56">
        <f t="shared" si="68"/>
        <v>20.985759999999999</v>
      </c>
    </row>
    <row r="1438" spans="1:10" ht="18">
      <c r="A1438" s="49">
        <v>6530</v>
      </c>
      <c r="B1438" s="49" t="s">
        <v>1851</v>
      </c>
      <c r="D1438" s="49">
        <v>23.116</v>
      </c>
      <c r="E1438" s="49">
        <v>26.202000000000005</v>
      </c>
      <c r="F1438" s="49">
        <v>24.659000000000002</v>
      </c>
      <c r="G1438" s="54">
        <v>1.25</v>
      </c>
      <c r="H1438" s="56">
        <f t="shared" si="66"/>
        <v>28.895</v>
      </c>
      <c r="I1438" s="57">
        <f t="shared" si="67"/>
        <v>30.823750000000004</v>
      </c>
      <c r="J1438" s="56">
        <f t="shared" si="68"/>
        <v>32.752500000000005</v>
      </c>
    </row>
    <row r="1439" spans="1:10" ht="18">
      <c r="A1439" s="49">
        <v>6531</v>
      </c>
      <c r="B1439" s="49" t="s">
        <v>1095</v>
      </c>
      <c r="D1439" s="49">
        <v>17.149999999999999</v>
      </c>
      <c r="E1439" s="49">
        <v>17.149999999999999</v>
      </c>
      <c r="F1439" s="49">
        <v>17.149999999999999</v>
      </c>
      <c r="G1439" s="54">
        <v>8.93</v>
      </c>
      <c r="H1439" s="56">
        <f t="shared" si="66"/>
        <v>153.14949999999999</v>
      </c>
      <c r="I1439" s="57">
        <f t="shared" si="67"/>
        <v>153.14949999999999</v>
      </c>
      <c r="J1439" s="56">
        <f t="shared" si="68"/>
        <v>153.14949999999999</v>
      </c>
    </row>
    <row r="1440" spans="1:10" ht="18">
      <c r="A1440" s="49">
        <v>6532</v>
      </c>
      <c r="B1440" s="49" t="s">
        <v>1852</v>
      </c>
      <c r="D1440" s="49">
        <v>12.553999999999998</v>
      </c>
      <c r="E1440" s="49">
        <v>20.058</v>
      </c>
      <c r="F1440" s="49">
        <v>16.305999999999997</v>
      </c>
      <c r="G1440" s="54">
        <v>3.59</v>
      </c>
      <c r="H1440" s="56">
        <f t="shared" si="66"/>
        <v>45.068859999999994</v>
      </c>
      <c r="I1440" s="57">
        <f t="shared" si="67"/>
        <v>58.53853999999999</v>
      </c>
      <c r="J1440" s="56">
        <f t="shared" si="68"/>
        <v>72.008219999999994</v>
      </c>
    </row>
    <row r="1441" spans="1:10" ht="18">
      <c r="A1441" s="49">
        <v>6533</v>
      </c>
      <c r="B1441" s="49" t="s">
        <v>1096</v>
      </c>
      <c r="D1441" s="49">
        <v>0</v>
      </c>
      <c r="E1441" s="49">
        <v>0</v>
      </c>
      <c r="F1441" s="49">
        <v>0</v>
      </c>
      <c r="G1441" s="54">
        <v>-2.0099999999999998</v>
      </c>
      <c r="H1441" s="56">
        <f t="shared" si="66"/>
        <v>0</v>
      </c>
      <c r="I1441" s="57">
        <f t="shared" si="67"/>
        <v>0</v>
      </c>
      <c r="J1441" s="56">
        <f t="shared" si="68"/>
        <v>0</v>
      </c>
    </row>
    <row r="1442" spans="1:10" ht="18">
      <c r="A1442" s="49">
        <v>6535</v>
      </c>
      <c r="B1442" s="49" t="s">
        <v>1853</v>
      </c>
      <c r="D1442" s="49">
        <v>0</v>
      </c>
      <c r="E1442" s="49">
        <v>0</v>
      </c>
      <c r="F1442" s="49">
        <v>0</v>
      </c>
      <c r="G1442" s="54">
        <v>-1.47</v>
      </c>
      <c r="H1442" s="56">
        <f t="shared" si="66"/>
        <v>0</v>
      </c>
      <c r="I1442" s="57">
        <f t="shared" si="67"/>
        <v>0</v>
      </c>
      <c r="J1442" s="56">
        <f t="shared" si="68"/>
        <v>0</v>
      </c>
    </row>
    <row r="1443" spans="1:10" ht="18">
      <c r="A1443" s="49">
        <v>6538</v>
      </c>
      <c r="B1443" s="49" t="s">
        <v>1854</v>
      </c>
      <c r="D1443" s="49">
        <v>16.015999999999998</v>
      </c>
      <c r="E1443" s="49">
        <v>19.886000000000003</v>
      </c>
      <c r="F1443" s="49">
        <v>17.951000000000001</v>
      </c>
      <c r="G1443" s="54">
        <v>9.11</v>
      </c>
      <c r="H1443" s="56">
        <f t="shared" si="66"/>
        <v>145.90575999999999</v>
      </c>
      <c r="I1443" s="57">
        <f t="shared" si="67"/>
        <v>163.53360999999998</v>
      </c>
      <c r="J1443" s="56">
        <f t="shared" si="68"/>
        <v>181.16146000000001</v>
      </c>
    </row>
    <row r="1444" spans="1:10" ht="18">
      <c r="A1444" s="49">
        <v>6541</v>
      </c>
      <c r="B1444" s="49" t="s">
        <v>1097</v>
      </c>
      <c r="D1444" s="49">
        <v>0</v>
      </c>
      <c r="E1444" s="49">
        <v>0</v>
      </c>
      <c r="F1444" s="49">
        <v>0</v>
      </c>
      <c r="G1444" s="54">
        <v>-16.579999999999998</v>
      </c>
      <c r="H1444" s="56">
        <f t="shared" si="66"/>
        <v>0</v>
      </c>
      <c r="I1444" s="57">
        <f t="shared" si="67"/>
        <v>0</v>
      </c>
      <c r="J1444" s="56">
        <f t="shared" si="68"/>
        <v>0</v>
      </c>
    </row>
    <row r="1445" spans="1:10" ht="18">
      <c r="A1445" s="49">
        <v>6542</v>
      </c>
      <c r="B1445" s="49" t="s">
        <v>1855</v>
      </c>
      <c r="D1445" s="49">
        <v>0</v>
      </c>
      <c r="E1445" s="49">
        <v>0</v>
      </c>
      <c r="F1445" s="49">
        <v>0</v>
      </c>
      <c r="G1445" s="54">
        <v>2.4300000000000002</v>
      </c>
      <c r="H1445" s="56">
        <f t="shared" si="66"/>
        <v>0</v>
      </c>
      <c r="I1445" s="57">
        <f t="shared" si="67"/>
        <v>0</v>
      </c>
      <c r="J1445" s="56">
        <f t="shared" si="68"/>
        <v>0</v>
      </c>
    </row>
    <row r="1446" spans="1:10" ht="18">
      <c r="A1446" s="49">
        <v>6546</v>
      </c>
      <c r="B1446" s="49" t="s">
        <v>1856</v>
      </c>
      <c r="D1446" s="49">
        <v>0</v>
      </c>
      <c r="E1446" s="49">
        <v>0</v>
      </c>
      <c r="F1446" s="49">
        <v>0</v>
      </c>
      <c r="G1446" s="54" t="s">
        <v>271</v>
      </c>
      <c r="H1446" s="56" t="e">
        <f t="shared" si="66"/>
        <v>#VALUE!</v>
      </c>
      <c r="I1446" s="57" t="e">
        <f t="shared" si="67"/>
        <v>#VALUE!</v>
      </c>
      <c r="J1446" s="56" t="e">
        <f t="shared" si="68"/>
        <v>#VALUE!</v>
      </c>
    </row>
    <row r="1447" spans="1:10" ht="18">
      <c r="A1447" s="49">
        <v>6547</v>
      </c>
      <c r="B1447" s="49" t="s">
        <v>1857</v>
      </c>
      <c r="D1447" s="49">
        <v>0</v>
      </c>
      <c r="E1447" s="49">
        <v>0</v>
      </c>
      <c r="F1447" s="49">
        <v>0</v>
      </c>
      <c r="G1447" s="54">
        <v>-3.53</v>
      </c>
      <c r="H1447" s="56">
        <f t="shared" si="66"/>
        <v>0</v>
      </c>
      <c r="I1447" s="57">
        <f t="shared" si="67"/>
        <v>0</v>
      </c>
      <c r="J1447" s="56">
        <f t="shared" si="68"/>
        <v>0</v>
      </c>
    </row>
    <row r="1448" spans="1:10" ht="18">
      <c r="A1448" s="49">
        <v>6548</v>
      </c>
      <c r="B1448" s="49" t="s">
        <v>1858</v>
      </c>
      <c r="D1448" s="49">
        <v>17.963999999999999</v>
      </c>
      <c r="E1448" s="49">
        <v>21.975999999999999</v>
      </c>
      <c r="F1448" s="49">
        <v>19.97</v>
      </c>
      <c r="G1448" s="54">
        <v>1.67</v>
      </c>
      <c r="H1448" s="56">
        <f t="shared" si="66"/>
        <v>29.999879999999997</v>
      </c>
      <c r="I1448" s="57">
        <f t="shared" si="67"/>
        <v>33.349899999999998</v>
      </c>
      <c r="J1448" s="56">
        <f t="shared" si="68"/>
        <v>36.699919999999999</v>
      </c>
    </row>
    <row r="1449" spans="1:10" ht="18">
      <c r="A1449" s="49">
        <v>6550</v>
      </c>
      <c r="B1449" s="49" t="s">
        <v>1098</v>
      </c>
      <c r="D1449" s="49">
        <v>0</v>
      </c>
      <c r="E1449" s="49">
        <v>0</v>
      </c>
      <c r="F1449" s="49">
        <v>0</v>
      </c>
      <c r="G1449" s="54" t="s">
        <v>271</v>
      </c>
      <c r="H1449" s="56" t="e">
        <f t="shared" si="66"/>
        <v>#VALUE!</v>
      </c>
      <c r="I1449" s="57" t="e">
        <f t="shared" si="67"/>
        <v>#VALUE!</v>
      </c>
      <c r="J1449" s="56" t="e">
        <f t="shared" si="68"/>
        <v>#VALUE!</v>
      </c>
    </row>
    <row r="1450" spans="1:10" ht="18">
      <c r="A1450" s="49">
        <v>6552</v>
      </c>
      <c r="B1450" s="49" t="s">
        <v>1099</v>
      </c>
      <c r="D1450" s="49">
        <v>0</v>
      </c>
      <c r="E1450" s="49">
        <v>0</v>
      </c>
      <c r="F1450" s="49">
        <v>0</v>
      </c>
      <c r="G1450" s="54">
        <v>0.09</v>
      </c>
      <c r="H1450" s="56">
        <f t="shared" si="66"/>
        <v>0</v>
      </c>
      <c r="I1450" s="57">
        <f t="shared" si="67"/>
        <v>0</v>
      </c>
      <c r="J1450" s="56">
        <f t="shared" si="68"/>
        <v>0</v>
      </c>
    </row>
    <row r="1451" spans="1:10" ht="18">
      <c r="A1451" s="49">
        <v>6556</v>
      </c>
      <c r="B1451" s="49" t="s">
        <v>1859</v>
      </c>
      <c r="D1451" s="49">
        <v>14.424000000000001</v>
      </c>
      <c r="E1451" s="49">
        <v>16.602</v>
      </c>
      <c r="F1451" s="49">
        <v>15.513000000000002</v>
      </c>
      <c r="G1451" s="54">
        <v>6.17</v>
      </c>
      <c r="H1451" s="56">
        <f t="shared" si="66"/>
        <v>88.996080000000006</v>
      </c>
      <c r="I1451" s="57">
        <f t="shared" si="67"/>
        <v>95.715210000000013</v>
      </c>
      <c r="J1451" s="56">
        <f t="shared" si="68"/>
        <v>102.43434000000001</v>
      </c>
    </row>
    <row r="1452" spans="1:10" ht="18">
      <c r="A1452" s="49">
        <v>6558</v>
      </c>
      <c r="B1452" s="49" t="s">
        <v>1100</v>
      </c>
      <c r="D1452" s="49">
        <v>0</v>
      </c>
      <c r="E1452" s="49">
        <v>0</v>
      </c>
      <c r="F1452" s="49">
        <v>0</v>
      </c>
      <c r="G1452" s="54">
        <v>0.02</v>
      </c>
      <c r="H1452" s="56">
        <f t="shared" si="66"/>
        <v>0</v>
      </c>
      <c r="I1452" s="57">
        <f t="shared" si="67"/>
        <v>0</v>
      </c>
      <c r="J1452" s="56">
        <f t="shared" si="68"/>
        <v>0</v>
      </c>
    </row>
    <row r="1453" spans="1:10" ht="18">
      <c r="A1453" s="49">
        <v>6560</v>
      </c>
      <c r="B1453" s="49" t="s">
        <v>1860</v>
      </c>
      <c r="D1453" s="49">
        <v>15.638</v>
      </c>
      <c r="E1453" s="49">
        <v>15.638</v>
      </c>
      <c r="F1453" s="49">
        <v>15.638</v>
      </c>
      <c r="G1453" s="54">
        <v>-0.76</v>
      </c>
      <c r="H1453" s="56">
        <f t="shared" si="66"/>
        <v>-11.884880000000001</v>
      </c>
      <c r="I1453" s="57">
        <f t="shared" si="67"/>
        <v>-11.884880000000001</v>
      </c>
      <c r="J1453" s="56">
        <f t="shared" si="68"/>
        <v>-11.884880000000001</v>
      </c>
    </row>
    <row r="1454" spans="1:10" ht="18">
      <c r="A1454" s="49">
        <v>6561</v>
      </c>
      <c r="B1454" s="49" t="s">
        <v>1861</v>
      </c>
      <c r="D1454" s="49">
        <v>26.845999999999997</v>
      </c>
      <c r="E1454" s="49">
        <v>26.845999999999997</v>
      </c>
      <c r="F1454" s="49">
        <v>26.845999999999997</v>
      </c>
      <c r="G1454" s="54">
        <v>3.11</v>
      </c>
      <c r="H1454" s="56">
        <f t="shared" si="66"/>
        <v>83.49105999999999</v>
      </c>
      <c r="I1454" s="57">
        <f t="shared" si="67"/>
        <v>83.49105999999999</v>
      </c>
      <c r="J1454" s="56">
        <f t="shared" si="68"/>
        <v>83.49105999999999</v>
      </c>
    </row>
    <row r="1455" spans="1:10" ht="18">
      <c r="A1455" s="49">
        <v>6568</v>
      </c>
      <c r="B1455" s="49" t="s">
        <v>1862</v>
      </c>
      <c r="D1455" s="49">
        <v>18.198</v>
      </c>
      <c r="E1455" s="49">
        <v>18.198</v>
      </c>
      <c r="F1455" s="49">
        <v>18.198</v>
      </c>
      <c r="G1455" s="54">
        <v>1.38</v>
      </c>
      <c r="H1455" s="56">
        <f t="shared" si="66"/>
        <v>25.113239999999998</v>
      </c>
      <c r="I1455" s="57">
        <f t="shared" si="67"/>
        <v>25.113239999999998</v>
      </c>
      <c r="J1455" s="56">
        <f t="shared" si="68"/>
        <v>25.113239999999998</v>
      </c>
    </row>
    <row r="1456" spans="1:10" ht="18">
      <c r="A1456" s="49">
        <v>6569</v>
      </c>
      <c r="B1456" s="49" t="s">
        <v>1863</v>
      </c>
      <c r="D1456" s="49">
        <v>17.523999999999997</v>
      </c>
      <c r="E1456" s="49">
        <v>24.18</v>
      </c>
      <c r="F1456" s="49">
        <v>20.851999999999997</v>
      </c>
      <c r="G1456" s="54">
        <v>7.65</v>
      </c>
      <c r="H1456" s="56">
        <f t="shared" si="66"/>
        <v>134.05859999999998</v>
      </c>
      <c r="I1456" s="57">
        <f t="shared" si="67"/>
        <v>159.51779999999999</v>
      </c>
      <c r="J1456" s="56">
        <f t="shared" si="68"/>
        <v>184.977</v>
      </c>
    </row>
    <row r="1457" spans="1:10" ht="18">
      <c r="A1457" s="49">
        <v>6570</v>
      </c>
      <c r="B1457" s="49" t="s">
        <v>1864</v>
      </c>
      <c r="D1457" s="49">
        <v>13.656000000000001</v>
      </c>
      <c r="E1457" s="49">
        <v>17.701999999999998</v>
      </c>
      <c r="F1457" s="49">
        <v>15.678999999999998</v>
      </c>
      <c r="G1457" s="54">
        <v>2.92</v>
      </c>
      <c r="H1457" s="56">
        <f t="shared" si="66"/>
        <v>39.875520000000002</v>
      </c>
      <c r="I1457" s="57">
        <f t="shared" si="67"/>
        <v>45.782679999999992</v>
      </c>
      <c r="J1457" s="56">
        <f t="shared" si="68"/>
        <v>51.689839999999997</v>
      </c>
    </row>
    <row r="1458" spans="1:10" ht="18">
      <c r="A1458" s="49">
        <v>6573</v>
      </c>
      <c r="B1458" s="49" t="s">
        <v>1101</v>
      </c>
      <c r="D1458" s="49">
        <v>0</v>
      </c>
      <c r="E1458" s="49">
        <v>0</v>
      </c>
      <c r="F1458" s="49">
        <v>0</v>
      </c>
      <c r="G1458" s="54">
        <v>-2.91</v>
      </c>
      <c r="H1458" s="56">
        <f t="shared" si="66"/>
        <v>0</v>
      </c>
      <c r="I1458" s="57">
        <f t="shared" si="67"/>
        <v>0</v>
      </c>
      <c r="J1458" s="56">
        <f t="shared" si="68"/>
        <v>0</v>
      </c>
    </row>
    <row r="1459" spans="1:10" ht="18">
      <c r="A1459" s="49">
        <v>6574</v>
      </c>
      <c r="B1459" s="49" t="s">
        <v>1865</v>
      </c>
      <c r="D1459" s="49">
        <v>18.794</v>
      </c>
      <c r="E1459" s="49">
        <v>19.645999999999997</v>
      </c>
      <c r="F1459" s="49">
        <v>19.22</v>
      </c>
      <c r="G1459" s="54">
        <v>2.12</v>
      </c>
      <c r="H1459" s="56">
        <f t="shared" si="66"/>
        <v>39.84328</v>
      </c>
      <c r="I1459" s="57">
        <f t="shared" si="67"/>
        <v>40.746400000000001</v>
      </c>
      <c r="J1459" s="56">
        <f t="shared" si="68"/>
        <v>41.649519999999995</v>
      </c>
    </row>
    <row r="1460" spans="1:10" ht="18">
      <c r="A1460" s="49">
        <v>6576</v>
      </c>
      <c r="B1460" s="49" t="s">
        <v>1866</v>
      </c>
      <c r="D1460" s="49">
        <v>0</v>
      </c>
      <c r="E1460" s="49">
        <v>0</v>
      </c>
      <c r="F1460" s="49">
        <v>0</v>
      </c>
      <c r="G1460" s="54">
        <v>-0.88</v>
      </c>
      <c r="H1460" s="56">
        <f t="shared" si="66"/>
        <v>0</v>
      </c>
      <c r="I1460" s="57">
        <f t="shared" si="67"/>
        <v>0</v>
      </c>
      <c r="J1460" s="56">
        <f t="shared" si="68"/>
        <v>0</v>
      </c>
    </row>
    <row r="1461" spans="1:10" ht="18">
      <c r="A1461" s="49">
        <v>6577</v>
      </c>
      <c r="B1461" s="49" t="s">
        <v>1867</v>
      </c>
      <c r="D1461" s="49">
        <v>12.453999999999999</v>
      </c>
      <c r="E1461" s="49">
        <v>14.186000000000002</v>
      </c>
      <c r="F1461" s="49">
        <v>13.32</v>
      </c>
      <c r="G1461" s="54">
        <v>7.11</v>
      </c>
      <c r="H1461" s="56">
        <f t="shared" si="66"/>
        <v>88.547939999999997</v>
      </c>
      <c r="I1461" s="57">
        <f t="shared" si="67"/>
        <v>94.705200000000005</v>
      </c>
      <c r="J1461" s="56">
        <f t="shared" si="68"/>
        <v>100.86246000000001</v>
      </c>
    </row>
    <row r="1462" spans="1:10" ht="18">
      <c r="A1462" s="49">
        <v>6578</v>
      </c>
      <c r="B1462" s="49" t="s">
        <v>1868</v>
      </c>
      <c r="D1462" s="49">
        <v>0</v>
      </c>
      <c r="E1462" s="49">
        <v>0</v>
      </c>
      <c r="F1462" s="49">
        <v>0</v>
      </c>
      <c r="G1462" s="54">
        <v>0.11</v>
      </c>
      <c r="H1462" s="56">
        <f t="shared" si="66"/>
        <v>0</v>
      </c>
      <c r="I1462" s="57">
        <f t="shared" si="67"/>
        <v>0</v>
      </c>
      <c r="J1462" s="56">
        <f t="shared" si="68"/>
        <v>0</v>
      </c>
    </row>
    <row r="1463" spans="1:10" ht="18">
      <c r="A1463" s="49">
        <v>6579</v>
      </c>
      <c r="B1463" s="49" t="s">
        <v>1102</v>
      </c>
      <c r="D1463" s="49">
        <v>17.475999999999999</v>
      </c>
      <c r="E1463" s="49">
        <v>25.184000000000005</v>
      </c>
      <c r="F1463" s="49">
        <v>21.330000000000002</v>
      </c>
      <c r="G1463" s="54">
        <v>8.42</v>
      </c>
      <c r="H1463" s="56">
        <f t="shared" si="66"/>
        <v>147.14792</v>
      </c>
      <c r="I1463" s="57">
        <f t="shared" si="67"/>
        <v>179.5986</v>
      </c>
      <c r="J1463" s="56">
        <f t="shared" si="68"/>
        <v>212.04928000000004</v>
      </c>
    </row>
    <row r="1464" spans="1:10" ht="18">
      <c r="A1464" s="49">
        <v>6581</v>
      </c>
      <c r="B1464" s="49" t="s">
        <v>1103</v>
      </c>
      <c r="D1464" s="49">
        <v>14.386000000000001</v>
      </c>
      <c r="E1464" s="49">
        <v>14.386000000000001</v>
      </c>
      <c r="F1464" s="49">
        <v>14.386000000000001</v>
      </c>
      <c r="G1464" s="54">
        <v>4.54</v>
      </c>
      <c r="H1464" s="56">
        <f t="shared" si="66"/>
        <v>65.312440000000009</v>
      </c>
      <c r="I1464" s="57">
        <f t="shared" si="67"/>
        <v>65.312440000000009</v>
      </c>
      <c r="J1464" s="56">
        <f t="shared" si="68"/>
        <v>65.312440000000009</v>
      </c>
    </row>
    <row r="1465" spans="1:10" ht="18">
      <c r="A1465" s="49">
        <v>6582</v>
      </c>
      <c r="B1465" s="49" t="s">
        <v>1104</v>
      </c>
      <c r="D1465" s="49">
        <v>10.808</v>
      </c>
      <c r="E1465" s="49">
        <v>12.924000000000001</v>
      </c>
      <c r="F1465" s="49">
        <v>11.866</v>
      </c>
      <c r="G1465" s="54">
        <v>-1.02</v>
      </c>
      <c r="H1465" s="56">
        <f t="shared" si="66"/>
        <v>-11.02416</v>
      </c>
      <c r="I1465" s="57">
        <f t="shared" si="67"/>
        <v>-12.10332</v>
      </c>
      <c r="J1465" s="56">
        <f t="shared" si="68"/>
        <v>-13.182480000000002</v>
      </c>
    </row>
    <row r="1466" spans="1:10" ht="18">
      <c r="A1466" s="49">
        <v>6585</v>
      </c>
      <c r="B1466" s="49" t="s">
        <v>1105</v>
      </c>
      <c r="D1466" s="49">
        <v>0</v>
      </c>
      <c r="E1466" s="49">
        <v>0</v>
      </c>
      <c r="F1466" s="49">
        <v>0</v>
      </c>
      <c r="G1466" s="54" t="s">
        <v>271</v>
      </c>
      <c r="H1466" s="56" t="e">
        <f t="shared" si="66"/>
        <v>#VALUE!</v>
      </c>
      <c r="I1466" s="57" t="e">
        <f t="shared" si="67"/>
        <v>#VALUE!</v>
      </c>
      <c r="J1466" s="56" t="e">
        <f t="shared" si="68"/>
        <v>#VALUE!</v>
      </c>
    </row>
    <row r="1467" spans="1:10" ht="18">
      <c r="A1467" s="49">
        <v>6588</v>
      </c>
      <c r="B1467" s="49" t="s">
        <v>1869</v>
      </c>
      <c r="D1467" s="49">
        <v>0</v>
      </c>
      <c r="E1467" s="49">
        <v>0</v>
      </c>
      <c r="F1467" s="49">
        <v>0</v>
      </c>
      <c r="G1467" s="54" t="s">
        <v>271</v>
      </c>
      <c r="H1467" s="56" t="e">
        <f t="shared" si="66"/>
        <v>#VALUE!</v>
      </c>
      <c r="I1467" s="57" t="e">
        <f t="shared" si="67"/>
        <v>#VALUE!</v>
      </c>
      <c r="J1467" s="56" t="e">
        <f t="shared" si="68"/>
        <v>#VALUE!</v>
      </c>
    </row>
    <row r="1468" spans="1:10" ht="18">
      <c r="A1468" s="49">
        <v>6589</v>
      </c>
      <c r="B1468" s="49" t="s">
        <v>1870</v>
      </c>
      <c r="D1468" s="49">
        <v>0</v>
      </c>
      <c r="E1468" s="49">
        <v>0</v>
      </c>
      <c r="F1468" s="49">
        <v>0</v>
      </c>
      <c r="G1468" s="54">
        <v>-0.34</v>
      </c>
      <c r="H1468" s="56">
        <f t="shared" si="66"/>
        <v>0</v>
      </c>
      <c r="I1468" s="57">
        <f t="shared" si="67"/>
        <v>0</v>
      </c>
      <c r="J1468" s="56">
        <f t="shared" si="68"/>
        <v>0</v>
      </c>
    </row>
    <row r="1469" spans="1:10" ht="18">
      <c r="A1469" s="49">
        <v>6590</v>
      </c>
      <c r="B1469" s="49" t="s">
        <v>1871</v>
      </c>
      <c r="D1469" s="49">
        <v>13.063999999999998</v>
      </c>
      <c r="E1469" s="49">
        <v>14.465999999999999</v>
      </c>
      <c r="F1469" s="49">
        <v>13.764999999999999</v>
      </c>
      <c r="G1469" s="54">
        <v>1.37</v>
      </c>
      <c r="H1469" s="56">
        <f t="shared" si="66"/>
        <v>17.897679999999998</v>
      </c>
      <c r="I1469" s="57">
        <f t="shared" si="67"/>
        <v>18.858049999999999</v>
      </c>
      <c r="J1469" s="56">
        <f t="shared" si="68"/>
        <v>19.81842</v>
      </c>
    </row>
    <row r="1470" spans="1:10" ht="18">
      <c r="A1470" s="49">
        <v>6591</v>
      </c>
      <c r="B1470" s="49" t="s">
        <v>1106</v>
      </c>
      <c r="D1470" s="49">
        <v>10.575999999999999</v>
      </c>
      <c r="E1470" s="49">
        <v>15.395999999999997</v>
      </c>
      <c r="F1470" s="49">
        <v>12.985999999999997</v>
      </c>
      <c r="G1470" s="54">
        <v>3.4</v>
      </c>
      <c r="H1470" s="56">
        <f t="shared" si="66"/>
        <v>35.958399999999997</v>
      </c>
      <c r="I1470" s="57">
        <f t="shared" si="67"/>
        <v>44.152399999999986</v>
      </c>
      <c r="J1470" s="56">
        <f t="shared" si="68"/>
        <v>52.346399999999988</v>
      </c>
    </row>
    <row r="1471" spans="1:10" ht="18">
      <c r="A1471" s="49">
        <v>6592</v>
      </c>
      <c r="B1471" s="49" t="s">
        <v>1107</v>
      </c>
      <c r="D1471" s="49">
        <v>17.72</v>
      </c>
      <c r="E1471" s="49">
        <v>17.72</v>
      </c>
      <c r="F1471" s="49">
        <v>17.72</v>
      </c>
      <c r="G1471" s="54">
        <v>0.98</v>
      </c>
      <c r="H1471" s="56">
        <f t="shared" si="66"/>
        <v>17.365599999999997</v>
      </c>
      <c r="I1471" s="57">
        <f t="shared" si="67"/>
        <v>17.365599999999997</v>
      </c>
      <c r="J1471" s="56">
        <f t="shared" si="68"/>
        <v>17.365599999999997</v>
      </c>
    </row>
    <row r="1472" spans="1:10" ht="18">
      <c r="A1472" s="49">
        <v>6593</v>
      </c>
      <c r="B1472" s="49" t="s">
        <v>1872</v>
      </c>
      <c r="D1472" s="49">
        <v>0</v>
      </c>
      <c r="E1472" s="49">
        <v>0</v>
      </c>
      <c r="F1472" s="49">
        <v>0</v>
      </c>
      <c r="G1472" s="54">
        <v>2.08</v>
      </c>
      <c r="H1472" s="56">
        <f t="shared" si="66"/>
        <v>0</v>
      </c>
      <c r="I1472" s="57">
        <f t="shared" si="67"/>
        <v>0</v>
      </c>
      <c r="J1472" s="56">
        <f t="shared" si="68"/>
        <v>0</v>
      </c>
    </row>
    <row r="1473" spans="1:10" ht="18">
      <c r="A1473" s="49">
        <v>6594</v>
      </c>
      <c r="B1473" s="49" t="s">
        <v>1873</v>
      </c>
      <c r="D1473" s="49">
        <v>20.149999999999999</v>
      </c>
      <c r="E1473" s="49">
        <v>20.149999999999999</v>
      </c>
      <c r="F1473" s="49">
        <v>20.149999999999999</v>
      </c>
      <c r="G1473" s="54" t="s">
        <v>271</v>
      </c>
      <c r="H1473" s="56" t="e">
        <f t="shared" si="66"/>
        <v>#VALUE!</v>
      </c>
      <c r="I1473" s="57" t="e">
        <f t="shared" si="67"/>
        <v>#VALUE!</v>
      </c>
      <c r="J1473" s="56" t="e">
        <f t="shared" si="68"/>
        <v>#VALUE!</v>
      </c>
    </row>
    <row r="1474" spans="1:10" ht="18">
      <c r="A1474" s="49">
        <v>6596</v>
      </c>
      <c r="B1474" s="49" t="s">
        <v>1874</v>
      </c>
      <c r="D1474" s="49">
        <v>0</v>
      </c>
      <c r="E1474" s="49">
        <v>0</v>
      </c>
      <c r="F1474" s="49">
        <v>0</v>
      </c>
      <c r="G1474" s="54">
        <v>5.94</v>
      </c>
      <c r="H1474" s="56">
        <f t="shared" si="66"/>
        <v>0</v>
      </c>
      <c r="I1474" s="57">
        <f t="shared" si="67"/>
        <v>0</v>
      </c>
      <c r="J1474" s="56">
        <f t="shared" si="68"/>
        <v>0</v>
      </c>
    </row>
    <row r="1475" spans="1:10" ht="18">
      <c r="A1475" s="49">
        <v>6598</v>
      </c>
      <c r="B1475" s="49" t="s">
        <v>1108</v>
      </c>
      <c r="D1475" s="49">
        <v>0</v>
      </c>
      <c r="E1475" s="49">
        <v>0</v>
      </c>
      <c r="F1475" s="49">
        <v>0</v>
      </c>
      <c r="G1475" s="54" t="s">
        <v>271</v>
      </c>
      <c r="H1475" s="56" t="e">
        <f t="shared" ref="H1475:H1538" si="69">G1475*D1475</f>
        <v>#VALUE!</v>
      </c>
      <c r="I1475" s="57" t="e">
        <f t="shared" ref="I1475:I1538" si="70">G1475*F1475</f>
        <v>#VALUE!</v>
      </c>
      <c r="J1475" s="56" t="e">
        <f t="shared" ref="J1475:J1538" si="71">G1475*E1475</f>
        <v>#VALUE!</v>
      </c>
    </row>
    <row r="1476" spans="1:10" ht="18">
      <c r="A1476" s="49">
        <v>6603</v>
      </c>
      <c r="B1476" s="49" t="s">
        <v>1875</v>
      </c>
      <c r="D1476" s="49">
        <v>12.096</v>
      </c>
      <c r="E1476" s="49">
        <v>18.857999999999997</v>
      </c>
      <c r="F1476" s="49">
        <v>15.476999999999999</v>
      </c>
      <c r="G1476" s="54">
        <v>0.13</v>
      </c>
      <c r="H1476" s="56">
        <f t="shared" si="69"/>
        <v>1.5724800000000001</v>
      </c>
      <c r="I1476" s="57">
        <f t="shared" si="70"/>
        <v>2.0120100000000001</v>
      </c>
      <c r="J1476" s="56">
        <f t="shared" si="71"/>
        <v>2.4515399999999996</v>
      </c>
    </row>
    <row r="1477" spans="1:10" ht="18">
      <c r="A1477" s="49">
        <v>6605</v>
      </c>
      <c r="B1477" s="49" t="s">
        <v>1109</v>
      </c>
      <c r="D1477" s="49">
        <v>8.6920000000000002</v>
      </c>
      <c r="E1477" s="49">
        <v>16.728000000000002</v>
      </c>
      <c r="F1477" s="49">
        <v>12.71</v>
      </c>
      <c r="G1477" s="54">
        <v>14.29</v>
      </c>
      <c r="H1477" s="56">
        <f t="shared" si="69"/>
        <v>124.20868</v>
      </c>
      <c r="I1477" s="57">
        <f t="shared" si="70"/>
        <v>181.6259</v>
      </c>
      <c r="J1477" s="56">
        <f t="shared" si="71"/>
        <v>239.04312000000002</v>
      </c>
    </row>
    <row r="1478" spans="1:10" ht="18">
      <c r="A1478" s="49">
        <v>6609</v>
      </c>
      <c r="B1478" s="49" t="s">
        <v>1876</v>
      </c>
      <c r="D1478" s="49">
        <v>7.097999999999999</v>
      </c>
      <c r="E1478" s="49">
        <v>17.486000000000001</v>
      </c>
      <c r="F1478" s="49">
        <v>12.292</v>
      </c>
      <c r="G1478" s="54">
        <v>1.8</v>
      </c>
      <c r="H1478" s="56">
        <f t="shared" si="69"/>
        <v>12.776399999999999</v>
      </c>
      <c r="I1478" s="57">
        <f t="shared" si="70"/>
        <v>22.125599999999999</v>
      </c>
      <c r="J1478" s="56">
        <f t="shared" si="71"/>
        <v>31.474800000000002</v>
      </c>
    </row>
    <row r="1479" spans="1:10" ht="18">
      <c r="A1479" s="49">
        <v>6612</v>
      </c>
      <c r="B1479" s="49" t="s">
        <v>1877</v>
      </c>
      <c r="D1479" s="49">
        <v>0</v>
      </c>
      <c r="E1479" s="49">
        <v>0</v>
      </c>
      <c r="F1479" s="49">
        <v>0</v>
      </c>
      <c r="G1479" s="54">
        <v>0.59</v>
      </c>
      <c r="H1479" s="56">
        <f t="shared" si="69"/>
        <v>0</v>
      </c>
      <c r="I1479" s="57">
        <f t="shared" si="70"/>
        <v>0</v>
      </c>
      <c r="J1479" s="56">
        <f t="shared" si="71"/>
        <v>0</v>
      </c>
    </row>
    <row r="1480" spans="1:10" ht="18">
      <c r="A1480" s="49">
        <v>6613</v>
      </c>
      <c r="B1480" s="49" t="s">
        <v>1878</v>
      </c>
      <c r="D1480" s="49">
        <v>9.6419999999999995</v>
      </c>
      <c r="E1480" s="49">
        <v>12.428000000000001</v>
      </c>
      <c r="F1480" s="49">
        <v>11.035</v>
      </c>
      <c r="G1480" s="54">
        <v>14.95</v>
      </c>
      <c r="H1480" s="56">
        <f t="shared" si="69"/>
        <v>144.14789999999999</v>
      </c>
      <c r="I1480" s="57">
        <f t="shared" si="70"/>
        <v>164.97325000000001</v>
      </c>
      <c r="J1480" s="56">
        <f t="shared" si="71"/>
        <v>185.79859999999999</v>
      </c>
    </row>
    <row r="1481" spans="1:10" ht="18">
      <c r="A1481" s="49">
        <v>6615</v>
      </c>
      <c r="B1481" s="49" t="s">
        <v>1879</v>
      </c>
      <c r="D1481" s="49">
        <v>24.207999999999998</v>
      </c>
      <c r="E1481" s="49">
        <v>24.207999999999998</v>
      </c>
      <c r="F1481" s="49">
        <v>24.207999999999998</v>
      </c>
      <c r="G1481" s="54">
        <v>0.54</v>
      </c>
      <c r="H1481" s="56">
        <f t="shared" si="69"/>
        <v>13.072319999999999</v>
      </c>
      <c r="I1481" s="57">
        <f t="shared" si="70"/>
        <v>13.072319999999999</v>
      </c>
      <c r="J1481" s="56">
        <f t="shared" si="71"/>
        <v>13.072319999999999</v>
      </c>
    </row>
    <row r="1482" spans="1:10" ht="18">
      <c r="A1482" s="49">
        <v>6616</v>
      </c>
      <c r="B1482" s="49" t="s">
        <v>1880</v>
      </c>
      <c r="D1482" s="49">
        <v>0</v>
      </c>
      <c r="E1482" s="49">
        <v>0</v>
      </c>
      <c r="F1482" s="49">
        <v>0</v>
      </c>
      <c r="G1482" s="54">
        <v>-0.74</v>
      </c>
      <c r="H1482" s="56">
        <f t="shared" si="69"/>
        <v>0</v>
      </c>
      <c r="I1482" s="57">
        <f t="shared" si="70"/>
        <v>0</v>
      </c>
      <c r="J1482" s="56">
        <f t="shared" si="71"/>
        <v>0</v>
      </c>
    </row>
    <row r="1483" spans="1:10" ht="18">
      <c r="A1483" s="49">
        <v>6624</v>
      </c>
      <c r="B1483" s="49" t="s">
        <v>1881</v>
      </c>
      <c r="D1483" s="49">
        <v>0</v>
      </c>
      <c r="E1483" s="49">
        <v>0</v>
      </c>
      <c r="F1483" s="49">
        <v>0</v>
      </c>
      <c r="G1483" s="54">
        <v>-0.49</v>
      </c>
      <c r="H1483" s="56">
        <f t="shared" si="69"/>
        <v>0</v>
      </c>
      <c r="I1483" s="57">
        <f t="shared" si="70"/>
        <v>0</v>
      </c>
      <c r="J1483" s="56">
        <f t="shared" si="71"/>
        <v>0</v>
      </c>
    </row>
    <row r="1484" spans="1:10" ht="18">
      <c r="A1484" s="49">
        <v>6625</v>
      </c>
      <c r="B1484" s="49" t="s">
        <v>1110</v>
      </c>
      <c r="D1484" s="49">
        <v>0</v>
      </c>
      <c r="E1484" s="49">
        <v>0</v>
      </c>
      <c r="F1484" s="49">
        <v>0</v>
      </c>
      <c r="G1484" s="54">
        <v>6.68</v>
      </c>
      <c r="H1484" s="56">
        <f t="shared" si="69"/>
        <v>0</v>
      </c>
      <c r="I1484" s="57">
        <f t="shared" si="70"/>
        <v>0</v>
      </c>
      <c r="J1484" s="56">
        <f t="shared" si="71"/>
        <v>0</v>
      </c>
    </row>
    <row r="1485" spans="1:10" ht="18">
      <c r="A1485" s="49">
        <v>6629</v>
      </c>
      <c r="B1485" s="49" t="s">
        <v>1882</v>
      </c>
      <c r="D1485" s="49">
        <v>10.959999999999999</v>
      </c>
      <c r="E1485" s="49">
        <v>10.959999999999999</v>
      </c>
      <c r="F1485" s="49">
        <v>10.959999999999999</v>
      </c>
      <c r="G1485" s="54">
        <v>3.66</v>
      </c>
      <c r="H1485" s="56">
        <f t="shared" si="69"/>
        <v>40.113599999999998</v>
      </c>
      <c r="I1485" s="57">
        <f t="shared" si="70"/>
        <v>40.113599999999998</v>
      </c>
      <c r="J1485" s="56">
        <f t="shared" si="71"/>
        <v>40.113599999999998</v>
      </c>
    </row>
    <row r="1486" spans="1:10" ht="18">
      <c r="A1486" s="49">
        <v>6640</v>
      </c>
      <c r="B1486" s="49" t="s">
        <v>1883</v>
      </c>
      <c r="D1486" s="49">
        <v>19.338000000000001</v>
      </c>
      <c r="E1486" s="49">
        <v>19.338000000000001</v>
      </c>
      <c r="F1486" s="49">
        <v>19.338000000000001</v>
      </c>
      <c r="G1486" s="54">
        <v>4.93</v>
      </c>
      <c r="H1486" s="56">
        <f t="shared" si="69"/>
        <v>95.336339999999993</v>
      </c>
      <c r="I1486" s="57">
        <f t="shared" si="70"/>
        <v>95.336339999999993</v>
      </c>
      <c r="J1486" s="56">
        <f t="shared" si="71"/>
        <v>95.336339999999993</v>
      </c>
    </row>
    <row r="1487" spans="1:10" ht="18">
      <c r="A1487" s="49">
        <v>6641</v>
      </c>
      <c r="B1487" s="49" t="s">
        <v>1111</v>
      </c>
      <c r="D1487" s="49">
        <v>11.112</v>
      </c>
      <c r="E1487" s="49">
        <v>13.960000000000003</v>
      </c>
      <c r="F1487" s="49">
        <v>12.536000000000001</v>
      </c>
      <c r="G1487" s="54">
        <v>0.6</v>
      </c>
      <c r="H1487" s="56">
        <f t="shared" si="69"/>
        <v>6.6672000000000002</v>
      </c>
      <c r="I1487" s="57">
        <f t="shared" si="70"/>
        <v>7.5216000000000003</v>
      </c>
      <c r="J1487" s="56">
        <f t="shared" si="71"/>
        <v>8.3760000000000012</v>
      </c>
    </row>
    <row r="1488" spans="1:10" ht="18">
      <c r="A1488" s="49">
        <v>6642</v>
      </c>
      <c r="B1488" s="49" t="s">
        <v>1884</v>
      </c>
      <c r="D1488" s="49">
        <v>19.566000000000003</v>
      </c>
      <c r="E1488" s="49">
        <v>19.566000000000003</v>
      </c>
      <c r="F1488" s="49">
        <v>19.566000000000003</v>
      </c>
      <c r="G1488" s="54">
        <v>0.78</v>
      </c>
      <c r="H1488" s="56">
        <f t="shared" si="69"/>
        <v>15.261480000000002</v>
      </c>
      <c r="I1488" s="57">
        <f t="shared" si="70"/>
        <v>15.261480000000002</v>
      </c>
      <c r="J1488" s="56">
        <f t="shared" si="71"/>
        <v>15.261480000000002</v>
      </c>
    </row>
    <row r="1489" spans="1:10" ht="18">
      <c r="A1489" s="49">
        <v>6643</v>
      </c>
      <c r="B1489" s="49" t="s">
        <v>1885</v>
      </c>
      <c r="D1489" s="49">
        <v>0</v>
      </c>
      <c r="E1489" s="49">
        <v>0</v>
      </c>
      <c r="F1489" s="49">
        <v>0</v>
      </c>
      <c r="G1489" s="54">
        <v>1.22</v>
      </c>
      <c r="H1489" s="56">
        <f t="shared" si="69"/>
        <v>0</v>
      </c>
      <c r="I1489" s="57">
        <f t="shared" si="70"/>
        <v>0</v>
      </c>
      <c r="J1489" s="56">
        <f t="shared" si="71"/>
        <v>0</v>
      </c>
    </row>
    <row r="1490" spans="1:10" ht="18">
      <c r="A1490" s="49">
        <v>6649</v>
      </c>
      <c r="B1490" s="49" t="s">
        <v>1886</v>
      </c>
      <c r="D1490" s="49">
        <v>0</v>
      </c>
      <c r="E1490" s="49">
        <v>0</v>
      </c>
      <c r="F1490" s="49">
        <v>0</v>
      </c>
      <c r="G1490" s="54">
        <v>-0.02</v>
      </c>
      <c r="H1490" s="56">
        <f t="shared" si="69"/>
        <v>0</v>
      </c>
      <c r="I1490" s="57">
        <f t="shared" si="70"/>
        <v>0</v>
      </c>
      <c r="J1490" s="56">
        <f t="shared" si="71"/>
        <v>0</v>
      </c>
    </row>
    <row r="1491" spans="1:10" ht="18">
      <c r="A1491" s="49">
        <v>6651</v>
      </c>
      <c r="B1491" s="49" t="s">
        <v>1887</v>
      </c>
      <c r="D1491" s="49">
        <v>0</v>
      </c>
      <c r="E1491" s="49">
        <v>0</v>
      </c>
      <c r="F1491" s="49">
        <v>0</v>
      </c>
      <c r="G1491" s="54" t="s">
        <v>271</v>
      </c>
      <c r="H1491" s="56" t="e">
        <f t="shared" si="69"/>
        <v>#VALUE!</v>
      </c>
      <c r="I1491" s="57" t="e">
        <f t="shared" si="70"/>
        <v>#VALUE!</v>
      </c>
      <c r="J1491" s="56" t="e">
        <f t="shared" si="71"/>
        <v>#VALUE!</v>
      </c>
    </row>
    <row r="1492" spans="1:10" ht="18">
      <c r="A1492" s="49">
        <v>6654</v>
      </c>
      <c r="B1492" s="49" t="s">
        <v>1888</v>
      </c>
      <c r="D1492" s="49">
        <v>0</v>
      </c>
      <c r="E1492" s="49">
        <v>0</v>
      </c>
      <c r="F1492" s="49">
        <v>0</v>
      </c>
      <c r="G1492" s="54">
        <v>-0.27</v>
      </c>
      <c r="H1492" s="56">
        <f t="shared" si="69"/>
        <v>0</v>
      </c>
      <c r="I1492" s="57">
        <f t="shared" si="70"/>
        <v>0</v>
      </c>
      <c r="J1492" s="56">
        <f t="shared" si="71"/>
        <v>0</v>
      </c>
    </row>
    <row r="1493" spans="1:10" ht="18">
      <c r="A1493" s="49">
        <v>6655</v>
      </c>
      <c r="B1493" s="49" t="s">
        <v>1112</v>
      </c>
      <c r="D1493" s="49">
        <v>15.86</v>
      </c>
      <c r="E1493" s="49">
        <v>20.419999999999998</v>
      </c>
      <c r="F1493" s="49">
        <v>18.14</v>
      </c>
      <c r="G1493" s="54">
        <v>0.98</v>
      </c>
      <c r="H1493" s="56">
        <f t="shared" si="69"/>
        <v>15.5428</v>
      </c>
      <c r="I1493" s="57">
        <f t="shared" si="70"/>
        <v>17.777200000000001</v>
      </c>
      <c r="J1493" s="56">
        <f t="shared" si="71"/>
        <v>20.011599999999998</v>
      </c>
    </row>
    <row r="1494" spans="1:10" ht="18">
      <c r="A1494" s="49">
        <v>6661</v>
      </c>
      <c r="B1494" s="49" t="s">
        <v>1889</v>
      </c>
      <c r="D1494" s="49">
        <v>0</v>
      </c>
      <c r="E1494" s="49">
        <v>0</v>
      </c>
      <c r="F1494" s="49">
        <v>0</v>
      </c>
      <c r="G1494" s="54" t="s">
        <v>271</v>
      </c>
      <c r="H1494" s="56" t="e">
        <f t="shared" si="69"/>
        <v>#VALUE!</v>
      </c>
      <c r="I1494" s="57" t="e">
        <f t="shared" si="70"/>
        <v>#VALUE!</v>
      </c>
      <c r="J1494" s="56" t="e">
        <f t="shared" si="71"/>
        <v>#VALUE!</v>
      </c>
    </row>
    <row r="1495" spans="1:10" ht="18">
      <c r="A1495" s="49">
        <v>6662</v>
      </c>
      <c r="B1495" s="49" t="s">
        <v>1890</v>
      </c>
      <c r="D1495" s="49">
        <v>17.552</v>
      </c>
      <c r="E1495" s="49">
        <v>17.552</v>
      </c>
      <c r="F1495" s="49">
        <v>17.552</v>
      </c>
      <c r="G1495" s="54">
        <v>0.14000000000000001</v>
      </c>
      <c r="H1495" s="56">
        <f t="shared" si="69"/>
        <v>2.4572800000000004</v>
      </c>
      <c r="I1495" s="57">
        <f t="shared" si="70"/>
        <v>2.4572800000000004</v>
      </c>
      <c r="J1495" s="56">
        <f t="shared" si="71"/>
        <v>2.4572800000000004</v>
      </c>
    </row>
    <row r="1496" spans="1:10" ht="18">
      <c r="A1496" s="49">
        <v>6664</v>
      </c>
      <c r="B1496" s="49" t="s">
        <v>1891</v>
      </c>
      <c r="D1496" s="49">
        <v>11.076000000000001</v>
      </c>
      <c r="E1496" s="49">
        <v>12.218</v>
      </c>
      <c r="F1496" s="49">
        <v>11.647</v>
      </c>
      <c r="G1496" s="54">
        <v>4.6500000000000004</v>
      </c>
      <c r="H1496" s="56">
        <f t="shared" si="69"/>
        <v>51.503400000000006</v>
      </c>
      <c r="I1496" s="57">
        <f t="shared" si="70"/>
        <v>54.158550000000005</v>
      </c>
      <c r="J1496" s="56">
        <f t="shared" si="71"/>
        <v>56.813700000000004</v>
      </c>
    </row>
    <row r="1497" spans="1:10" ht="18">
      <c r="A1497" s="49">
        <v>6666</v>
      </c>
      <c r="B1497" s="49" t="s">
        <v>1113</v>
      </c>
      <c r="D1497" s="49">
        <v>27.832000000000001</v>
      </c>
      <c r="E1497" s="49">
        <v>27.832000000000001</v>
      </c>
      <c r="F1497" s="49">
        <v>27.832000000000001</v>
      </c>
      <c r="G1497" s="54">
        <v>0.3</v>
      </c>
      <c r="H1497" s="56">
        <f t="shared" si="69"/>
        <v>8.3496000000000006</v>
      </c>
      <c r="I1497" s="57">
        <f t="shared" si="70"/>
        <v>8.3496000000000006</v>
      </c>
      <c r="J1497" s="56">
        <f t="shared" si="71"/>
        <v>8.3496000000000006</v>
      </c>
    </row>
    <row r="1498" spans="1:10" ht="18">
      <c r="A1498" s="49">
        <v>6667</v>
      </c>
      <c r="B1498" s="49" t="s">
        <v>1892</v>
      </c>
      <c r="D1498" s="49">
        <v>0</v>
      </c>
      <c r="E1498" s="49">
        <v>0</v>
      </c>
      <c r="F1498" s="49">
        <v>0</v>
      </c>
      <c r="G1498" s="54">
        <v>1.86</v>
      </c>
      <c r="H1498" s="56">
        <f t="shared" si="69"/>
        <v>0</v>
      </c>
      <c r="I1498" s="57">
        <f t="shared" si="70"/>
        <v>0</v>
      </c>
      <c r="J1498" s="56">
        <f t="shared" si="71"/>
        <v>0</v>
      </c>
    </row>
    <row r="1499" spans="1:10" ht="18">
      <c r="A1499" s="49">
        <v>6668</v>
      </c>
      <c r="B1499" s="49" t="s">
        <v>1114</v>
      </c>
      <c r="D1499" s="49">
        <v>0</v>
      </c>
      <c r="E1499" s="49">
        <v>0</v>
      </c>
      <c r="F1499" s="49">
        <v>0</v>
      </c>
      <c r="G1499" s="54">
        <v>-0.46</v>
      </c>
      <c r="H1499" s="56">
        <f t="shared" si="69"/>
        <v>0</v>
      </c>
      <c r="I1499" s="57">
        <f t="shared" si="70"/>
        <v>0</v>
      </c>
      <c r="J1499" s="56">
        <f t="shared" si="71"/>
        <v>0</v>
      </c>
    </row>
    <row r="1500" spans="1:10" ht="18">
      <c r="A1500" s="49">
        <v>6669</v>
      </c>
      <c r="B1500" s="49" t="s">
        <v>1115</v>
      </c>
      <c r="D1500" s="49">
        <v>18.907999999999998</v>
      </c>
      <c r="E1500" s="49">
        <v>18.907999999999998</v>
      </c>
      <c r="F1500" s="49">
        <v>18.907999999999998</v>
      </c>
      <c r="G1500" s="54">
        <v>26.92</v>
      </c>
      <c r="H1500" s="56">
        <f t="shared" si="69"/>
        <v>509.00335999999999</v>
      </c>
      <c r="I1500" s="57">
        <f t="shared" si="70"/>
        <v>509.00335999999999</v>
      </c>
      <c r="J1500" s="56">
        <f t="shared" si="71"/>
        <v>509.00335999999999</v>
      </c>
    </row>
    <row r="1501" spans="1:10" ht="18">
      <c r="A1501" s="49">
        <v>6670</v>
      </c>
      <c r="B1501" s="49" t="s">
        <v>1116</v>
      </c>
      <c r="D1501" s="49">
        <v>9.9340000000000011</v>
      </c>
      <c r="E1501" s="49">
        <v>11.959999999999999</v>
      </c>
      <c r="F1501" s="49">
        <v>10.946999999999999</v>
      </c>
      <c r="G1501" s="54">
        <v>7.01</v>
      </c>
      <c r="H1501" s="56">
        <f t="shared" si="69"/>
        <v>69.637340000000009</v>
      </c>
      <c r="I1501" s="57">
        <f t="shared" si="70"/>
        <v>76.738469999999992</v>
      </c>
      <c r="J1501" s="56">
        <f t="shared" si="71"/>
        <v>83.83959999999999</v>
      </c>
    </row>
    <row r="1502" spans="1:10" ht="18">
      <c r="A1502" s="49">
        <v>6671</v>
      </c>
      <c r="B1502" s="49" t="s">
        <v>1117</v>
      </c>
      <c r="D1502" s="49">
        <v>12.112</v>
      </c>
      <c r="E1502" s="49">
        <v>13.168000000000001</v>
      </c>
      <c r="F1502" s="49">
        <v>12.64</v>
      </c>
      <c r="G1502" s="54">
        <v>0.67</v>
      </c>
      <c r="H1502" s="56">
        <f t="shared" si="69"/>
        <v>8.1150400000000005</v>
      </c>
      <c r="I1502" s="57">
        <f t="shared" si="70"/>
        <v>8.4688000000000017</v>
      </c>
      <c r="J1502" s="56">
        <f t="shared" si="71"/>
        <v>8.8225600000000011</v>
      </c>
    </row>
    <row r="1503" spans="1:10" ht="18">
      <c r="A1503" s="49">
        <v>6672</v>
      </c>
      <c r="B1503" s="49" t="s">
        <v>1118</v>
      </c>
      <c r="D1503" s="49">
        <v>13.122</v>
      </c>
      <c r="E1503" s="49">
        <v>13.122</v>
      </c>
      <c r="F1503" s="49">
        <v>13.122</v>
      </c>
      <c r="G1503" s="54">
        <v>1.25</v>
      </c>
      <c r="H1503" s="56">
        <f t="shared" si="69"/>
        <v>16.4025</v>
      </c>
      <c r="I1503" s="57">
        <f t="shared" si="70"/>
        <v>16.4025</v>
      </c>
      <c r="J1503" s="56">
        <f t="shared" si="71"/>
        <v>16.4025</v>
      </c>
    </row>
    <row r="1504" spans="1:10" ht="18">
      <c r="A1504" s="49">
        <v>6674</v>
      </c>
      <c r="B1504" s="49" t="s">
        <v>1119</v>
      </c>
      <c r="D1504" s="49">
        <v>0</v>
      </c>
      <c r="E1504" s="49">
        <v>0</v>
      </c>
      <c r="F1504" s="49">
        <v>0</v>
      </c>
      <c r="G1504" s="54">
        <v>-0.61</v>
      </c>
      <c r="H1504" s="56">
        <f t="shared" si="69"/>
        <v>0</v>
      </c>
      <c r="I1504" s="57">
        <f t="shared" si="70"/>
        <v>0</v>
      </c>
      <c r="J1504" s="56">
        <f t="shared" si="71"/>
        <v>0</v>
      </c>
    </row>
    <row r="1505" spans="1:10" ht="18">
      <c r="A1505" s="49">
        <v>6679</v>
      </c>
      <c r="B1505" s="49" t="s">
        <v>1893</v>
      </c>
      <c r="D1505" s="49">
        <v>0</v>
      </c>
      <c r="E1505" s="49">
        <v>0</v>
      </c>
      <c r="F1505" s="49">
        <v>0</v>
      </c>
      <c r="G1505" s="54">
        <v>2.86</v>
      </c>
      <c r="H1505" s="56">
        <f t="shared" si="69"/>
        <v>0</v>
      </c>
      <c r="I1505" s="57">
        <f t="shared" si="70"/>
        <v>0</v>
      </c>
      <c r="J1505" s="56">
        <f t="shared" si="71"/>
        <v>0</v>
      </c>
    </row>
    <row r="1506" spans="1:10" ht="18">
      <c r="A1506" s="49">
        <v>6680</v>
      </c>
      <c r="B1506" s="49" t="s">
        <v>1894</v>
      </c>
      <c r="D1506" s="49">
        <v>0</v>
      </c>
      <c r="E1506" s="49">
        <v>0</v>
      </c>
      <c r="F1506" s="49">
        <v>0</v>
      </c>
      <c r="G1506" s="54">
        <v>0.34</v>
      </c>
      <c r="H1506" s="56">
        <f t="shared" si="69"/>
        <v>0</v>
      </c>
      <c r="I1506" s="57">
        <f t="shared" si="70"/>
        <v>0</v>
      </c>
      <c r="J1506" s="56">
        <f t="shared" si="71"/>
        <v>0</v>
      </c>
    </row>
    <row r="1507" spans="1:10" ht="18">
      <c r="A1507" s="49">
        <v>6683</v>
      </c>
      <c r="B1507" s="49" t="s">
        <v>1895</v>
      </c>
      <c r="D1507" s="49">
        <v>23.404</v>
      </c>
      <c r="E1507" s="49">
        <v>23.404</v>
      </c>
      <c r="F1507" s="49">
        <v>23.404</v>
      </c>
      <c r="G1507" s="54">
        <v>4.42</v>
      </c>
      <c r="H1507" s="56">
        <f t="shared" si="69"/>
        <v>103.44568</v>
      </c>
      <c r="I1507" s="57">
        <f t="shared" si="70"/>
        <v>103.44568</v>
      </c>
      <c r="J1507" s="56">
        <f t="shared" si="71"/>
        <v>103.44568</v>
      </c>
    </row>
    <row r="1508" spans="1:10" ht="18">
      <c r="A1508" s="49">
        <v>6684</v>
      </c>
      <c r="B1508" s="49" t="s">
        <v>1896</v>
      </c>
      <c r="D1508" s="49">
        <v>0</v>
      </c>
      <c r="E1508" s="49">
        <v>0</v>
      </c>
      <c r="F1508" s="49">
        <v>0</v>
      </c>
      <c r="G1508" s="54" t="s">
        <v>271</v>
      </c>
      <c r="H1508" s="56" t="e">
        <f t="shared" si="69"/>
        <v>#VALUE!</v>
      </c>
      <c r="I1508" s="57" t="e">
        <f t="shared" si="70"/>
        <v>#VALUE!</v>
      </c>
      <c r="J1508" s="56" t="e">
        <f t="shared" si="71"/>
        <v>#VALUE!</v>
      </c>
    </row>
    <row r="1509" spans="1:10" ht="18">
      <c r="A1509" s="49">
        <v>6689</v>
      </c>
      <c r="B1509" s="49" t="s">
        <v>1120</v>
      </c>
      <c r="D1509" s="49">
        <v>0</v>
      </c>
      <c r="E1509" s="49">
        <v>0</v>
      </c>
      <c r="F1509" s="49">
        <v>0</v>
      </c>
      <c r="G1509" s="54" t="s">
        <v>271</v>
      </c>
      <c r="H1509" s="56" t="e">
        <f t="shared" si="69"/>
        <v>#VALUE!</v>
      </c>
      <c r="I1509" s="57" t="e">
        <f t="shared" si="70"/>
        <v>#VALUE!</v>
      </c>
      <c r="J1509" s="56" t="e">
        <f t="shared" si="71"/>
        <v>#VALUE!</v>
      </c>
    </row>
    <row r="1510" spans="1:10" ht="18">
      <c r="A1510" s="49">
        <v>6690</v>
      </c>
      <c r="B1510" s="49" t="s">
        <v>1897</v>
      </c>
      <c r="D1510" s="49">
        <v>23.952000000000002</v>
      </c>
      <c r="E1510" s="49">
        <v>23.952000000000002</v>
      </c>
      <c r="F1510" s="49">
        <v>23.952000000000002</v>
      </c>
      <c r="G1510" s="54">
        <v>2.0299999999999998</v>
      </c>
      <c r="H1510" s="56">
        <f t="shared" si="69"/>
        <v>48.62256</v>
      </c>
      <c r="I1510" s="57">
        <f t="shared" si="70"/>
        <v>48.62256</v>
      </c>
      <c r="J1510" s="56">
        <f t="shared" si="71"/>
        <v>48.62256</v>
      </c>
    </row>
    <row r="1511" spans="1:10" ht="18">
      <c r="A1511" s="49">
        <v>6691</v>
      </c>
      <c r="B1511" s="49" t="s">
        <v>1121</v>
      </c>
      <c r="D1511" s="49">
        <v>0</v>
      </c>
      <c r="E1511" s="49">
        <v>0</v>
      </c>
      <c r="F1511" s="49">
        <v>0</v>
      </c>
      <c r="G1511" s="54" t="s">
        <v>271</v>
      </c>
      <c r="H1511" s="56" t="e">
        <f t="shared" si="69"/>
        <v>#VALUE!</v>
      </c>
      <c r="I1511" s="57" t="e">
        <f t="shared" si="70"/>
        <v>#VALUE!</v>
      </c>
      <c r="J1511" s="56" t="e">
        <f t="shared" si="71"/>
        <v>#VALUE!</v>
      </c>
    </row>
    <row r="1512" spans="1:10" ht="18">
      <c r="A1512" s="49">
        <v>6693</v>
      </c>
      <c r="B1512" s="49" t="s">
        <v>1898</v>
      </c>
      <c r="D1512" s="49">
        <v>0</v>
      </c>
      <c r="E1512" s="49">
        <v>0</v>
      </c>
      <c r="F1512" s="49">
        <v>0</v>
      </c>
      <c r="G1512" s="54" t="s">
        <v>271</v>
      </c>
      <c r="H1512" s="56" t="e">
        <f t="shared" si="69"/>
        <v>#VALUE!</v>
      </c>
      <c r="I1512" s="57" t="e">
        <f t="shared" si="70"/>
        <v>#VALUE!</v>
      </c>
      <c r="J1512" s="56" t="e">
        <f t="shared" si="71"/>
        <v>#VALUE!</v>
      </c>
    </row>
    <row r="1513" spans="1:10" ht="18">
      <c r="A1513" s="49">
        <v>6695</v>
      </c>
      <c r="B1513" s="49" t="s">
        <v>1122</v>
      </c>
      <c r="D1513" s="49">
        <v>0</v>
      </c>
      <c r="E1513" s="49">
        <v>0</v>
      </c>
      <c r="F1513" s="49">
        <v>0</v>
      </c>
      <c r="G1513" s="54" t="s">
        <v>271</v>
      </c>
      <c r="H1513" s="56" t="e">
        <f t="shared" si="69"/>
        <v>#VALUE!</v>
      </c>
      <c r="I1513" s="57" t="e">
        <f t="shared" si="70"/>
        <v>#VALUE!</v>
      </c>
      <c r="J1513" s="56" t="e">
        <f t="shared" si="71"/>
        <v>#VALUE!</v>
      </c>
    </row>
    <row r="1514" spans="1:10" ht="18">
      <c r="A1514" s="49">
        <v>6697</v>
      </c>
      <c r="B1514" s="49" t="s">
        <v>1899</v>
      </c>
      <c r="D1514" s="49">
        <v>17.844000000000001</v>
      </c>
      <c r="E1514" s="49">
        <v>17.844000000000001</v>
      </c>
      <c r="F1514" s="49">
        <v>17.844000000000001</v>
      </c>
      <c r="G1514" s="54">
        <v>0.66</v>
      </c>
      <c r="H1514" s="56">
        <f t="shared" si="69"/>
        <v>11.777040000000001</v>
      </c>
      <c r="I1514" s="57">
        <f t="shared" si="70"/>
        <v>11.777040000000001</v>
      </c>
      <c r="J1514" s="56">
        <f t="shared" si="71"/>
        <v>11.777040000000001</v>
      </c>
    </row>
    <row r="1515" spans="1:10" ht="18">
      <c r="A1515" s="49">
        <v>6698</v>
      </c>
      <c r="B1515" s="49" t="s">
        <v>1123</v>
      </c>
      <c r="D1515" s="49">
        <v>0</v>
      </c>
      <c r="E1515" s="49">
        <v>0</v>
      </c>
      <c r="F1515" s="49">
        <v>0</v>
      </c>
      <c r="G1515" s="54">
        <v>-0.28999999999999998</v>
      </c>
      <c r="H1515" s="56">
        <f t="shared" si="69"/>
        <v>0</v>
      </c>
      <c r="I1515" s="57">
        <f t="shared" si="70"/>
        <v>0</v>
      </c>
      <c r="J1515" s="56">
        <f t="shared" si="71"/>
        <v>0</v>
      </c>
    </row>
    <row r="1516" spans="1:10" ht="18">
      <c r="A1516" s="49">
        <v>6703</v>
      </c>
      <c r="B1516" s="49" t="s">
        <v>1900</v>
      </c>
      <c r="D1516" s="49">
        <v>0</v>
      </c>
      <c r="E1516" s="49">
        <v>0</v>
      </c>
      <c r="F1516" s="49">
        <v>0</v>
      </c>
      <c r="G1516" s="54" t="s">
        <v>271</v>
      </c>
      <c r="H1516" s="56" t="e">
        <f t="shared" si="69"/>
        <v>#VALUE!</v>
      </c>
      <c r="I1516" s="57" t="e">
        <f t="shared" si="70"/>
        <v>#VALUE!</v>
      </c>
      <c r="J1516" s="56" t="e">
        <f t="shared" si="71"/>
        <v>#VALUE!</v>
      </c>
    </row>
    <row r="1517" spans="1:10" ht="18">
      <c r="A1517" s="49">
        <v>6706</v>
      </c>
      <c r="B1517" s="49" t="s">
        <v>1124</v>
      </c>
      <c r="D1517" s="49">
        <v>0</v>
      </c>
      <c r="E1517" s="49">
        <v>0</v>
      </c>
      <c r="F1517" s="49">
        <v>0</v>
      </c>
      <c r="G1517" s="54">
        <v>-0.98</v>
      </c>
      <c r="H1517" s="56">
        <f t="shared" si="69"/>
        <v>0</v>
      </c>
      <c r="I1517" s="57">
        <f t="shared" si="70"/>
        <v>0</v>
      </c>
      <c r="J1517" s="56">
        <f t="shared" si="71"/>
        <v>0</v>
      </c>
    </row>
    <row r="1518" spans="1:10" ht="18">
      <c r="A1518" s="49">
        <v>6708</v>
      </c>
      <c r="B1518" s="49" t="s">
        <v>1901</v>
      </c>
      <c r="D1518" s="49">
        <v>0</v>
      </c>
      <c r="E1518" s="49">
        <v>0</v>
      </c>
      <c r="F1518" s="49">
        <v>0</v>
      </c>
      <c r="G1518" s="54" t="s">
        <v>271</v>
      </c>
      <c r="H1518" s="56" t="e">
        <f t="shared" si="69"/>
        <v>#VALUE!</v>
      </c>
      <c r="I1518" s="57" t="e">
        <f t="shared" si="70"/>
        <v>#VALUE!</v>
      </c>
      <c r="J1518" s="56" t="e">
        <f t="shared" si="71"/>
        <v>#VALUE!</v>
      </c>
    </row>
    <row r="1519" spans="1:10" ht="18">
      <c r="A1519" s="49">
        <v>6712</v>
      </c>
      <c r="B1519" s="49" t="s">
        <v>1902</v>
      </c>
      <c r="D1519" s="49">
        <v>0</v>
      </c>
      <c r="E1519" s="49">
        <v>0</v>
      </c>
      <c r="F1519" s="49">
        <v>0</v>
      </c>
      <c r="G1519" s="54" t="s">
        <v>271</v>
      </c>
      <c r="H1519" s="56" t="e">
        <f t="shared" si="69"/>
        <v>#VALUE!</v>
      </c>
      <c r="I1519" s="57" t="e">
        <f t="shared" si="70"/>
        <v>#VALUE!</v>
      </c>
      <c r="J1519" s="56" t="e">
        <f t="shared" si="71"/>
        <v>#VALUE!</v>
      </c>
    </row>
    <row r="1520" spans="1:10" ht="18">
      <c r="A1520" s="49">
        <v>6715</v>
      </c>
      <c r="B1520" s="49" t="s">
        <v>1125</v>
      </c>
      <c r="D1520" s="49">
        <v>25.128000000000004</v>
      </c>
      <c r="E1520" s="49">
        <v>25.128000000000004</v>
      </c>
      <c r="F1520" s="49">
        <v>25.128000000000004</v>
      </c>
      <c r="G1520" s="54">
        <v>1.66</v>
      </c>
      <c r="H1520" s="56">
        <f t="shared" si="69"/>
        <v>41.712480000000006</v>
      </c>
      <c r="I1520" s="57">
        <f t="shared" si="70"/>
        <v>41.712480000000006</v>
      </c>
      <c r="J1520" s="56">
        <f t="shared" si="71"/>
        <v>41.712480000000006</v>
      </c>
    </row>
    <row r="1521" spans="1:10" ht="18">
      <c r="A1521" s="49">
        <v>6716</v>
      </c>
      <c r="B1521" s="49" t="s">
        <v>1903</v>
      </c>
      <c r="D1521" s="49">
        <v>0</v>
      </c>
      <c r="E1521" s="49">
        <v>0</v>
      </c>
      <c r="F1521" s="49">
        <v>0</v>
      </c>
      <c r="G1521" s="54" t="s">
        <v>271</v>
      </c>
      <c r="H1521" s="56" t="e">
        <f t="shared" si="69"/>
        <v>#VALUE!</v>
      </c>
      <c r="I1521" s="57" t="e">
        <f t="shared" si="70"/>
        <v>#VALUE!</v>
      </c>
      <c r="J1521" s="56" t="e">
        <f t="shared" si="71"/>
        <v>#VALUE!</v>
      </c>
    </row>
    <row r="1522" spans="1:10" ht="18">
      <c r="A1522" s="49">
        <v>6719</v>
      </c>
      <c r="B1522" s="49" t="s">
        <v>1126</v>
      </c>
      <c r="D1522" s="49">
        <v>0</v>
      </c>
      <c r="E1522" s="49">
        <v>0</v>
      </c>
      <c r="F1522" s="49">
        <v>0</v>
      </c>
      <c r="G1522" s="54" t="s">
        <v>271</v>
      </c>
      <c r="H1522" s="56" t="e">
        <f t="shared" si="69"/>
        <v>#VALUE!</v>
      </c>
      <c r="I1522" s="57" t="e">
        <f t="shared" si="70"/>
        <v>#VALUE!</v>
      </c>
      <c r="J1522" s="56" t="e">
        <f t="shared" si="71"/>
        <v>#VALUE!</v>
      </c>
    </row>
    <row r="1523" spans="1:10" ht="18">
      <c r="A1523" s="49">
        <v>6721</v>
      </c>
      <c r="B1523" s="49" t="s">
        <v>1904</v>
      </c>
      <c r="D1523" s="49">
        <v>0</v>
      </c>
      <c r="E1523" s="49">
        <v>0</v>
      </c>
      <c r="F1523" s="49">
        <v>0</v>
      </c>
      <c r="G1523" s="54" t="s">
        <v>271</v>
      </c>
      <c r="H1523" s="56" t="e">
        <f t="shared" si="69"/>
        <v>#VALUE!</v>
      </c>
      <c r="I1523" s="57" t="e">
        <f t="shared" si="70"/>
        <v>#VALUE!</v>
      </c>
      <c r="J1523" s="56" t="e">
        <f t="shared" si="71"/>
        <v>#VALUE!</v>
      </c>
    </row>
    <row r="1524" spans="1:10" ht="18">
      <c r="A1524" s="49">
        <v>6727</v>
      </c>
      <c r="B1524" s="49" t="s">
        <v>1905</v>
      </c>
      <c r="D1524" s="49">
        <v>0</v>
      </c>
      <c r="E1524" s="49">
        <v>0</v>
      </c>
      <c r="F1524" s="49">
        <v>0</v>
      </c>
      <c r="G1524" s="54" t="s">
        <v>271</v>
      </c>
      <c r="H1524" s="56" t="e">
        <f t="shared" si="69"/>
        <v>#VALUE!</v>
      </c>
      <c r="I1524" s="57" t="e">
        <f t="shared" si="70"/>
        <v>#VALUE!</v>
      </c>
      <c r="J1524" s="56" t="e">
        <f t="shared" si="71"/>
        <v>#VALUE!</v>
      </c>
    </row>
    <row r="1525" spans="1:10" ht="18">
      <c r="A1525" s="49">
        <v>6728</v>
      </c>
      <c r="B1525" s="49" t="s">
        <v>1906</v>
      </c>
      <c r="D1525" s="49">
        <v>0</v>
      </c>
      <c r="E1525" s="49">
        <v>0</v>
      </c>
      <c r="F1525" s="49">
        <v>0</v>
      </c>
      <c r="G1525" s="54" t="s">
        <v>271</v>
      </c>
      <c r="H1525" s="56" t="e">
        <f t="shared" si="69"/>
        <v>#VALUE!</v>
      </c>
      <c r="I1525" s="57" t="e">
        <f t="shared" si="70"/>
        <v>#VALUE!</v>
      </c>
      <c r="J1525" s="56" t="e">
        <f t="shared" si="71"/>
        <v>#VALUE!</v>
      </c>
    </row>
    <row r="1526" spans="1:10" ht="18">
      <c r="A1526" s="49">
        <v>6732</v>
      </c>
      <c r="B1526" s="49" t="s">
        <v>1907</v>
      </c>
      <c r="D1526" s="49">
        <v>0</v>
      </c>
      <c r="E1526" s="49">
        <v>0</v>
      </c>
      <c r="F1526" s="49">
        <v>0</v>
      </c>
      <c r="G1526" s="54" t="s">
        <v>271</v>
      </c>
      <c r="H1526" s="56" t="e">
        <f t="shared" si="69"/>
        <v>#VALUE!</v>
      </c>
      <c r="I1526" s="57" t="e">
        <f t="shared" si="70"/>
        <v>#VALUE!</v>
      </c>
      <c r="J1526" s="56" t="e">
        <f t="shared" si="71"/>
        <v>#VALUE!</v>
      </c>
    </row>
    <row r="1527" spans="1:10" ht="18">
      <c r="A1527" s="49">
        <v>6733</v>
      </c>
      <c r="B1527" s="49" t="s">
        <v>1908</v>
      </c>
      <c r="D1527" s="49">
        <v>0</v>
      </c>
      <c r="E1527" s="49">
        <v>0</v>
      </c>
      <c r="F1527" s="49">
        <v>0</v>
      </c>
      <c r="G1527" s="54" t="s">
        <v>271</v>
      </c>
      <c r="H1527" s="56" t="e">
        <f t="shared" si="69"/>
        <v>#VALUE!</v>
      </c>
      <c r="I1527" s="57" t="e">
        <f t="shared" si="70"/>
        <v>#VALUE!</v>
      </c>
      <c r="J1527" s="56" t="e">
        <f t="shared" si="71"/>
        <v>#VALUE!</v>
      </c>
    </row>
    <row r="1528" spans="1:10" ht="18">
      <c r="A1528" s="49">
        <v>6735</v>
      </c>
      <c r="B1528" s="49" t="s">
        <v>1909</v>
      </c>
      <c r="D1528" s="49">
        <v>0</v>
      </c>
      <c r="E1528" s="49">
        <v>0</v>
      </c>
      <c r="F1528" s="49">
        <v>0</v>
      </c>
      <c r="G1528" s="54" t="s">
        <v>271</v>
      </c>
      <c r="H1528" s="56" t="e">
        <f t="shared" si="69"/>
        <v>#VALUE!</v>
      </c>
      <c r="I1528" s="57" t="e">
        <f t="shared" si="70"/>
        <v>#VALUE!</v>
      </c>
      <c r="J1528" s="56" t="e">
        <f t="shared" si="71"/>
        <v>#VALUE!</v>
      </c>
    </row>
    <row r="1529" spans="1:10" ht="18">
      <c r="A1529" s="49">
        <v>6741</v>
      </c>
      <c r="B1529" s="49" t="s">
        <v>1910</v>
      </c>
      <c r="D1529" s="49">
        <v>0</v>
      </c>
      <c r="E1529" s="49">
        <v>0</v>
      </c>
      <c r="F1529" s="49">
        <v>0</v>
      </c>
      <c r="G1529" s="54" t="s">
        <v>271</v>
      </c>
      <c r="H1529" s="56" t="e">
        <f t="shared" si="69"/>
        <v>#VALUE!</v>
      </c>
      <c r="I1529" s="57" t="e">
        <f t="shared" si="70"/>
        <v>#VALUE!</v>
      </c>
      <c r="J1529" s="56" t="e">
        <f t="shared" si="71"/>
        <v>#VALUE!</v>
      </c>
    </row>
    <row r="1530" spans="1:10" ht="18">
      <c r="A1530" s="49">
        <v>6743</v>
      </c>
      <c r="B1530" s="49" t="s">
        <v>1127</v>
      </c>
      <c r="D1530" s="49">
        <v>0</v>
      </c>
      <c r="E1530" s="49">
        <v>0</v>
      </c>
      <c r="F1530" s="49">
        <v>0</v>
      </c>
      <c r="G1530" s="54" t="s">
        <v>271</v>
      </c>
      <c r="H1530" s="56" t="e">
        <f t="shared" si="69"/>
        <v>#VALUE!</v>
      </c>
      <c r="I1530" s="57" t="e">
        <f t="shared" si="70"/>
        <v>#VALUE!</v>
      </c>
      <c r="J1530" s="56" t="e">
        <f t="shared" si="71"/>
        <v>#VALUE!</v>
      </c>
    </row>
    <row r="1531" spans="1:10" ht="18">
      <c r="A1531" s="49">
        <v>6747</v>
      </c>
      <c r="B1531" s="49" t="s">
        <v>1911</v>
      </c>
      <c r="D1531" s="49">
        <v>0</v>
      </c>
      <c r="E1531" s="49">
        <v>0</v>
      </c>
      <c r="F1531" s="49">
        <v>0</v>
      </c>
      <c r="G1531" s="54" t="s">
        <v>271</v>
      </c>
      <c r="H1531" s="56" t="e">
        <f t="shared" si="69"/>
        <v>#VALUE!</v>
      </c>
      <c r="I1531" s="57" t="e">
        <f t="shared" si="70"/>
        <v>#VALUE!</v>
      </c>
      <c r="J1531" s="56" t="e">
        <f t="shared" si="71"/>
        <v>#VALUE!</v>
      </c>
    </row>
    <row r="1532" spans="1:10" ht="18">
      <c r="A1532" s="49">
        <v>6751</v>
      </c>
      <c r="B1532" s="49" t="s">
        <v>1912</v>
      </c>
      <c r="D1532" s="49">
        <v>0</v>
      </c>
      <c r="E1532" s="49">
        <v>0</v>
      </c>
      <c r="F1532" s="49">
        <v>0</v>
      </c>
      <c r="G1532" s="54" t="s">
        <v>271</v>
      </c>
      <c r="H1532" s="56" t="e">
        <f t="shared" si="69"/>
        <v>#VALUE!</v>
      </c>
      <c r="I1532" s="57" t="e">
        <f t="shared" si="70"/>
        <v>#VALUE!</v>
      </c>
      <c r="J1532" s="56" t="e">
        <f t="shared" si="71"/>
        <v>#VALUE!</v>
      </c>
    </row>
    <row r="1533" spans="1:10" ht="18">
      <c r="A1533" s="49">
        <v>6752</v>
      </c>
      <c r="B1533" s="49" t="s">
        <v>1913</v>
      </c>
      <c r="D1533" s="49">
        <v>0</v>
      </c>
      <c r="E1533" s="49">
        <v>0</v>
      </c>
      <c r="F1533" s="49">
        <v>0</v>
      </c>
      <c r="G1533" s="54" t="s">
        <v>271</v>
      </c>
      <c r="H1533" s="56" t="e">
        <f t="shared" si="69"/>
        <v>#VALUE!</v>
      </c>
      <c r="I1533" s="57" t="e">
        <f t="shared" si="70"/>
        <v>#VALUE!</v>
      </c>
      <c r="J1533" s="56" t="e">
        <f t="shared" si="71"/>
        <v>#VALUE!</v>
      </c>
    </row>
    <row r="1534" spans="1:10" ht="18">
      <c r="A1534" s="49">
        <v>6754</v>
      </c>
      <c r="B1534" s="49" t="s">
        <v>1128</v>
      </c>
      <c r="D1534" s="49">
        <v>0</v>
      </c>
      <c r="E1534" s="49">
        <v>0</v>
      </c>
      <c r="F1534" s="49">
        <v>0</v>
      </c>
      <c r="G1534" s="54" t="s">
        <v>271</v>
      </c>
      <c r="H1534" s="56" t="e">
        <f t="shared" si="69"/>
        <v>#VALUE!</v>
      </c>
      <c r="I1534" s="57" t="e">
        <f t="shared" si="70"/>
        <v>#VALUE!</v>
      </c>
      <c r="J1534" s="56" t="e">
        <f t="shared" si="71"/>
        <v>#VALUE!</v>
      </c>
    </row>
    <row r="1535" spans="1:10" ht="18">
      <c r="A1535" s="49">
        <v>6756</v>
      </c>
      <c r="B1535" s="49" t="s">
        <v>1129</v>
      </c>
      <c r="D1535" s="49">
        <v>0</v>
      </c>
      <c r="E1535" s="49">
        <v>0</v>
      </c>
      <c r="F1535" s="49">
        <v>0</v>
      </c>
      <c r="G1535" s="54" t="s">
        <v>271</v>
      </c>
      <c r="H1535" s="56" t="e">
        <f t="shared" si="69"/>
        <v>#VALUE!</v>
      </c>
      <c r="I1535" s="57" t="e">
        <f t="shared" si="70"/>
        <v>#VALUE!</v>
      </c>
      <c r="J1535" s="56" t="e">
        <f t="shared" si="71"/>
        <v>#VALUE!</v>
      </c>
    </row>
    <row r="1536" spans="1:10" ht="18">
      <c r="A1536" s="49">
        <v>6761</v>
      </c>
      <c r="B1536" s="49" t="s">
        <v>1914</v>
      </c>
      <c r="D1536" s="49">
        <v>0</v>
      </c>
      <c r="E1536" s="49">
        <v>0</v>
      </c>
      <c r="F1536" s="49">
        <v>0</v>
      </c>
      <c r="G1536" s="54" t="s">
        <v>271</v>
      </c>
      <c r="H1536" s="56" t="e">
        <f t="shared" si="69"/>
        <v>#VALUE!</v>
      </c>
      <c r="I1536" s="57" t="e">
        <f t="shared" si="70"/>
        <v>#VALUE!</v>
      </c>
      <c r="J1536" s="56" t="e">
        <f t="shared" si="71"/>
        <v>#VALUE!</v>
      </c>
    </row>
    <row r="1537" spans="1:10" ht="18">
      <c r="A1537" s="49">
        <v>6762</v>
      </c>
      <c r="B1537" s="49" t="s">
        <v>1915</v>
      </c>
      <c r="D1537" s="49">
        <v>0</v>
      </c>
      <c r="E1537" s="49">
        <v>0</v>
      </c>
      <c r="F1537" s="49">
        <v>0</v>
      </c>
      <c r="G1537" s="54" t="s">
        <v>271</v>
      </c>
      <c r="H1537" s="56" t="e">
        <f t="shared" si="69"/>
        <v>#VALUE!</v>
      </c>
      <c r="I1537" s="57" t="e">
        <f t="shared" si="70"/>
        <v>#VALUE!</v>
      </c>
      <c r="J1537" s="56" t="e">
        <f t="shared" si="71"/>
        <v>#VALUE!</v>
      </c>
    </row>
    <row r="1538" spans="1:10" ht="18">
      <c r="A1538" s="49">
        <v>6763</v>
      </c>
      <c r="B1538" s="49" t="s">
        <v>1916</v>
      </c>
      <c r="D1538" s="49">
        <v>0</v>
      </c>
      <c r="E1538" s="49">
        <v>0</v>
      </c>
      <c r="F1538" s="49">
        <v>0</v>
      </c>
      <c r="G1538" s="54" t="s">
        <v>271</v>
      </c>
      <c r="H1538" s="56" t="e">
        <f t="shared" si="69"/>
        <v>#VALUE!</v>
      </c>
      <c r="I1538" s="57" t="e">
        <f t="shared" si="70"/>
        <v>#VALUE!</v>
      </c>
      <c r="J1538" s="56" t="e">
        <f t="shared" si="71"/>
        <v>#VALUE!</v>
      </c>
    </row>
    <row r="1539" spans="1:10" ht="18">
      <c r="A1539" s="49">
        <v>6767</v>
      </c>
      <c r="B1539" s="49" t="s">
        <v>1917</v>
      </c>
      <c r="D1539" s="49">
        <v>0</v>
      </c>
      <c r="E1539" s="49">
        <v>0</v>
      </c>
      <c r="F1539" s="49">
        <v>0</v>
      </c>
      <c r="G1539" s="54" t="s">
        <v>271</v>
      </c>
      <c r="H1539" s="56" t="e">
        <f t="shared" ref="H1539:H1602" si="72">G1539*D1539</f>
        <v>#VALUE!</v>
      </c>
      <c r="I1539" s="57" t="e">
        <f t="shared" ref="I1539:I1602" si="73">G1539*F1539</f>
        <v>#VALUE!</v>
      </c>
      <c r="J1539" s="56" t="e">
        <f t="shared" ref="J1539:J1602" si="74">G1539*E1539</f>
        <v>#VALUE!</v>
      </c>
    </row>
    <row r="1540" spans="1:10" ht="18">
      <c r="A1540" s="49">
        <v>6768</v>
      </c>
      <c r="B1540" s="49" t="s">
        <v>1130</v>
      </c>
      <c r="D1540" s="49">
        <v>0</v>
      </c>
      <c r="E1540" s="49">
        <v>0</v>
      </c>
      <c r="F1540" s="49">
        <v>0</v>
      </c>
      <c r="G1540" s="54" t="s">
        <v>271</v>
      </c>
      <c r="H1540" s="56" t="e">
        <f t="shared" si="72"/>
        <v>#VALUE!</v>
      </c>
      <c r="I1540" s="57" t="e">
        <f t="shared" si="73"/>
        <v>#VALUE!</v>
      </c>
      <c r="J1540" s="56" t="e">
        <f t="shared" si="74"/>
        <v>#VALUE!</v>
      </c>
    </row>
    <row r="1541" spans="1:10" ht="18">
      <c r="A1541" s="49">
        <v>6770</v>
      </c>
      <c r="B1541" s="49" t="s">
        <v>1131</v>
      </c>
      <c r="D1541" s="49">
        <v>0</v>
      </c>
      <c r="E1541" s="49">
        <v>0</v>
      </c>
      <c r="F1541" s="49">
        <v>0</v>
      </c>
      <c r="G1541" s="54" t="s">
        <v>271</v>
      </c>
      <c r="H1541" s="56" t="e">
        <f t="shared" si="72"/>
        <v>#VALUE!</v>
      </c>
      <c r="I1541" s="57" t="e">
        <f t="shared" si="73"/>
        <v>#VALUE!</v>
      </c>
      <c r="J1541" s="56" t="e">
        <f t="shared" si="74"/>
        <v>#VALUE!</v>
      </c>
    </row>
    <row r="1542" spans="1:10" ht="18">
      <c r="A1542" s="49">
        <v>6776</v>
      </c>
      <c r="B1542" s="49" t="s">
        <v>1132</v>
      </c>
      <c r="D1542" s="49">
        <v>0</v>
      </c>
      <c r="E1542" s="49">
        <v>0</v>
      </c>
      <c r="F1542" s="49">
        <v>0</v>
      </c>
      <c r="G1542" s="54" t="s">
        <v>271</v>
      </c>
      <c r="H1542" s="56" t="e">
        <f t="shared" si="72"/>
        <v>#VALUE!</v>
      </c>
      <c r="I1542" s="57" t="e">
        <f t="shared" si="73"/>
        <v>#VALUE!</v>
      </c>
      <c r="J1542" s="56" t="e">
        <f t="shared" si="74"/>
        <v>#VALUE!</v>
      </c>
    </row>
    <row r="1543" spans="1:10" ht="18">
      <c r="A1543" s="49">
        <v>6781</v>
      </c>
      <c r="B1543" s="49" t="s">
        <v>1133</v>
      </c>
      <c r="D1543" s="49">
        <v>0</v>
      </c>
      <c r="E1543" s="49">
        <v>0</v>
      </c>
      <c r="F1543" s="49">
        <v>0</v>
      </c>
      <c r="G1543" s="54" t="s">
        <v>271</v>
      </c>
      <c r="H1543" s="56" t="e">
        <f t="shared" si="72"/>
        <v>#VALUE!</v>
      </c>
      <c r="I1543" s="57" t="e">
        <f t="shared" si="73"/>
        <v>#VALUE!</v>
      </c>
      <c r="J1543" s="56" t="e">
        <f t="shared" si="74"/>
        <v>#VALUE!</v>
      </c>
    </row>
    <row r="1544" spans="1:10" ht="18">
      <c r="A1544" s="49">
        <v>6782</v>
      </c>
      <c r="B1544" s="49" t="s">
        <v>1134</v>
      </c>
      <c r="D1544" s="49">
        <v>0</v>
      </c>
      <c r="E1544" s="49">
        <v>0</v>
      </c>
      <c r="F1544" s="49">
        <v>0</v>
      </c>
      <c r="G1544" s="54" t="s">
        <v>271</v>
      </c>
      <c r="H1544" s="56" t="e">
        <f t="shared" si="72"/>
        <v>#VALUE!</v>
      </c>
      <c r="I1544" s="57" t="e">
        <f t="shared" si="73"/>
        <v>#VALUE!</v>
      </c>
      <c r="J1544" s="56" t="e">
        <f t="shared" si="74"/>
        <v>#VALUE!</v>
      </c>
    </row>
    <row r="1545" spans="1:10" ht="18">
      <c r="A1545" s="49">
        <v>6788</v>
      </c>
      <c r="B1545" s="49" t="s">
        <v>1918</v>
      </c>
      <c r="D1545" s="49">
        <v>0</v>
      </c>
      <c r="E1545" s="49">
        <v>0</v>
      </c>
      <c r="F1545" s="49">
        <v>0</v>
      </c>
      <c r="G1545" s="54" t="s">
        <v>271</v>
      </c>
      <c r="H1545" s="56" t="e">
        <f t="shared" si="72"/>
        <v>#VALUE!</v>
      </c>
      <c r="I1545" s="57" t="e">
        <f t="shared" si="73"/>
        <v>#VALUE!</v>
      </c>
      <c r="J1545" s="56" t="e">
        <f t="shared" si="74"/>
        <v>#VALUE!</v>
      </c>
    </row>
    <row r="1546" spans="1:10" ht="18">
      <c r="A1546" s="49">
        <v>6789</v>
      </c>
      <c r="B1546" s="49" t="s">
        <v>1135</v>
      </c>
      <c r="D1546" s="49">
        <v>0</v>
      </c>
      <c r="E1546" s="49">
        <v>0</v>
      </c>
      <c r="F1546" s="49">
        <v>0</v>
      </c>
      <c r="G1546" s="54" t="s">
        <v>271</v>
      </c>
      <c r="H1546" s="56" t="e">
        <f t="shared" si="72"/>
        <v>#VALUE!</v>
      </c>
      <c r="I1546" s="57" t="e">
        <f t="shared" si="73"/>
        <v>#VALUE!</v>
      </c>
      <c r="J1546" s="56" t="e">
        <f t="shared" si="74"/>
        <v>#VALUE!</v>
      </c>
    </row>
    <row r="1547" spans="1:10" ht="18">
      <c r="A1547" s="49">
        <v>6790</v>
      </c>
      <c r="B1547" s="49" t="s">
        <v>1136</v>
      </c>
      <c r="D1547" s="49">
        <v>0</v>
      </c>
      <c r="E1547" s="49">
        <v>0</v>
      </c>
      <c r="F1547" s="49">
        <v>0</v>
      </c>
      <c r="G1547" s="54" t="s">
        <v>271</v>
      </c>
      <c r="H1547" s="56" t="e">
        <f t="shared" si="72"/>
        <v>#VALUE!</v>
      </c>
      <c r="I1547" s="57" t="e">
        <f t="shared" si="73"/>
        <v>#VALUE!</v>
      </c>
      <c r="J1547" s="56" t="e">
        <f t="shared" si="74"/>
        <v>#VALUE!</v>
      </c>
    </row>
    <row r="1548" spans="1:10" ht="18">
      <c r="A1548" s="49">
        <v>6791</v>
      </c>
      <c r="B1548" s="49" t="s">
        <v>1919</v>
      </c>
      <c r="D1548" s="49">
        <v>0</v>
      </c>
      <c r="E1548" s="49">
        <v>0</v>
      </c>
      <c r="F1548" s="49">
        <v>0</v>
      </c>
      <c r="G1548" s="54" t="s">
        <v>271</v>
      </c>
      <c r="H1548" s="56" t="e">
        <f t="shared" si="72"/>
        <v>#VALUE!</v>
      </c>
      <c r="I1548" s="57" t="e">
        <f t="shared" si="73"/>
        <v>#VALUE!</v>
      </c>
      <c r="J1548" s="56" t="e">
        <f t="shared" si="74"/>
        <v>#VALUE!</v>
      </c>
    </row>
    <row r="1549" spans="1:10" ht="18">
      <c r="A1549" s="49">
        <v>6792</v>
      </c>
      <c r="B1549" s="49" t="s">
        <v>1137</v>
      </c>
      <c r="D1549" s="49">
        <v>0</v>
      </c>
      <c r="E1549" s="49">
        <v>0</v>
      </c>
      <c r="F1549" s="49">
        <v>0</v>
      </c>
      <c r="G1549" s="54" t="s">
        <v>271</v>
      </c>
      <c r="H1549" s="56" t="e">
        <f t="shared" si="72"/>
        <v>#VALUE!</v>
      </c>
      <c r="I1549" s="57" t="e">
        <f t="shared" si="73"/>
        <v>#VALUE!</v>
      </c>
      <c r="J1549" s="56" t="e">
        <f t="shared" si="74"/>
        <v>#VALUE!</v>
      </c>
    </row>
    <row r="1550" spans="1:10" ht="18">
      <c r="A1550" s="49">
        <v>6796</v>
      </c>
      <c r="B1550" s="49" t="s">
        <v>1138</v>
      </c>
      <c r="D1550" s="49">
        <v>0</v>
      </c>
      <c r="E1550" s="49">
        <v>0</v>
      </c>
      <c r="F1550" s="49">
        <v>0</v>
      </c>
      <c r="G1550" s="54" t="s">
        <v>271</v>
      </c>
      <c r="H1550" s="56" t="e">
        <f t="shared" si="72"/>
        <v>#VALUE!</v>
      </c>
      <c r="I1550" s="57" t="e">
        <f t="shared" si="73"/>
        <v>#VALUE!</v>
      </c>
      <c r="J1550" s="56" t="e">
        <f t="shared" si="74"/>
        <v>#VALUE!</v>
      </c>
    </row>
    <row r="1551" spans="1:10" ht="18">
      <c r="A1551" s="49">
        <v>6799</v>
      </c>
      <c r="B1551" s="49" t="s">
        <v>1139</v>
      </c>
      <c r="D1551" s="49">
        <v>0</v>
      </c>
      <c r="E1551" s="49">
        <v>0</v>
      </c>
      <c r="F1551" s="49">
        <v>0</v>
      </c>
      <c r="G1551" s="54" t="s">
        <v>271</v>
      </c>
      <c r="H1551" s="56" t="e">
        <f t="shared" si="72"/>
        <v>#VALUE!</v>
      </c>
      <c r="I1551" s="57" t="e">
        <f t="shared" si="73"/>
        <v>#VALUE!</v>
      </c>
      <c r="J1551" s="56" t="e">
        <f t="shared" si="74"/>
        <v>#VALUE!</v>
      </c>
    </row>
    <row r="1552" spans="1:10" ht="18">
      <c r="A1552" s="49">
        <v>6803</v>
      </c>
      <c r="B1552" s="49" t="s">
        <v>1920</v>
      </c>
      <c r="D1552" s="49">
        <v>14.420000000000002</v>
      </c>
      <c r="E1552" s="49">
        <v>18.485999999999997</v>
      </c>
      <c r="F1552" s="49">
        <v>16.452999999999999</v>
      </c>
      <c r="G1552" s="54">
        <v>16.36</v>
      </c>
      <c r="H1552" s="56">
        <f t="shared" si="72"/>
        <v>235.91120000000001</v>
      </c>
      <c r="I1552" s="57">
        <f t="shared" si="73"/>
        <v>269.17107999999996</v>
      </c>
      <c r="J1552" s="56">
        <f t="shared" si="74"/>
        <v>302.43095999999997</v>
      </c>
    </row>
    <row r="1553" spans="1:10" ht="18">
      <c r="A1553" s="49">
        <v>6804</v>
      </c>
      <c r="B1553" s="49" t="s">
        <v>1921</v>
      </c>
      <c r="D1553" s="49">
        <v>0</v>
      </c>
      <c r="E1553" s="49">
        <v>0</v>
      </c>
      <c r="F1553" s="49">
        <v>0</v>
      </c>
      <c r="G1553" s="54" t="s">
        <v>271</v>
      </c>
      <c r="H1553" s="56" t="e">
        <f t="shared" si="72"/>
        <v>#VALUE!</v>
      </c>
      <c r="I1553" s="57" t="e">
        <f t="shared" si="73"/>
        <v>#VALUE!</v>
      </c>
      <c r="J1553" s="56" t="e">
        <f t="shared" si="74"/>
        <v>#VALUE!</v>
      </c>
    </row>
    <row r="1554" spans="1:10" ht="18">
      <c r="A1554" s="49">
        <v>6806</v>
      </c>
      <c r="B1554" s="49" t="s">
        <v>1140</v>
      </c>
      <c r="D1554" s="49">
        <v>0</v>
      </c>
      <c r="E1554" s="49">
        <v>0</v>
      </c>
      <c r="F1554" s="49">
        <v>0</v>
      </c>
      <c r="G1554" s="54" t="s">
        <v>271</v>
      </c>
      <c r="H1554" s="56" t="e">
        <f t="shared" si="72"/>
        <v>#VALUE!</v>
      </c>
      <c r="I1554" s="57" t="e">
        <f t="shared" si="73"/>
        <v>#VALUE!</v>
      </c>
      <c r="J1554" s="56" t="e">
        <f t="shared" si="74"/>
        <v>#VALUE!</v>
      </c>
    </row>
    <row r="1555" spans="1:10" ht="18">
      <c r="A1555" s="49">
        <v>6807</v>
      </c>
      <c r="B1555" s="49" t="s">
        <v>1141</v>
      </c>
      <c r="D1555" s="49">
        <v>0</v>
      </c>
      <c r="E1555" s="49">
        <v>0</v>
      </c>
      <c r="F1555" s="49">
        <v>0</v>
      </c>
      <c r="G1555" s="54" t="s">
        <v>271</v>
      </c>
      <c r="H1555" s="56" t="e">
        <f t="shared" si="72"/>
        <v>#VALUE!</v>
      </c>
      <c r="I1555" s="57" t="e">
        <f t="shared" si="73"/>
        <v>#VALUE!</v>
      </c>
      <c r="J1555" s="56" t="e">
        <f t="shared" si="74"/>
        <v>#VALUE!</v>
      </c>
    </row>
    <row r="1556" spans="1:10" ht="18">
      <c r="A1556" s="49">
        <v>6811</v>
      </c>
      <c r="B1556" s="49" t="s">
        <v>1922</v>
      </c>
      <c r="D1556" s="49">
        <v>0</v>
      </c>
      <c r="E1556" s="49">
        <v>0</v>
      </c>
      <c r="F1556" s="49">
        <v>0</v>
      </c>
      <c r="G1556" s="54" t="s">
        <v>271</v>
      </c>
      <c r="H1556" s="56" t="e">
        <f t="shared" si="72"/>
        <v>#VALUE!</v>
      </c>
      <c r="I1556" s="57" t="e">
        <f t="shared" si="73"/>
        <v>#VALUE!</v>
      </c>
      <c r="J1556" s="56" t="e">
        <f t="shared" si="74"/>
        <v>#VALUE!</v>
      </c>
    </row>
    <row r="1557" spans="1:10" ht="18">
      <c r="A1557" s="49">
        <v>6823</v>
      </c>
      <c r="B1557" s="49" t="s">
        <v>1923</v>
      </c>
      <c r="D1557" s="49">
        <v>0</v>
      </c>
      <c r="E1557" s="49">
        <v>0</v>
      </c>
      <c r="F1557" s="49">
        <v>0</v>
      </c>
      <c r="G1557" s="54" t="s">
        <v>271</v>
      </c>
      <c r="H1557" s="56" t="e">
        <f t="shared" si="72"/>
        <v>#VALUE!</v>
      </c>
      <c r="I1557" s="57" t="e">
        <f t="shared" si="73"/>
        <v>#VALUE!</v>
      </c>
      <c r="J1557" s="56" t="e">
        <f t="shared" si="74"/>
        <v>#VALUE!</v>
      </c>
    </row>
    <row r="1558" spans="1:10" ht="18">
      <c r="A1558" s="49">
        <v>6829</v>
      </c>
      <c r="B1558" s="49" t="s">
        <v>1924</v>
      </c>
      <c r="D1558" s="49">
        <v>0</v>
      </c>
      <c r="E1558" s="49">
        <v>0</v>
      </c>
      <c r="F1558" s="49">
        <v>0</v>
      </c>
      <c r="G1558" s="54" t="s">
        <v>271</v>
      </c>
      <c r="H1558" s="56" t="e">
        <f t="shared" si="72"/>
        <v>#VALUE!</v>
      </c>
      <c r="I1558" s="57" t="e">
        <f t="shared" si="73"/>
        <v>#VALUE!</v>
      </c>
      <c r="J1558" s="56" t="e">
        <f t="shared" si="74"/>
        <v>#VALUE!</v>
      </c>
    </row>
    <row r="1559" spans="1:10" ht="18">
      <c r="A1559" s="49">
        <v>6830</v>
      </c>
      <c r="B1559" s="49" t="s">
        <v>1142</v>
      </c>
      <c r="D1559" s="49">
        <v>0</v>
      </c>
      <c r="E1559" s="49">
        <v>0</v>
      </c>
      <c r="F1559" s="49">
        <v>0</v>
      </c>
      <c r="G1559" s="54" t="s">
        <v>271</v>
      </c>
      <c r="H1559" s="56" t="e">
        <f t="shared" si="72"/>
        <v>#VALUE!</v>
      </c>
      <c r="I1559" s="57" t="e">
        <f t="shared" si="73"/>
        <v>#VALUE!</v>
      </c>
      <c r="J1559" s="56" t="e">
        <f t="shared" si="74"/>
        <v>#VALUE!</v>
      </c>
    </row>
    <row r="1560" spans="1:10" ht="18">
      <c r="A1560" s="49">
        <v>6834</v>
      </c>
      <c r="B1560" s="49" t="s">
        <v>1143</v>
      </c>
      <c r="D1560" s="49">
        <v>0</v>
      </c>
      <c r="E1560" s="49">
        <v>0</v>
      </c>
      <c r="F1560" s="49">
        <v>0</v>
      </c>
      <c r="G1560" s="54" t="s">
        <v>271</v>
      </c>
      <c r="H1560" s="56" t="e">
        <f t="shared" si="72"/>
        <v>#VALUE!</v>
      </c>
      <c r="I1560" s="57" t="e">
        <f t="shared" si="73"/>
        <v>#VALUE!</v>
      </c>
      <c r="J1560" s="56" t="e">
        <f t="shared" si="74"/>
        <v>#VALUE!</v>
      </c>
    </row>
    <row r="1561" spans="1:10" ht="18">
      <c r="A1561" s="49">
        <v>6835</v>
      </c>
      <c r="B1561" s="49" t="s">
        <v>1144</v>
      </c>
      <c r="D1561" s="49">
        <v>0</v>
      </c>
      <c r="E1561" s="49">
        <v>0</v>
      </c>
      <c r="F1561" s="49">
        <v>0</v>
      </c>
      <c r="G1561" s="54" t="s">
        <v>271</v>
      </c>
      <c r="H1561" s="56" t="e">
        <f t="shared" si="72"/>
        <v>#VALUE!</v>
      </c>
      <c r="I1561" s="57" t="e">
        <f t="shared" si="73"/>
        <v>#VALUE!</v>
      </c>
      <c r="J1561" s="56" t="e">
        <f t="shared" si="74"/>
        <v>#VALUE!</v>
      </c>
    </row>
    <row r="1562" spans="1:10" ht="18">
      <c r="A1562" s="49">
        <v>6843</v>
      </c>
      <c r="B1562" s="49" t="s">
        <v>1925</v>
      </c>
      <c r="D1562" s="49">
        <v>0</v>
      </c>
      <c r="E1562" s="49">
        <v>0</v>
      </c>
      <c r="F1562" s="49">
        <v>0</v>
      </c>
      <c r="G1562" s="54" t="s">
        <v>271</v>
      </c>
      <c r="H1562" s="56" t="e">
        <f t="shared" si="72"/>
        <v>#VALUE!</v>
      </c>
      <c r="I1562" s="57" t="e">
        <f t="shared" si="73"/>
        <v>#VALUE!</v>
      </c>
      <c r="J1562" s="56" t="e">
        <f t="shared" si="74"/>
        <v>#VALUE!</v>
      </c>
    </row>
    <row r="1563" spans="1:10" ht="18">
      <c r="A1563" s="49">
        <v>6854</v>
      </c>
      <c r="B1563" s="49" t="s">
        <v>1145</v>
      </c>
      <c r="D1563" s="49">
        <v>0</v>
      </c>
      <c r="E1563" s="49">
        <v>0</v>
      </c>
      <c r="F1563" s="49">
        <v>0</v>
      </c>
      <c r="G1563" s="54" t="s">
        <v>271</v>
      </c>
      <c r="H1563" s="56" t="e">
        <f t="shared" si="72"/>
        <v>#VALUE!</v>
      </c>
      <c r="I1563" s="57" t="e">
        <f t="shared" si="73"/>
        <v>#VALUE!</v>
      </c>
      <c r="J1563" s="56" t="e">
        <f t="shared" si="74"/>
        <v>#VALUE!</v>
      </c>
    </row>
    <row r="1564" spans="1:10" ht="18">
      <c r="A1564" s="49">
        <v>6855</v>
      </c>
      <c r="B1564" s="49" t="s">
        <v>1926</v>
      </c>
      <c r="D1564" s="49">
        <v>0</v>
      </c>
      <c r="E1564" s="49">
        <v>0</v>
      </c>
      <c r="F1564" s="49">
        <v>0</v>
      </c>
      <c r="G1564" s="54" t="s">
        <v>271</v>
      </c>
      <c r="H1564" s="56" t="e">
        <f t="shared" si="72"/>
        <v>#VALUE!</v>
      </c>
      <c r="I1564" s="57" t="e">
        <f t="shared" si="73"/>
        <v>#VALUE!</v>
      </c>
      <c r="J1564" s="56" t="e">
        <f t="shared" si="74"/>
        <v>#VALUE!</v>
      </c>
    </row>
    <row r="1565" spans="1:10" ht="18">
      <c r="A1565" s="49">
        <v>6859</v>
      </c>
      <c r="B1565" s="49" t="s">
        <v>1927</v>
      </c>
      <c r="D1565" s="49">
        <v>0</v>
      </c>
      <c r="E1565" s="49">
        <v>0</v>
      </c>
      <c r="F1565" s="49">
        <v>0</v>
      </c>
      <c r="G1565" s="54" t="s">
        <v>271</v>
      </c>
      <c r="H1565" s="56" t="e">
        <f t="shared" si="72"/>
        <v>#VALUE!</v>
      </c>
      <c r="I1565" s="57" t="e">
        <f t="shared" si="73"/>
        <v>#VALUE!</v>
      </c>
      <c r="J1565" s="56" t="e">
        <f t="shared" si="74"/>
        <v>#VALUE!</v>
      </c>
    </row>
    <row r="1566" spans="1:10" ht="18">
      <c r="A1566" s="49">
        <v>6874</v>
      </c>
      <c r="B1566" s="49" t="s">
        <v>1928</v>
      </c>
      <c r="D1566" s="49">
        <v>0</v>
      </c>
      <c r="E1566" s="49">
        <v>0</v>
      </c>
      <c r="F1566" s="49">
        <v>0</v>
      </c>
      <c r="G1566" s="54" t="s">
        <v>271</v>
      </c>
      <c r="H1566" s="56" t="e">
        <f t="shared" si="72"/>
        <v>#VALUE!</v>
      </c>
      <c r="I1566" s="57" t="e">
        <f t="shared" si="73"/>
        <v>#VALUE!</v>
      </c>
      <c r="J1566" s="56" t="e">
        <f t="shared" si="74"/>
        <v>#VALUE!</v>
      </c>
    </row>
    <row r="1567" spans="1:10" ht="18">
      <c r="A1567" s="49">
        <v>7402</v>
      </c>
      <c r="B1567" s="49" t="s">
        <v>1929</v>
      </c>
      <c r="D1567" s="49">
        <v>26.860000000000003</v>
      </c>
      <c r="E1567" s="49">
        <v>26.860000000000003</v>
      </c>
      <c r="F1567" s="49">
        <v>26.860000000000003</v>
      </c>
      <c r="G1567" s="54">
        <v>1.38</v>
      </c>
      <c r="H1567" s="56">
        <f t="shared" si="72"/>
        <v>37.066800000000001</v>
      </c>
      <c r="I1567" s="57">
        <f t="shared" si="73"/>
        <v>37.066800000000001</v>
      </c>
      <c r="J1567" s="56">
        <f t="shared" si="74"/>
        <v>37.066800000000001</v>
      </c>
    </row>
    <row r="1568" spans="1:10" ht="18">
      <c r="A1568" s="49">
        <v>7556</v>
      </c>
      <c r="B1568" s="49" t="s">
        <v>1930</v>
      </c>
      <c r="D1568" s="49">
        <v>0</v>
      </c>
      <c r="E1568" s="49">
        <v>0</v>
      </c>
      <c r="F1568" s="49">
        <v>0</v>
      </c>
      <c r="G1568" s="54" t="s">
        <v>271</v>
      </c>
      <c r="H1568" s="56" t="e">
        <f t="shared" si="72"/>
        <v>#VALUE!</v>
      </c>
      <c r="I1568" s="57" t="e">
        <f t="shared" si="73"/>
        <v>#VALUE!</v>
      </c>
      <c r="J1568" s="56" t="e">
        <f t="shared" si="74"/>
        <v>#VALUE!</v>
      </c>
    </row>
    <row r="1569" spans="1:10" ht="18">
      <c r="A1569" s="49">
        <v>8011</v>
      </c>
      <c r="B1569" s="49" t="s">
        <v>1146</v>
      </c>
      <c r="D1569" s="49">
        <v>20.356000000000002</v>
      </c>
      <c r="E1569" s="49">
        <v>20.356000000000002</v>
      </c>
      <c r="F1569" s="49">
        <v>20.356000000000002</v>
      </c>
      <c r="G1569" s="54">
        <v>0.09</v>
      </c>
      <c r="H1569" s="56">
        <f t="shared" si="72"/>
        <v>1.8320400000000001</v>
      </c>
      <c r="I1569" s="57">
        <f t="shared" si="73"/>
        <v>1.8320400000000001</v>
      </c>
      <c r="J1569" s="56">
        <f t="shared" si="74"/>
        <v>1.8320400000000001</v>
      </c>
    </row>
    <row r="1570" spans="1:10" ht="18">
      <c r="A1570" s="49">
        <v>8016</v>
      </c>
      <c r="B1570" s="49" t="s">
        <v>1147</v>
      </c>
      <c r="D1570" s="49">
        <v>8.1180000000000003</v>
      </c>
      <c r="E1570" s="49">
        <v>18.224</v>
      </c>
      <c r="F1570" s="49">
        <v>13.170999999999999</v>
      </c>
      <c r="G1570" s="54">
        <v>15.5</v>
      </c>
      <c r="H1570" s="56">
        <f t="shared" si="72"/>
        <v>125.82900000000001</v>
      </c>
      <c r="I1570" s="57">
        <f t="shared" si="73"/>
        <v>204.15049999999999</v>
      </c>
      <c r="J1570" s="56">
        <f t="shared" si="74"/>
        <v>282.47199999999998</v>
      </c>
    </row>
    <row r="1571" spans="1:10" ht="18">
      <c r="A1571" s="49">
        <v>8021</v>
      </c>
      <c r="B1571" s="49" t="s">
        <v>1148</v>
      </c>
      <c r="D1571" s="49">
        <v>8.8940000000000001</v>
      </c>
      <c r="E1571" s="49">
        <v>18.696000000000002</v>
      </c>
      <c r="F1571" s="49">
        <v>13.795000000000002</v>
      </c>
      <c r="G1571" s="54">
        <v>-0.25</v>
      </c>
      <c r="H1571" s="56">
        <f t="shared" si="72"/>
        <v>-2.2235</v>
      </c>
      <c r="I1571" s="57">
        <f t="shared" si="73"/>
        <v>-3.4487500000000004</v>
      </c>
      <c r="J1571" s="56">
        <f t="shared" si="74"/>
        <v>-4.6740000000000004</v>
      </c>
    </row>
    <row r="1572" spans="1:10" ht="18">
      <c r="A1572" s="49">
        <v>8024</v>
      </c>
      <c r="B1572" s="49" t="s">
        <v>1931</v>
      </c>
      <c r="D1572" s="49">
        <v>12.008000000000001</v>
      </c>
      <c r="E1572" s="49">
        <v>29.161999999999999</v>
      </c>
      <c r="F1572" s="49">
        <v>20.585000000000001</v>
      </c>
      <c r="G1572" s="54">
        <v>-0.86</v>
      </c>
      <c r="H1572" s="56">
        <f t="shared" si="72"/>
        <v>-10.326880000000001</v>
      </c>
      <c r="I1572" s="57">
        <f t="shared" si="73"/>
        <v>-17.703099999999999</v>
      </c>
      <c r="J1572" s="56">
        <f t="shared" si="74"/>
        <v>-25.079319999999999</v>
      </c>
    </row>
    <row r="1573" spans="1:10" ht="18">
      <c r="A1573" s="49">
        <v>8027</v>
      </c>
      <c r="B1573" s="49" t="s">
        <v>1932</v>
      </c>
      <c r="D1573" s="49">
        <v>0</v>
      </c>
      <c r="E1573" s="49">
        <v>0</v>
      </c>
      <c r="F1573" s="49">
        <v>0</v>
      </c>
      <c r="G1573" s="54">
        <v>0.32</v>
      </c>
      <c r="H1573" s="56">
        <f t="shared" si="72"/>
        <v>0</v>
      </c>
      <c r="I1573" s="57">
        <f t="shared" si="73"/>
        <v>0</v>
      </c>
      <c r="J1573" s="56">
        <f t="shared" si="74"/>
        <v>0</v>
      </c>
    </row>
    <row r="1574" spans="1:10" ht="18">
      <c r="A1574" s="49">
        <v>8028</v>
      </c>
      <c r="B1574" s="49" t="s">
        <v>1149</v>
      </c>
      <c r="D1574" s="49">
        <v>0</v>
      </c>
      <c r="E1574" s="49">
        <v>0</v>
      </c>
      <c r="F1574" s="49">
        <v>0</v>
      </c>
      <c r="G1574" s="54">
        <v>0.36</v>
      </c>
      <c r="H1574" s="56">
        <f t="shared" si="72"/>
        <v>0</v>
      </c>
      <c r="I1574" s="57">
        <f t="shared" si="73"/>
        <v>0</v>
      </c>
      <c r="J1574" s="56">
        <f t="shared" si="74"/>
        <v>0</v>
      </c>
    </row>
    <row r="1575" spans="1:10" ht="18">
      <c r="A1575" s="49">
        <v>8032</v>
      </c>
      <c r="B1575" s="49" t="s">
        <v>1933</v>
      </c>
      <c r="D1575" s="49">
        <v>7.9740000000000011</v>
      </c>
      <c r="E1575" s="49">
        <v>17.610000000000003</v>
      </c>
      <c r="F1575" s="49">
        <v>12.792000000000002</v>
      </c>
      <c r="G1575" s="54">
        <v>1.18</v>
      </c>
      <c r="H1575" s="56">
        <f t="shared" si="72"/>
        <v>9.409320000000001</v>
      </c>
      <c r="I1575" s="57">
        <f t="shared" si="73"/>
        <v>15.094560000000001</v>
      </c>
      <c r="J1575" s="56">
        <f t="shared" si="74"/>
        <v>20.779800000000002</v>
      </c>
    </row>
    <row r="1576" spans="1:10" ht="18">
      <c r="A1576" s="49">
        <v>8033</v>
      </c>
      <c r="B1576" s="49" t="s">
        <v>1150</v>
      </c>
      <c r="D1576" s="49">
        <v>0</v>
      </c>
      <c r="E1576" s="49">
        <v>0</v>
      </c>
      <c r="F1576" s="49">
        <v>0</v>
      </c>
      <c r="G1576" s="54">
        <v>-0.18</v>
      </c>
      <c r="H1576" s="56">
        <f t="shared" si="72"/>
        <v>0</v>
      </c>
      <c r="I1576" s="57">
        <f t="shared" si="73"/>
        <v>0</v>
      </c>
      <c r="J1576" s="56">
        <f t="shared" si="74"/>
        <v>0</v>
      </c>
    </row>
    <row r="1577" spans="1:10" ht="18">
      <c r="A1577" s="49">
        <v>8034</v>
      </c>
      <c r="B1577" s="49" t="s">
        <v>1934</v>
      </c>
      <c r="D1577" s="49">
        <v>11.657999999999999</v>
      </c>
      <c r="E1577" s="49">
        <v>19.827999999999999</v>
      </c>
      <c r="F1577" s="49">
        <v>15.742999999999999</v>
      </c>
      <c r="G1577" s="54">
        <v>1.51</v>
      </c>
      <c r="H1577" s="56">
        <f t="shared" si="72"/>
        <v>17.603580000000001</v>
      </c>
      <c r="I1577" s="57">
        <f t="shared" si="73"/>
        <v>23.771929999999998</v>
      </c>
      <c r="J1577" s="56">
        <f t="shared" si="74"/>
        <v>29.940279999999998</v>
      </c>
    </row>
    <row r="1578" spans="1:10" ht="18">
      <c r="A1578" s="49">
        <v>8038</v>
      </c>
      <c r="B1578" s="49" t="s">
        <v>1935</v>
      </c>
      <c r="D1578" s="49">
        <v>0</v>
      </c>
      <c r="E1578" s="49">
        <v>0</v>
      </c>
      <c r="F1578" s="49">
        <v>0</v>
      </c>
      <c r="G1578" s="54">
        <v>2.7755575615628901E-17</v>
      </c>
      <c r="H1578" s="56">
        <f t="shared" si="72"/>
        <v>0</v>
      </c>
      <c r="I1578" s="57">
        <f t="shared" si="73"/>
        <v>0</v>
      </c>
      <c r="J1578" s="56">
        <f t="shared" si="74"/>
        <v>0</v>
      </c>
    </row>
    <row r="1579" spans="1:10" ht="18">
      <c r="A1579" s="49">
        <v>8039</v>
      </c>
      <c r="B1579" s="49" t="s">
        <v>1151</v>
      </c>
      <c r="D1579" s="49">
        <v>9.3159999999999989</v>
      </c>
      <c r="E1579" s="49">
        <v>22.212</v>
      </c>
      <c r="F1579" s="49">
        <v>15.763999999999999</v>
      </c>
      <c r="G1579" s="54">
        <v>2.02</v>
      </c>
      <c r="H1579" s="56">
        <f t="shared" si="72"/>
        <v>18.818319999999996</v>
      </c>
      <c r="I1579" s="57">
        <f t="shared" si="73"/>
        <v>31.84328</v>
      </c>
      <c r="J1579" s="56">
        <f t="shared" si="74"/>
        <v>44.86824</v>
      </c>
    </row>
    <row r="1580" spans="1:10" ht="18">
      <c r="A1580" s="49">
        <v>8040</v>
      </c>
      <c r="B1580" s="49" t="s">
        <v>1936</v>
      </c>
      <c r="D1580" s="49">
        <v>0</v>
      </c>
      <c r="E1580" s="49">
        <v>0</v>
      </c>
      <c r="F1580" s="49">
        <v>0</v>
      </c>
      <c r="G1580" s="54">
        <v>-1.77</v>
      </c>
      <c r="H1580" s="56">
        <f t="shared" si="72"/>
        <v>0</v>
      </c>
      <c r="I1580" s="57">
        <f t="shared" si="73"/>
        <v>0</v>
      </c>
      <c r="J1580" s="56">
        <f t="shared" si="74"/>
        <v>0</v>
      </c>
    </row>
    <row r="1581" spans="1:10" ht="18">
      <c r="A1581" s="49">
        <v>8042</v>
      </c>
      <c r="B1581" s="49" t="s">
        <v>1937</v>
      </c>
      <c r="D1581" s="49">
        <v>7.4279999999999999</v>
      </c>
      <c r="E1581" s="49">
        <v>16.562000000000001</v>
      </c>
      <c r="F1581" s="49">
        <v>11.995000000000001</v>
      </c>
      <c r="G1581" s="54">
        <v>0.72</v>
      </c>
      <c r="H1581" s="56">
        <f t="shared" si="72"/>
        <v>5.34816</v>
      </c>
      <c r="I1581" s="57">
        <f t="shared" si="73"/>
        <v>8.6364000000000001</v>
      </c>
      <c r="J1581" s="56">
        <f t="shared" si="74"/>
        <v>11.92464</v>
      </c>
    </row>
    <row r="1582" spans="1:10" ht="18">
      <c r="A1582" s="49">
        <v>8043</v>
      </c>
      <c r="B1582" s="49" t="s">
        <v>1938</v>
      </c>
      <c r="D1582" s="49">
        <v>7.0520000000000014</v>
      </c>
      <c r="E1582" s="49">
        <v>17.175999999999998</v>
      </c>
      <c r="F1582" s="49">
        <v>12.114000000000001</v>
      </c>
      <c r="G1582" s="54">
        <v>-0.24</v>
      </c>
      <c r="H1582" s="56">
        <f t="shared" si="72"/>
        <v>-1.6924800000000002</v>
      </c>
      <c r="I1582" s="57">
        <f t="shared" si="73"/>
        <v>-2.9073600000000002</v>
      </c>
      <c r="J1582" s="56">
        <f t="shared" si="74"/>
        <v>-4.1222399999999997</v>
      </c>
    </row>
    <row r="1583" spans="1:10" ht="18">
      <c r="A1583" s="49">
        <v>8044</v>
      </c>
      <c r="B1583" s="49" t="s">
        <v>1939</v>
      </c>
      <c r="D1583" s="49">
        <v>28.928000000000004</v>
      </c>
      <c r="E1583" s="49">
        <v>33.5</v>
      </c>
      <c r="F1583" s="49">
        <v>31.214000000000002</v>
      </c>
      <c r="G1583" s="54">
        <v>-5.01</v>
      </c>
      <c r="H1583" s="56">
        <f t="shared" si="72"/>
        <v>-144.92928000000001</v>
      </c>
      <c r="I1583" s="57">
        <f t="shared" si="73"/>
        <v>-156.38213999999999</v>
      </c>
      <c r="J1583" s="56">
        <f t="shared" si="74"/>
        <v>-167.83499999999998</v>
      </c>
    </row>
    <row r="1584" spans="1:10" ht="18">
      <c r="A1584" s="49">
        <v>8046</v>
      </c>
      <c r="B1584" s="49" t="s">
        <v>1152</v>
      </c>
      <c r="D1584" s="49">
        <v>12.008000000000001</v>
      </c>
      <c r="E1584" s="49">
        <v>22.532</v>
      </c>
      <c r="F1584" s="49">
        <v>17.27</v>
      </c>
      <c r="G1584" s="54">
        <v>9</v>
      </c>
      <c r="H1584" s="56">
        <f t="shared" si="72"/>
        <v>108.072</v>
      </c>
      <c r="I1584" s="57">
        <f t="shared" si="73"/>
        <v>155.43</v>
      </c>
      <c r="J1584" s="56">
        <f t="shared" si="74"/>
        <v>202.78800000000001</v>
      </c>
    </row>
    <row r="1585" spans="1:10" ht="18">
      <c r="A1585" s="49">
        <v>8047</v>
      </c>
      <c r="B1585" s="49" t="s">
        <v>1940</v>
      </c>
      <c r="D1585" s="49">
        <v>14.320000000000002</v>
      </c>
      <c r="E1585" s="49">
        <v>26.225999999999999</v>
      </c>
      <c r="F1585" s="49">
        <v>20.273</v>
      </c>
      <c r="G1585" s="54">
        <v>-1.39</v>
      </c>
      <c r="H1585" s="56">
        <f t="shared" si="72"/>
        <v>-19.904800000000002</v>
      </c>
      <c r="I1585" s="57">
        <f t="shared" si="73"/>
        <v>-28.179469999999998</v>
      </c>
      <c r="J1585" s="56">
        <f t="shared" si="74"/>
        <v>-36.454139999999995</v>
      </c>
    </row>
    <row r="1586" spans="1:10" ht="18">
      <c r="A1586" s="49">
        <v>8048</v>
      </c>
      <c r="B1586" s="49" t="s">
        <v>1941</v>
      </c>
      <c r="D1586" s="49">
        <v>11.162000000000001</v>
      </c>
      <c r="E1586" s="49">
        <v>21.503999999999998</v>
      </c>
      <c r="F1586" s="49">
        <v>16.332999999999998</v>
      </c>
      <c r="G1586" s="54">
        <v>4.3600000000000003</v>
      </c>
      <c r="H1586" s="56">
        <f t="shared" si="72"/>
        <v>48.666320000000006</v>
      </c>
      <c r="I1586" s="57">
        <f t="shared" si="73"/>
        <v>71.211879999999994</v>
      </c>
      <c r="J1586" s="56">
        <f t="shared" si="74"/>
        <v>93.757440000000003</v>
      </c>
    </row>
    <row r="1587" spans="1:10" ht="18">
      <c r="A1587" s="49">
        <v>8049</v>
      </c>
      <c r="B1587" s="49" t="s">
        <v>1942</v>
      </c>
      <c r="D1587" s="49">
        <v>8.918000000000001</v>
      </c>
      <c r="E1587" s="49">
        <v>11.478</v>
      </c>
      <c r="F1587" s="49">
        <v>10.198</v>
      </c>
      <c r="G1587" s="54">
        <v>3.39</v>
      </c>
      <c r="H1587" s="56">
        <f t="shared" si="72"/>
        <v>30.232020000000006</v>
      </c>
      <c r="I1587" s="57">
        <f t="shared" si="73"/>
        <v>34.571220000000004</v>
      </c>
      <c r="J1587" s="56">
        <f t="shared" si="74"/>
        <v>38.910420000000002</v>
      </c>
    </row>
    <row r="1588" spans="1:10" ht="18">
      <c r="A1588" s="49">
        <v>8050</v>
      </c>
      <c r="B1588" s="49" t="s">
        <v>1943</v>
      </c>
      <c r="D1588" s="49">
        <v>9.9619999999999997</v>
      </c>
      <c r="E1588" s="49">
        <v>23.558</v>
      </c>
      <c r="F1588" s="49">
        <v>16.759999999999998</v>
      </c>
      <c r="G1588" s="54">
        <v>5.22</v>
      </c>
      <c r="H1588" s="56">
        <f t="shared" si="72"/>
        <v>52.001639999999995</v>
      </c>
      <c r="I1588" s="57">
        <f t="shared" si="73"/>
        <v>87.487199999999987</v>
      </c>
      <c r="J1588" s="56">
        <f t="shared" si="74"/>
        <v>122.97275999999999</v>
      </c>
    </row>
    <row r="1589" spans="1:10" ht="18">
      <c r="A1589" s="49">
        <v>8054</v>
      </c>
      <c r="B1589" s="49" t="s">
        <v>1944</v>
      </c>
      <c r="D1589" s="49">
        <v>13.61</v>
      </c>
      <c r="E1589" s="49">
        <v>27.911999999999999</v>
      </c>
      <c r="F1589" s="49">
        <v>20.760999999999999</v>
      </c>
      <c r="G1589" s="54">
        <v>-1.21</v>
      </c>
      <c r="H1589" s="56">
        <f t="shared" si="72"/>
        <v>-16.4681</v>
      </c>
      <c r="I1589" s="57">
        <f t="shared" si="73"/>
        <v>-25.120809999999999</v>
      </c>
      <c r="J1589" s="56">
        <f t="shared" si="74"/>
        <v>-33.773519999999998</v>
      </c>
    </row>
    <row r="1590" spans="1:10" ht="18">
      <c r="A1590" s="49">
        <v>8059</v>
      </c>
      <c r="B1590" s="49" t="s">
        <v>1945</v>
      </c>
      <c r="D1590" s="49">
        <v>0</v>
      </c>
      <c r="E1590" s="49">
        <v>0</v>
      </c>
      <c r="F1590" s="49">
        <v>0</v>
      </c>
      <c r="G1590" s="54">
        <v>0.04</v>
      </c>
      <c r="H1590" s="56">
        <f t="shared" si="72"/>
        <v>0</v>
      </c>
      <c r="I1590" s="57">
        <f t="shared" si="73"/>
        <v>0</v>
      </c>
      <c r="J1590" s="56">
        <f t="shared" si="74"/>
        <v>0</v>
      </c>
    </row>
    <row r="1591" spans="1:10" ht="18">
      <c r="A1591" s="49">
        <v>8064</v>
      </c>
      <c r="B1591" s="49" t="s">
        <v>1946</v>
      </c>
      <c r="D1591" s="49">
        <v>7.3759999999999994</v>
      </c>
      <c r="E1591" s="49">
        <v>21.660000000000004</v>
      </c>
      <c r="F1591" s="49">
        <v>14.518000000000001</v>
      </c>
      <c r="G1591" s="54">
        <v>0.96</v>
      </c>
      <c r="H1591" s="56">
        <f t="shared" si="72"/>
        <v>7.0809599999999993</v>
      </c>
      <c r="I1591" s="57">
        <f t="shared" si="73"/>
        <v>13.937279999999999</v>
      </c>
      <c r="J1591" s="56">
        <f t="shared" si="74"/>
        <v>20.793600000000001</v>
      </c>
    </row>
    <row r="1592" spans="1:10" ht="18">
      <c r="A1592" s="49">
        <v>8066</v>
      </c>
      <c r="B1592" s="49" t="s">
        <v>1947</v>
      </c>
      <c r="D1592" s="49">
        <v>10.8</v>
      </c>
      <c r="E1592" s="49">
        <v>25.257999999999999</v>
      </c>
      <c r="F1592" s="49">
        <v>18.029</v>
      </c>
      <c r="G1592" s="54">
        <v>0.74</v>
      </c>
      <c r="H1592" s="56">
        <f t="shared" si="72"/>
        <v>7.992</v>
      </c>
      <c r="I1592" s="57">
        <f t="shared" si="73"/>
        <v>13.34146</v>
      </c>
      <c r="J1592" s="56">
        <f t="shared" si="74"/>
        <v>18.690919999999998</v>
      </c>
    </row>
    <row r="1593" spans="1:10" ht="18">
      <c r="A1593" s="49">
        <v>8067</v>
      </c>
      <c r="B1593" s="49" t="s">
        <v>1948</v>
      </c>
      <c r="D1593" s="49">
        <v>0</v>
      </c>
      <c r="E1593" s="49">
        <v>0</v>
      </c>
      <c r="F1593" s="49">
        <v>0</v>
      </c>
      <c r="G1593" s="54">
        <v>-0.77</v>
      </c>
      <c r="H1593" s="56">
        <f t="shared" si="72"/>
        <v>0</v>
      </c>
      <c r="I1593" s="57">
        <f t="shared" si="73"/>
        <v>0</v>
      </c>
      <c r="J1593" s="56">
        <f t="shared" si="74"/>
        <v>0</v>
      </c>
    </row>
    <row r="1594" spans="1:10" ht="18">
      <c r="A1594" s="49">
        <v>8068</v>
      </c>
      <c r="B1594" s="49" t="s">
        <v>1949</v>
      </c>
      <c r="D1594" s="49">
        <v>0</v>
      </c>
      <c r="E1594" s="49">
        <v>0</v>
      </c>
      <c r="F1594" s="49">
        <v>0</v>
      </c>
      <c r="G1594" s="54">
        <v>-0.56999999999999995</v>
      </c>
      <c r="H1594" s="56">
        <f t="shared" si="72"/>
        <v>0</v>
      </c>
      <c r="I1594" s="57">
        <f t="shared" si="73"/>
        <v>0</v>
      </c>
      <c r="J1594" s="56">
        <f t="shared" si="74"/>
        <v>0</v>
      </c>
    </row>
    <row r="1595" spans="1:10" ht="18">
      <c r="A1595" s="49">
        <v>8069</v>
      </c>
      <c r="B1595" s="49" t="s">
        <v>1950</v>
      </c>
      <c r="D1595" s="49">
        <v>12.884</v>
      </c>
      <c r="E1595" s="49">
        <v>28.193999999999999</v>
      </c>
      <c r="F1595" s="49">
        <v>20.539000000000001</v>
      </c>
      <c r="G1595" s="54">
        <v>6.85</v>
      </c>
      <c r="H1595" s="56">
        <f t="shared" si="72"/>
        <v>88.255399999999995</v>
      </c>
      <c r="I1595" s="57">
        <f t="shared" si="73"/>
        <v>140.69215</v>
      </c>
      <c r="J1595" s="56">
        <f t="shared" si="74"/>
        <v>193.12889999999999</v>
      </c>
    </row>
    <row r="1596" spans="1:10" ht="18">
      <c r="A1596" s="49">
        <v>8070</v>
      </c>
      <c r="B1596" s="49" t="s">
        <v>1153</v>
      </c>
      <c r="D1596" s="49">
        <v>8.798</v>
      </c>
      <c r="E1596" s="49">
        <v>21.632000000000001</v>
      </c>
      <c r="F1596" s="49">
        <v>15.215</v>
      </c>
      <c r="G1596" s="54">
        <v>2.19</v>
      </c>
      <c r="H1596" s="56">
        <f t="shared" si="72"/>
        <v>19.267620000000001</v>
      </c>
      <c r="I1596" s="57">
        <f t="shared" si="73"/>
        <v>33.32085</v>
      </c>
      <c r="J1596" s="56">
        <f t="shared" si="74"/>
        <v>47.374079999999999</v>
      </c>
    </row>
    <row r="1597" spans="1:10" ht="18">
      <c r="A1597" s="49">
        <v>8071</v>
      </c>
      <c r="B1597" s="49" t="s">
        <v>1951</v>
      </c>
      <c r="D1597" s="49">
        <v>12.05</v>
      </c>
      <c r="E1597" s="49">
        <v>21.161999999999999</v>
      </c>
      <c r="F1597" s="49">
        <v>16.606000000000002</v>
      </c>
      <c r="G1597" s="54">
        <v>-0.82</v>
      </c>
      <c r="H1597" s="56">
        <f t="shared" si="72"/>
        <v>-9.8810000000000002</v>
      </c>
      <c r="I1597" s="57">
        <f t="shared" si="73"/>
        <v>-13.61692</v>
      </c>
      <c r="J1597" s="56">
        <f t="shared" si="74"/>
        <v>-17.352839999999997</v>
      </c>
    </row>
    <row r="1598" spans="1:10" ht="18">
      <c r="A1598" s="49">
        <v>8072</v>
      </c>
      <c r="B1598" s="49" t="s">
        <v>1154</v>
      </c>
      <c r="D1598" s="49">
        <v>10.73</v>
      </c>
      <c r="E1598" s="49">
        <v>21.2</v>
      </c>
      <c r="F1598" s="49">
        <v>15.965</v>
      </c>
      <c r="G1598" s="54">
        <v>0.73</v>
      </c>
      <c r="H1598" s="56">
        <f t="shared" si="72"/>
        <v>7.8329000000000004</v>
      </c>
      <c r="I1598" s="57">
        <f t="shared" si="73"/>
        <v>11.654449999999999</v>
      </c>
      <c r="J1598" s="56">
        <f t="shared" si="74"/>
        <v>15.475999999999999</v>
      </c>
    </row>
    <row r="1599" spans="1:10" ht="18">
      <c r="A1599" s="49">
        <v>8074</v>
      </c>
      <c r="B1599" s="49" t="s">
        <v>1952</v>
      </c>
      <c r="D1599" s="49">
        <v>9.8060000000000009</v>
      </c>
      <c r="E1599" s="49">
        <v>23.625999999999998</v>
      </c>
      <c r="F1599" s="49">
        <v>16.716000000000001</v>
      </c>
      <c r="G1599" s="54">
        <v>0.7</v>
      </c>
      <c r="H1599" s="56">
        <f t="shared" si="72"/>
        <v>6.8642000000000003</v>
      </c>
      <c r="I1599" s="57">
        <f t="shared" si="73"/>
        <v>11.7012</v>
      </c>
      <c r="J1599" s="56">
        <f t="shared" si="74"/>
        <v>16.538199999999996</v>
      </c>
    </row>
    <row r="1600" spans="1:10" ht="18">
      <c r="A1600" s="49">
        <v>8076</v>
      </c>
      <c r="B1600" s="49" t="s">
        <v>1953</v>
      </c>
      <c r="D1600" s="49">
        <v>26.358000000000004</v>
      </c>
      <c r="E1600" s="49">
        <v>32.793999999999997</v>
      </c>
      <c r="F1600" s="49">
        <v>29.576000000000001</v>
      </c>
      <c r="G1600" s="54">
        <v>0.15</v>
      </c>
      <c r="H1600" s="56">
        <f t="shared" si="72"/>
        <v>3.9537000000000004</v>
      </c>
      <c r="I1600" s="57">
        <f t="shared" si="73"/>
        <v>4.4363999999999999</v>
      </c>
      <c r="J1600" s="56">
        <f t="shared" si="74"/>
        <v>4.9190999999999994</v>
      </c>
    </row>
    <row r="1601" spans="1:10" ht="18">
      <c r="A1601" s="49">
        <v>8077</v>
      </c>
      <c r="B1601" s="49" t="s">
        <v>1954</v>
      </c>
      <c r="D1601" s="49">
        <v>0</v>
      </c>
      <c r="E1601" s="49">
        <v>0</v>
      </c>
      <c r="F1601" s="49">
        <v>0</v>
      </c>
      <c r="G1601" s="54">
        <v>2.2599999999999998</v>
      </c>
      <c r="H1601" s="56">
        <f t="shared" si="72"/>
        <v>0</v>
      </c>
      <c r="I1601" s="57">
        <f t="shared" si="73"/>
        <v>0</v>
      </c>
      <c r="J1601" s="56">
        <f t="shared" si="74"/>
        <v>0</v>
      </c>
    </row>
    <row r="1602" spans="1:10" ht="18">
      <c r="A1602" s="49">
        <v>8080</v>
      </c>
      <c r="B1602" s="49" t="s">
        <v>1955</v>
      </c>
      <c r="D1602" s="49">
        <v>16.148</v>
      </c>
      <c r="E1602" s="49">
        <v>16.148</v>
      </c>
      <c r="F1602" s="49">
        <v>16.148</v>
      </c>
      <c r="G1602" s="54">
        <v>0.27</v>
      </c>
      <c r="H1602" s="56">
        <f t="shared" si="72"/>
        <v>4.3599600000000001</v>
      </c>
      <c r="I1602" s="57">
        <f t="shared" si="73"/>
        <v>4.3599600000000001</v>
      </c>
      <c r="J1602" s="56">
        <f t="shared" si="74"/>
        <v>4.3599600000000001</v>
      </c>
    </row>
    <row r="1603" spans="1:10" ht="18">
      <c r="A1603" s="49">
        <v>8081</v>
      </c>
      <c r="B1603" s="49" t="s">
        <v>1155</v>
      </c>
      <c r="D1603" s="49">
        <v>9.918000000000001</v>
      </c>
      <c r="E1603" s="49">
        <v>18.655999999999999</v>
      </c>
      <c r="F1603" s="49">
        <v>14.286999999999999</v>
      </c>
      <c r="G1603" s="54">
        <v>17.329999999999998</v>
      </c>
      <c r="H1603" s="56">
        <f t="shared" ref="H1603:H1666" si="75">G1603*D1603</f>
        <v>171.87894</v>
      </c>
      <c r="I1603" s="57">
        <f t="shared" ref="I1603:I1666" si="76">G1603*F1603</f>
        <v>247.59370999999996</v>
      </c>
      <c r="J1603" s="56">
        <f t="shared" ref="J1603:J1666" si="77">G1603*E1603</f>
        <v>323.30847999999997</v>
      </c>
    </row>
    <row r="1604" spans="1:10" ht="18">
      <c r="A1604" s="49">
        <v>8083</v>
      </c>
      <c r="B1604" s="49" t="s">
        <v>1956</v>
      </c>
      <c r="D1604" s="49">
        <v>10.906000000000001</v>
      </c>
      <c r="E1604" s="49">
        <v>19.878</v>
      </c>
      <c r="F1604" s="49">
        <v>15.391999999999999</v>
      </c>
      <c r="G1604" s="54">
        <v>6.79</v>
      </c>
      <c r="H1604" s="56">
        <f t="shared" si="75"/>
        <v>74.051740000000009</v>
      </c>
      <c r="I1604" s="57">
        <f t="shared" si="76"/>
        <v>104.51168</v>
      </c>
      <c r="J1604" s="56">
        <f t="shared" si="77"/>
        <v>134.97162</v>
      </c>
    </row>
    <row r="1605" spans="1:10" ht="18">
      <c r="A1605" s="49">
        <v>8084</v>
      </c>
      <c r="B1605" s="49" t="s">
        <v>1957</v>
      </c>
      <c r="D1605" s="49">
        <v>0</v>
      </c>
      <c r="E1605" s="49">
        <v>0</v>
      </c>
      <c r="F1605" s="49">
        <v>0</v>
      </c>
      <c r="G1605" s="54">
        <v>1.58</v>
      </c>
      <c r="H1605" s="56">
        <f t="shared" si="75"/>
        <v>0</v>
      </c>
      <c r="I1605" s="57">
        <f t="shared" si="76"/>
        <v>0</v>
      </c>
      <c r="J1605" s="56">
        <f t="shared" si="77"/>
        <v>0</v>
      </c>
    </row>
    <row r="1606" spans="1:10" ht="18">
      <c r="A1606" s="49">
        <v>8085</v>
      </c>
      <c r="B1606" s="49" t="s">
        <v>1958</v>
      </c>
      <c r="D1606" s="49">
        <v>0</v>
      </c>
      <c r="E1606" s="49">
        <v>0</v>
      </c>
      <c r="F1606" s="49">
        <v>0</v>
      </c>
      <c r="G1606" s="54">
        <v>-1</v>
      </c>
      <c r="H1606" s="56">
        <f t="shared" si="75"/>
        <v>0</v>
      </c>
      <c r="I1606" s="57">
        <f t="shared" si="76"/>
        <v>0</v>
      </c>
      <c r="J1606" s="56">
        <f t="shared" si="77"/>
        <v>0</v>
      </c>
    </row>
    <row r="1607" spans="1:10" ht="18">
      <c r="A1607" s="49">
        <v>8086</v>
      </c>
      <c r="B1607" s="49" t="s">
        <v>1959</v>
      </c>
      <c r="D1607" s="49">
        <v>21.238</v>
      </c>
      <c r="E1607" s="49">
        <v>26.076000000000001</v>
      </c>
      <c r="F1607" s="49">
        <v>23.657</v>
      </c>
      <c r="G1607" s="54">
        <v>0.42</v>
      </c>
      <c r="H1607" s="56">
        <f t="shared" si="75"/>
        <v>8.9199599999999997</v>
      </c>
      <c r="I1607" s="57">
        <f t="shared" si="76"/>
        <v>9.9359400000000004</v>
      </c>
      <c r="J1607" s="56">
        <f t="shared" si="77"/>
        <v>10.951919999999999</v>
      </c>
    </row>
    <row r="1608" spans="1:10" ht="18">
      <c r="A1608" s="49">
        <v>8087</v>
      </c>
      <c r="B1608" s="49" t="s">
        <v>1960</v>
      </c>
      <c r="D1608" s="49">
        <v>0</v>
      </c>
      <c r="E1608" s="49">
        <v>0</v>
      </c>
      <c r="F1608" s="49">
        <v>0</v>
      </c>
      <c r="G1608" s="54">
        <v>4.0999999999999996</v>
      </c>
      <c r="H1608" s="56">
        <f t="shared" si="75"/>
        <v>0</v>
      </c>
      <c r="I1608" s="57">
        <f t="shared" si="76"/>
        <v>0</v>
      </c>
      <c r="J1608" s="56">
        <f t="shared" si="77"/>
        <v>0</v>
      </c>
    </row>
    <row r="1609" spans="1:10" ht="18">
      <c r="A1609" s="49">
        <v>8088</v>
      </c>
      <c r="B1609" s="49" t="s">
        <v>1961</v>
      </c>
      <c r="D1609" s="49">
        <v>9.8919999999999995</v>
      </c>
      <c r="E1609" s="49">
        <v>20.741999999999997</v>
      </c>
      <c r="F1609" s="49">
        <v>15.316999999999998</v>
      </c>
      <c r="G1609" s="54">
        <v>2.61</v>
      </c>
      <c r="H1609" s="56">
        <f t="shared" si="75"/>
        <v>25.818119999999997</v>
      </c>
      <c r="I1609" s="57">
        <f t="shared" si="76"/>
        <v>39.977369999999993</v>
      </c>
      <c r="J1609" s="56">
        <f t="shared" si="77"/>
        <v>54.136619999999994</v>
      </c>
    </row>
    <row r="1610" spans="1:10" ht="18">
      <c r="A1610" s="49">
        <v>8089</v>
      </c>
      <c r="B1610" s="49" t="s">
        <v>1962</v>
      </c>
      <c r="D1610" s="49">
        <v>0</v>
      </c>
      <c r="E1610" s="49">
        <v>0</v>
      </c>
      <c r="F1610" s="49">
        <v>0</v>
      </c>
      <c r="G1610" s="54" t="s">
        <v>271</v>
      </c>
      <c r="H1610" s="56" t="e">
        <f t="shared" si="75"/>
        <v>#VALUE!</v>
      </c>
      <c r="I1610" s="57" t="e">
        <f t="shared" si="76"/>
        <v>#VALUE!</v>
      </c>
      <c r="J1610" s="56" t="e">
        <f t="shared" si="77"/>
        <v>#VALUE!</v>
      </c>
    </row>
    <row r="1611" spans="1:10" ht="18">
      <c r="A1611" s="49">
        <v>8091</v>
      </c>
      <c r="B1611" s="49" t="s">
        <v>1963</v>
      </c>
      <c r="D1611" s="49">
        <v>8.1419999999999995</v>
      </c>
      <c r="E1611" s="49">
        <v>20.399999999999999</v>
      </c>
      <c r="F1611" s="49">
        <v>14.270999999999999</v>
      </c>
      <c r="G1611" s="54">
        <v>5.98</v>
      </c>
      <c r="H1611" s="56">
        <f t="shared" si="75"/>
        <v>48.689160000000001</v>
      </c>
      <c r="I1611" s="57">
        <f t="shared" si="76"/>
        <v>85.340580000000003</v>
      </c>
      <c r="J1611" s="56">
        <f t="shared" si="77"/>
        <v>121.992</v>
      </c>
    </row>
    <row r="1612" spans="1:10" ht="18">
      <c r="A1612" s="49">
        <v>8092</v>
      </c>
      <c r="B1612" s="49" t="s">
        <v>1964</v>
      </c>
      <c r="D1612" s="49">
        <v>0</v>
      </c>
      <c r="E1612" s="49">
        <v>0</v>
      </c>
      <c r="F1612" s="49">
        <v>0</v>
      </c>
      <c r="G1612" s="54">
        <v>0.03</v>
      </c>
      <c r="H1612" s="56">
        <f t="shared" si="75"/>
        <v>0</v>
      </c>
      <c r="I1612" s="57">
        <f t="shared" si="76"/>
        <v>0</v>
      </c>
      <c r="J1612" s="56">
        <f t="shared" si="77"/>
        <v>0</v>
      </c>
    </row>
    <row r="1613" spans="1:10" ht="18">
      <c r="A1613" s="49">
        <v>8093</v>
      </c>
      <c r="B1613" s="49" t="s">
        <v>1965</v>
      </c>
      <c r="D1613" s="49">
        <v>0</v>
      </c>
      <c r="E1613" s="49">
        <v>0</v>
      </c>
      <c r="F1613" s="49">
        <v>0</v>
      </c>
      <c r="G1613" s="54">
        <v>-1.67</v>
      </c>
      <c r="H1613" s="56">
        <f t="shared" si="75"/>
        <v>0</v>
      </c>
      <c r="I1613" s="57">
        <f t="shared" si="76"/>
        <v>0</v>
      </c>
      <c r="J1613" s="56">
        <f t="shared" si="77"/>
        <v>0</v>
      </c>
    </row>
    <row r="1614" spans="1:10" ht="18">
      <c r="A1614" s="49">
        <v>8096</v>
      </c>
      <c r="B1614" s="49" t="s">
        <v>1966</v>
      </c>
      <c r="D1614" s="49">
        <v>8.7560000000000002</v>
      </c>
      <c r="E1614" s="49">
        <v>16.536000000000001</v>
      </c>
      <c r="F1614" s="49">
        <v>12.646000000000001</v>
      </c>
      <c r="G1614" s="54">
        <v>-3.08</v>
      </c>
      <c r="H1614" s="56">
        <f t="shared" si="75"/>
        <v>-26.96848</v>
      </c>
      <c r="I1614" s="57">
        <f t="shared" si="76"/>
        <v>-38.949680000000001</v>
      </c>
      <c r="J1614" s="56">
        <f t="shared" si="77"/>
        <v>-50.930880000000002</v>
      </c>
    </row>
    <row r="1615" spans="1:10" ht="18">
      <c r="A1615" s="49">
        <v>8097</v>
      </c>
      <c r="B1615" s="49" t="s">
        <v>1967</v>
      </c>
      <c r="D1615" s="49">
        <v>0</v>
      </c>
      <c r="E1615" s="49">
        <v>0</v>
      </c>
      <c r="F1615" s="49">
        <v>0</v>
      </c>
      <c r="G1615" s="54">
        <v>-0.69</v>
      </c>
      <c r="H1615" s="56">
        <f t="shared" si="75"/>
        <v>0</v>
      </c>
      <c r="I1615" s="57">
        <f t="shared" si="76"/>
        <v>0</v>
      </c>
      <c r="J1615" s="56">
        <f t="shared" si="77"/>
        <v>0</v>
      </c>
    </row>
    <row r="1616" spans="1:10" ht="18">
      <c r="A1616" s="49">
        <v>8099</v>
      </c>
      <c r="B1616" s="49" t="s">
        <v>1968</v>
      </c>
      <c r="D1616" s="49">
        <v>10.024000000000001</v>
      </c>
      <c r="E1616" s="49">
        <v>20.85</v>
      </c>
      <c r="F1616" s="49">
        <v>15.437000000000001</v>
      </c>
      <c r="G1616" s="54">
        <v>2.12</v>
      </c>
      <c r="H1616" s="56">
        <f t="shared" si="75"/>
        <v>21.250880000000002</v>
      </c>
      <c r="I1616" s="57">
        <f t="shared" si="76"/>
        <v>32.726440000000004</v>
      </c>
      <c r="J1616" s="56">
        <f t="shared" si="77"/>
        <v>44.202000000000005</v>
      </c>
    </row>
    <row r="1617" spans="1:10" ht="18">
      <c r="A1617" s="49">
        <v>8101</v>
      </c>
      <c r="B1617" s="49" t="s">
        <v>1156</v>
      </c>
      <c r="D1617" s="49">
        <v>0</v>
      </c>
      <c r="E1617" s="49">
        <v>0</v>
      </c>
      <c r="F1617" s="49">
        <v>0</v>
      </c>
      <c r="G1617" s="54">
        <v>-2.79</v>
      </c>
      <c r="H1617" s="56">
        <f t="shared" si="75"/>
        <v>0</v>
      </c>
      <c r="I1617" s="57">
        <f t="shared" si="76"/>
        <v>0</v>
      </c>
      <c r="J1617" s="56">
        <f t="shared" si="77"/>
        <v>0</v>
      </c>
    </row>
    <row r="1618" spans="1:10" ht="18">
      <c r="A1618" s="49">
        <v>8103</v>
      </c>
      <c r="B1618" s="49" t="s">
        <v>1157</v>
      </c>
      <c r="D1618" s="49">
        <v>7.19</v>
      </c>
      <c r="E1618" s="49">
        <v>16.5</v>
      </c>
      <c r="F1618" s="49">
        <v>11.845000000000001</v>
      </c>
      <c r="G1618" s="54">
        <v>2.76</v>
      </c>
      <c r="H1618" s="56">
        <f t="shared" si="75"/>
        <v>19.8444</v>
      </c>
      <c r="I1618" s="57">
        <f t="shared" si="76"/>
        <v>32.6922</v>
      </c>
      <c r="J1618" s="56">
        <f t="shared" si="77"/>
        <v>45.54</v>
      </c>
    </row>
    <row r="1619" spans="1:10" ht="18">
      <c r="A1619" s="49">
        <v>8104</v>
      </c>
      <c r="B1619" s="49" t="s">
        <v>1158</v>
      </c>
      <c r="D1619" s="49">
        <v>0</v>
      </c>
      <c r="E1619" s="49">
        <v>0</v>
      </c>
      <c r="F1619" s="49">
        <v>0</v>
      </c>
      <c r="G1619" s="54">
        <v>0.01</v>
      </c>
      <c r="H1619" s="56">
        <f t="shared" si="75"/>
        <v>0</v>
      </c>
      <c r="I1619" s="57">
        <f t="shared" si="76"/>
        <v>0</v>
      </c>
      <c r="J1619" s="56">
        <f t="shared" si="77"/>
        <v>0</v>
      </c>
    </row>
    <row r="1620" spans="1:10" ht="18">
      <c r="A1620" s="49">
        <v>8105</v>
      </c>
      <c r="B1620" s="49" t="s">
        <v>1159</v>
      </c>
      <c r="D1620" s="49">
        <v>10.937999999999999</v>
      </c>
      <c r="E1620" s="49">
        <v>20.166</v>
      </c>
      <c r="F1620" s="49">
        <v>15.552</v>
      </c>
      <c r="G1620" s="54">
        <v>0.53</v>
      </c>
      <c r="H1620" s="56">
        <f t="shared" si="75"/>
        <v>5.7971399999999997</v>
      </c>
      <c r="I1620" s="57">
        <f t="shared" si="76"/>
        <v>8.242560000000001</v>
      </c>
      <c r="J1620" s="56">
        <f t="shared" si="77"/>
        <v>10.687980000000001</v>
      </c>
    </row>
    <row r="1621" spans="1:10" ht="18">
      <c r="A1621" s="49">
        <v>8107</v>
      </c>
      <c r="B1621" s="49" t="s">
        <v>1969</v>
      </c>
      <c r="D1621" s="49">
        <v>8.8239999999999998</v>
      </c>
      <c r="E1621" s="49">
        <v>23.512</v>
      </c>
      <c r="F1621" s="49">
        <v>16.167999999999999</v>
      </c>
      <c r="G1621" s="54">
        <v>-0.84</v>
      </c>
      <c r="H1621" s="56">
        <f t="shared" si="75"/>
        <v>-7.4121599999999992</v>
      </c>
      <c r="I1621" s="57">
        <f t="shared" si="76"/>
        <v>-13.581119999999999</v>
      </c>
      <c r="J1621" s="56">
        <f t="shared" si="77"/>
        <v>-19.750080000000001</v>
      </c>
    </row>
    <row r="1622" spans="1:10" ht="18">
      <c r="A1622" s="49">
        <v>8109</v>
      </c>
      <c r="B1622" s="49" t="s">
        <v>1970</v>
      </c>
      <c r="D1622" s="49">
        <v>9.0079999999999991</v>
      </c>
      <c r="E1622" s="49">
        <v>15.55</v>
      </c>
      <c r="F1622" s="49">
        <v>12.279</v>
      </c>
      <c r="G1622" s="54">
        <v>8.0299999999999994</v>
      </c>
      <c r="H1622" s="56">
        <f t="shared" si="75"/>
        <v>72.334239999999994</v>
      </c>
      <c r="I1622" s="57">
        <f t="shared" si="76"/>
        <v>98.600369999999998</v>
      </c>
      <c r="J1622" s="56">
        <f t="shared" si="77"/>
        <v>124.8665</v>
      </c>
    </row>
    <row r="1623" spans="1:10" ht="18">
      <c r="A1623" s="49">
        <v>8110</v>
      </c>
      <c r="B1623" s="49" t="s">
        <v>1160</v>
      </c>
      <c r="D1623" s="49">
        <v>7.2859999999999996</v>
      </c>
      <c r="E1623" s="49">
        <v>19.46</v>
      </c>
      <c r="F1623" s="49">
        <v>13.373000000000001</v>
      </c>
      <c r="G1623" s="54">
        <v>-0.01</v>
      </c>
      <c r="H1623" s="56">
        <f t="shared" si="75"/>
        <v>-7.2859999999999994E-2</v>
      </c>
      <c r="I1623" s="57">
        <f t="shared" si="76"/>
        <v>-0.13373000000000002</v>
      </c>
      <c r="J1623" s="56">
        <f t="shared" si="77"/>
        <v>-0.19460000000000002</v>
      </c>
    </row>
    <row r="1624" spans="1:10" ht="18">
      <c r="A1624" s="49">
        <v>8111</v>
      </c>
      <c r="B1624" s="49" t="s">
        <v>1971</v>
      </c>
      <c r="D1624" s="49">
        <v>12.433999999999999</v>
      </c>
      <c r="E1624" s="49">
        <v>27.911999999999999</v>
      </c>
      <c r="F1624" s="49">
        <v>20.172999999999998</v>
      </c>
      <c r="G1624" s="54">
        <v>0.57999999999999996</v>
      </c>
      <c r="H1624" s="56">
        <f t="shared" si="75"/>
        <v>7.2117199999999988</v>
      </c>
      <c r="I1624" s="57">
        <f t="shared" si="76"/>
        <v>11.700339999999999</v>
      </c>
      <c r="J1624" s="56">
        <f t="shared" si="77"/>
        <v>16.188959999999998</v>
      </c>
    </row>
    <row r="1625" spans="1:10" ht="18">
      <c r="A1625" s="49">
        <v>8112</v>
      </c>
      <c r="B1625" s="49" t="s">
        <v>1161</v>
      </c>
      <c r="D1625" s="49">
        <v>7.5379999999999994</v>
      </c>
      <c r="E1625" s="49">
        <v>19.122</v>
      </c>
      <c r="F1625" s="49">
        <v>13.33</v>
      </c>
      <c r="G1625" s="54">
        <v>4.7</v>
      </c>
      <c r="H1625" s="56">
        <f t="shared" si="75"/>
        <v>35.428599999999996</v>
      </c>
      <c r="I1625" s="57">
        <f t="shared" si="76"/>
        <v>62.651000000000003</v>
      </c>
      <c r="J1625" s="56">
        <f t="shared" si="77"/>
        <v>89.873400000000004</v>
      </c>
    </row>
    <row r="1626" spans="1:10" ht="18">
      <c r="A1626" s="49">
        <v>8114</v>
      </c>
      <c r="B1626" s="49" t="s">
        <v>1162</v>
      </c>
      <c r="D1626" s="49">
        <v>8.2900000000000009</v>
      </c>
      <c r="E1626" s="49">
        <v>25.332000000000001</v>
      </c>
      <c r="F1626" s="49">
        <v>16.811</v>
      </c>
      <c r="G1626" s="54">
        <v>5.55</v>
      </c>
      <c r="H1626" s="56">
        <f t="shared" si="75"/>
        <v>46.009500000000003</v>
      </c>
      <c r="I1626" s="57">
        <f t="shared" si="76"/>
        <v>93.301050000000004</v>
      </c>
      <c r="J1626" s="56">
        <f t="shared" si="77"/>
        <v>140.5926</v>
      </c>
    </row>
    <row r="1627" spans="1:10" ht="18">
      <c r="A1627" s="49">
        <v>8121</v>
      </c>
      <c r="B1627" s="49" t="s">
        <v>1972</v>
      </c>
      <c r="D1627" s="49">
        <v>0</v>
      </c>
      <c r="E1627" s="49">
        <v>0</v>
      </c>
      <c r="F1627" s="49">
        <v>0</v>
      </c>
      <c r="G1627" s="54">
        <v>-0.81</v>
      </c>
      <c r="H1627" s="56">
        <f t="shared" si="75"/>
        <v>0</v>
      </c>
      <c r="I1627" s="57">
        <f t="shared" si="76"/>
        <v>0</v>
      </c>
      <c r="J1627" s="56">
        <f t="shared" si="77"/>
        <v>0</v>
      </c>
    </row>
    <row r="1628" spans="1:10" ht="18">
      <c r="A1628" s="49">
        <v>8131</v>
      </c>
      <c r="B1628" s="49" t="s">
        <v>1163</v>
      </c>
      <c r="D1628" s="49">
        <v>7.4879999999999995</v>
      </c>
      <c r="E1628" s="49">
        <v>17.582000000000001</v>
      </c>
      <c r="F1628" s="49">
        <v>12.535</v>
      </c>
      <c r="G1628" s="54">
        <v>1.2</v>
      </c>
      <c r="H1628" s="56">
        <f t="shared" si="75"/>
        <v>8.9855999999999998</v>
      </c>
      <c r="I1628" s="57">
        <f t="shared" si="76"/>
        <v>15.042</v>
      </c>
      <c r="J1628" s="56">
        <f t="shared" si="77"/>
        <v>21.098400000000002</v>
      </c>
    </row>
    <row r="1629" spans="1:10" ht="18">
      <c r="A1629" s="49">
        <v>8147</v>
      </c>
      <c r="B1629" s="49" t="s">
        <v>1973</v>
      </c>
      <c r="D1629" s="49">
        <v>15.602</v>
      </c>
      <c r="E1629" s="49">
        <v>20.577999999999999</v>
      </c>
      <c r="F1629" s="49">
        <v>18.09</v>
      </c>
      <c r="G1629" s="54">
        <v>2.5499999999999998</v>
      </c>
      <c r="H1629" s="56">
        <f t="shared" si="75"/>
        <v>39.7851</v>
      </c>
      <c r="I1629" s="57">
        <f t="shared" si="76"/>
        <v>46.129499999999993</v>
      </c>
      <c r="J1629" s="56">
        <f t="shared" si="77"/>
        <v>52.473899999999993</v>
      </c>
    </row>
    <row r="1630" spans="1:10" ht="18">
      <c r="A1630" s="49">
        <v>8150</v>
      </c>
      <c r="B1630" s="49" t="s">
        <v>1164</v>
      </c>
      <c r="D1630" s="49">
        <v>7.9159999999999995</v>
      </c>
      <c r="E1630" s="49">
        <v>16.628</v>
      </c>
      <c r="F1630" s="49">
        <v>12.272</v>
      </c>
      <c r="G1630" s="54">
        <v>2.6</v>
      </c>
      <c r="H1630" s="56">
        <f t="shared" si="75"/>
        <v>20.581599999999998</v>
      </c>
      <c r="I1630" s="57">
        <f t="shared" si="76"/>
        <v>31.907200000000003</v>
      </c>
      <c r="J1630" s="56">
        <f t="shared" si="77"/>
        <v>43.232800000000005</v>
      </c>
    </row>
    <row r="1631" spans="1:10" ht="18">
      <c r="A1631" s="49">
        <v>8155</v>
      </c>
      <c r="B1631" s="49" t="s">
        <v>1974</v>
      </c>
      <c r="D1631" s="49">
        <v>8.9539999999999988</v>
      </c>
      <c r="E1631" s="49">
        <v>25.183999999999997</v>
      </c>
      <c r="F1631" s="49">
        <v>17.068999999999999</v>
      </c>
      <c r="G1631" s="54">
        <v>4.08</v>
      </c>
      <c r="H1631" s="56">
        <f t="shared" si="75"/>
        <v>36.532319999999999</v>
      </c>
      <c r="I1631" s="57">
        <f t="shared" si="76"/>
        <v>69.64152</v>
      </c>
      <c r="J1631" s="56">
        <f t="shared" si="77"/>
        <v>102.75071999999999</v>
      </c>
    </row>
    <row r="1632" spans="1:10" ht="18">
      <c r="A1632" s="49">
        <v>8163</v>
      </c>
      <c r="B1632" s="49" t="s">
        <v>1165</v>
      </c>
      <c r="D1632" s="49">
        <v>7.8940000000000001</v>
      </c>
      <c r="E1632" s="49">
        <v>21.663999999999998</v>
      </c>
      <c r="F1632" s="49">
        <v>14.779</v>
      </c>
      <c r="G1632" s="54">
        <v>5.91</v>
      </c>
      <c r="H1632" s="56">
        <f t="shared" si="75"/>
        <v>46.65354</v>
      </c>
      <c r="I1632" s="57">
        <f t="shared" si="76"/>
        <v>87.343890000000002</v>
      </c>
      <c r="J1632" s="56">
        <f t="shared" si="77"/>
        <v>128.03423999999998</v>
      </c>
    </row>
    <row r="1633" spans="1:10" ht="18">
      <c r="A1633" s="49">
        <v>8171</v>
      </c>
      <c r="B1633" s="49" t="s">
        <v>1975</v>
      </c>
      <c r="D1633" s="49">
        <v>0</v>
      </c>
      <c r="E1633" s="49">
        <v>0</v>
      </c>
      <c r="F1633" s="49">
        <v>0</v>
      </c>
      <c r="G1633" s="54">
        <v>-0.5</v>
      </c>
      <c r="H1633" s="56">
        <f t="shared" si="75"/>
        <v>0</v>
      </c>
      <c r="I1633" s="57">
        <f t="shared" si="76"/>
        <v>0</v>
      </c>
      <c r="J1633" s="56">
        <f t="shared" si="77"/>
        <v>0</v>
      </c>
    </row>
    <row r="1634" spans="1:10" ht="18">
      <c r="A1634" s="49">
        <v>8176</v>
      </c>
      <c r="B1634" s="49" t="s">
        <v>1976</v>
      </c>
      <c r="D1634" s="49">
        <v>0</v>
      </c>
      <c r="E1634" s="49">
        <v>0</v>
      </c>
      <c r="F1634" s="49">
        <v>0</v>
      </c>
      <c r="G1634" s="54">
        <v>0.08</v>
      </c>
      <c r="H1634" s="56">
        <f t="shared" si="75"/>
        <v>0</v>
      </c>
      <c r="I1634" s="57">
        <f t="shared" si="76"/>
        <v>0</v>
      </c>
      <c r="J1634" s="56">
        <f t="shared" si="77"/>
        <v>0</v>
      </c>
    </row>
    <row r="1635" spans="1:10" ht="18">
      <c r="A1635" s="49">
        <v>8182</v>
      </c>
      <c r="B1635" s="49" t="s">
        <v>1977</v>
      </c>
      <c r="D1635" s="49">
        <v>8.9480000000000004</v>
      </c>
      <c r="E1635" s="49">
        <v>23.225999999999999</v>
      </c>
      <c r="F1635" s="49">
        <v>16.087</v>
      </c>
      <c r="G1635" s="54">
        <v>1.1599999999999999</v>
      </c>
      <c r="H1635" s="56">
        <f t="shared" si="75"/>
        <v>10.37968</v>
      </c>
      <c r="I1635" s="57">
        <f t="shared" si="76"/>
        <v>18.660919999999997</v>
      </c>
      <c r="J1635" s="56">
        <f t="shared" si="77"/>
        <v>26.942159999999998</v>
      </c>
    </row>
    <row r="1636" spans="1:10" ht="18">
      <c r="A1636" s="49">
        <v>8183</v>
      </c>
      <c r="B1636" s="49" t="s">
        <v>1978</v>
      </c>
      <c r="D1636" s="49">
        <v>12.362000000000002</v>
      </c>
      <c r="E1636" s="49">
        <v>20.088000000000001</v>
      </c>
      <c r="F1636" s="49">
        <v>16.225000000000001</v>
      </c>
      <c r="G1636" s="54">
        <v>4.5</v>
      </c>
      <c r="H1636" s="56">
        <f t="shared" si="75"/>
        <v>55.629000000000005</v>
      </c>
      <c r="I1636" s="57">
        <f t="shared" si="76"/>
        <v>73.012500000000003</v>
      </c>
      <c r="J1636" s="56">
        <f t="shared" si="77"/>
        <v>90.396000000000001</v>
      </c>
    </row>
    <row r="1637" spans="1:10" ht="18">
      <c r="A1637" s="49">
        <v>8201</v>
      </c>
      <c r="B1637" s="49" t="s">
        <v>1166</v>
      </c>
      <c r="D1637" s="49">
        <v>0</v>
      </c>
      <c r="E1637" s="49">
        <v>0</v>
      </c>
      <c r="F1637" s="49">
        <v>0</v>
      </c>
      <c r="G1637" s="54">
        <v>-1.1399999999999999</v>
      </c>
      <c r="H1637" s="56">
        <f t="shared" si="75"/>
        <v>0</v>
      </c>
      <c r="I1637" s="57">
        <f t="shared" si="76"/>
        <v>0</v>
      </c>
      <c r="J1637" s="56">
        <f t="shared" si="77"/>
        <v>0</v>
      </c>
    </row>
    <row r="1638" spans="1:10" ht="18">
      <c r="A1638" s="49">
        <v>8210</v>
      </c>
      <c r="B1638" s="49" t="s">
        <v>1167</v>
      </c>
      <c r="D1638" s="49">
        <v>8.6039999999999992</v>
      </c>
      <c r="E1638" s="49">
        <v>13.069999999999999</v>
      </c>
      <c r="F1638" s="49">
        <v>10.837</v>
      </c>
      <c r="G1638" s="54">
        <v>9.0299999999999994</v>
      </c>
      <c r="H1638" s="56">
        <f t="shared" si="75"/>
        <v>77.694119999999984</v>
      </c>
      <c r="I1638" s="57">
        <f t="shared" si="76"/>
        <v>97.858109999999996</v>
      </c>
      <c r="J1638" s="56">
        <f t="shared" si="77"/>
        <v>118.02209999999998</v>
      </c>
    </row>
    <row r="1639" spans="1:10" ht="18">
      <c r="A1639" s="49">
        <v>8213</v>
      </c>
      <c r="B1639" s="49" t="s">
        <v>1168</v>
      </c>
      <c r="D1639" s="49">
        <v>6.758</v>
      </c>
      <c r="E1639" s="49">
        <v>13.104000000000003</v>
      </c>
      <c r="F1639" s="49">
        <v>9.9310000000000009</v>
      </c>
      <c r="G1639" s="54">
        <v>4.03</v>
      </c>
      <c r="H1639" s="56">
        <f t="shared" si="75"/>
        <v>27.234740000000002</v>
      </c>
      <c r="I1639" s="57">
        <f t="shared" si="76"/>
        <v>40.021930000000005</v>
      </c>
      <c r="J1639" s="56">
        <f t="shared" si="77"/>
        <v>52.809120000000014</v>
      </c>
    </row>
    <row r="1640" spans="1:10" ht="18">
      <c r="A1640" s="49">
        <v>8215</v>
      </c>
      <c r="B1640" s="49" t="s">
        <v>1169</v>
      </c>
      <c r="D1640" s="49">
        <v>9.68</v>
      </c>
      <c r="E1640" s="49">
        <v>20.167999999999999</v>
      </c>
      <c r="F1640" s="49">
        <v>14.923999999999999</v>
      </c>
      <c r="G1640" s="54">
        <v>1.29</v>
      </c>
      <c r="H1640" s="56">
        <f t="shared" si="75"/>
        <v>12.4872</v>
      </c>
      <c r="I1640" s="57">
        <f t="shared" si="76"/>
        <v>19.25196</v>
      </c>
      <c r="J1640" s="56">
        <f t="shared" si="77"/>
        <v>26.016719999999999</v>
      </c>
    </row>
    <row r="1641" spans="1:10" ht="18">
      <c r="A1641" s="49">
        <v>8222</v>
      </c>
      <c r="B1641" s="49" t="s">
        <v>1170</v>
      </c>
      <c r="D1641" s="49">
        <v>0</v>
      </c>
      <c r="E1641" s="49">
        <v>0</v>
      </c>
      <c r="F1641" s="49">
        <v>0</v>
      </c>
      <c r="G1641" s="54">
        <v>0.88</v>
      </c>
      <c r="H1641" s="56">
        <f t="shared" si="75"/>
        <v>0</v>
      </c>
      <c r="I1641" s="57">
        <f t="shared" si="76"/>
        <v>0</v>
      </c>
      <c r="J1641" s="56">
        <f t="shared" si="77"/>
        <v>0</v>
      </c>
    </row>
    <row r="1642" spans="1:10" ht="18">
      <c r="A1642" s="49">
        <v>8227</v>
      </c>
      <c r="B1642" s="49" t="s">
        <v>1979</v>
      </c>
      <c r="D1642" s="49">
        <v>0</v>
      </c>
      <c r="E1642" s="49">
        <v>0</v>
      </c>
      <c r="F1642" s="49">
        <v>0</v>
      </c>
      <c r="G1642" s="54" t="s">
        <v>271</v>
      </c>
      <c r="H1642" s="56" t="e">
        <f t="shared" si="75"/>
        <v>#VALUE!</v>
      </c>
      <c r="I1642" s="57" t="e">
        <f t="shared" si="76"/>
        <v>#VALUE!</v>
      </c>
      <c r="J1642" s="56" t="e">
        <f t="shared" si="77"/>
        <v>#VALUE!</v>
      </c>
    </row>
    <row r="1643" spans="1:10" ht="18">
      <c r="A1643" s="49">
        <v>8234</v>
      </c>
      <c r="B1643" s="49" t="s">
        <v>1980</v>
      </c>
      <c r="D1643" s="49">
        <v>9.3800000000000008</v>
      </c>
      <c r="E1643" s="49">
        <v>25.077999999999999</v>
      </c>
      <c r="F1643" s="49">
        <v>17.228999999999999</v>
      </c>
      <c r="G1643" s="54">
        <v>1.27</v>
      </c>
      <c r="H1643" s="56">
        <f t="shared" si="75"/>
        <v>11.912600000000001</v>
      </c>
      <c r="I1643" s="57">
        <f t="shared" si="76"/>
        <v>21.88083</v>
      </c>
      <c r="J1643" s="56">
        <f t="shared" si="77"/>
        <v>31.849059999999998</v>
      </c>
    </row>
    <row r="1644" spans="1:10" ht="18">
      <c r="A1644" s="49">
        <v>8240</v>
      </c>
      <c r="B1644" s="49" t="s">
        <v>1981</v>
      </c>
      <c r="D1644" s="49">
        <v>9.3919999999999995</v>
      </c>
      <c r="E1644" s="49">
        <v>17.981999999999999</v>
      </c>
      <c r="F1644" s="49">
        <v>13.686999999999999</v>
      </c>
      <c r="G1644" s="54">
        <v>2.0499999999999998</v>
      </c>
      <c r="H1644" s="56">
        <f t="shared" si="75"/>
        <v>19.253599999999999</v>
      </c>
      <c r="I1644" s="57">
        <f t="shared" si="76"/>
        <v>28.058349999999997</v>
      </c>
      <c r="J1644" s="56">
        <f t="shared" si="77"/>
        <v>36.863099999999996</v>
      </c>
    </row>
    <row r="1645" spans="1:10" ht="18">
      <c r="A1645" s="49">
        <v>8249</v>
      </c>
      <c r="B1645" s="49" t="s">
        <v>1171</v>
      </c>
      <c r="D1645" s="49">
        <v>9.129999999999999</v>
      </c>
      <c r="E1645" s="49">
        <v>21.142000000000003</v>
      </c>
      <c r="F1645" s="49">
        <v>15.136000000000001</v>
      </c>
      <c r="G1645" s="54">
        <v>2.1800000000000002</v>
      </c>
      <c r="H1645" s="56">
        <f t="shared" si="75"/>
        <v>19.903399999999998</v>
      </c>
      <c r="I1645" s="57">
        <f t="shared" si="76"/>
        <v>32.996480000000005</v>
      </c>
      <c r="J1645" s="56">
        <f t="shared" si="77"/>
        <v>46.089560000000013</v>
      </c>
    </row>
    <row r="1646" spans="1:10" ht="18">
      <c r="A1646" s="49">
        <v>8255</v>
      </c>
      <c r="B1646" s="49" t="s">
        <v>1982</v>
      </c>
      <c r="D1646" s="49">
        <v>12.602</v>
      </c>
      <c r="E1646" s="49">
        <v>24.072000000000003</v>
      </c>
      <c r="F1646" s="49">
        <v>18.337000000000003</v>
      </c>
      <c r="G1646" s="54">
        <v>7.68</v>
      </c>
      <c r="H1646" s="56">
        <f t="shared" si="75"/>
        <v>96.783360000000002</v>
      </c>
      <c r="I1646" s="57">
        <f t="shared" si="76"/>
        <v>140.82816000000003</v>
      </c>
      <c r="J1646" s="56">
        <f t="shared" si="77"/>
        <v>184.87296000000001</v>
      </c>
    </row>
    <row r="1647" spans="1:10" ht="18">
      <c r="A1647" s="49">
        <v>8261</v>
      </c>
      <c r="B1647" s="49" t="s">
        <v>1172</v>
      </c>
      <c r="D1647" s="49">
        <v>15.040000000000001</v>
      </c>
      <c r="E1647" s="49">
        <v>30.725999999999999</v>
      </c>
      <c r="F1647" s="49">
        <v>22.882999999999999</v>
      </c>
      <c r="G1647" s="54">
        <v>2.83</v>
      </c>
      <c r="H1647" s="56">
        <f t="shared" si="75"/>
        <v>42.563200000000002</v>
      </c>
      <c r="I1647" s="57">
        <f t="shared" si="76"/>
        <v>64.758889999999994</v>
      </c>
      <c r="J1647" s="56">
        <f t="shared" si="77"/>
        <v>86.954579999999993</v>
      </c>
    </row>
    <row r="1648" spans="1:10" ht="18">
      <c r="A1648" s="49">
        <v>8271</v>
      </c>
      <c r="B1648" s="49" t="s">
        <v>1173</v>
      </c>
      <c r="D1648" s="49">
        <v>8.4579999999999984</v>
      </c>
      <c r="E1648" s="49">
        <v>12.112</v>
      </c>
      <c r="F1648" s="49">
        <v>10.285</v>
      </c>
      <c r="G1648" s="54">
        <v>4.51</v>
      </c>
      <c r="H1648" s="56">
        <f t="shared" si="75"/>
        <v>38.145579999999988</v>
      </c>
      <c r="I1648" s="57">
        <f t="shared" si="76"/>
        <v>46.385349999999995</v>
      </c>
      <c r="J1648" s="56">
        <f t="shared" si="77"/>
        <v>54.625119999999995</v>
      </c>
    </row>
    <row r="1649" spans="1:10" ht="18">
      <c r="A1649" s="49">
        <v>8277</v>
      </c>
      <c r="B1649" s="49" t="s">
        <v>1983</v>
      </c>
      <c r="D1649" s="49">
        <v>0</v>
      </c>
      <c r="E1649" s="49">
        <v>0</v>
      </c>
      <c r="F1649" s="49">
        <v>0</v>
      </c>
      <c r="G1649" s="54">
        <v>-0.74</v>
      </c>
      <c r="H1649" s="56">
        <f t="shared" si="75"/>
        <v>0</v>
      </c>
      <c r="I1649" s="57">
        <f t="shared" si="76"/>
        <v>0</v>
      </c>
      <c r="J1649" s="56">
        <f t="shared" si="77"/>
        <v>0</v>
      </c>
    </row>
    <row r="1650" spans="1:10" ht="18">
      <c r="A1650" s="49">
        <v>8279</v>
      </c>
      <c r="B1650" s="49" t="s">
        <v>1984</v>
      </c>
      <c r="D1650" s="49">
        <v>14.103999999999999</v>
      </c>
      <c r="E1650" s="49">
        <v>19.577999999999999</v>
      </c>
      <c r="F1650" s="49">
        <v>16.841000000000001</v>
      </c>
      <c r="G1650" s="54">
        <v>10.14</v>
      </c>
      <c r="H1650" s="56">
        <f t="shared" si="75"/>
        <v>143.01455999999999</v>
      </c>
      <c r="I1650" s="57">
        <f t="shared" si="76"/>
        <v>170.76774000000003</v>
      </c>
      <c r="J1650" s="56">
        <f t="shared" si="77"/>
        <v>198.52092000000002</v>
      </c>
    </row>
    <row r="1651" spans="1:10" ht="18">
      <c r="A1651" s="49">
        <v>8284</v>
      </c>
      <c r="B1651" s="49" t="s">
        <v>1985</v>
      </c>
      <c r="D1651" s="49">
        <v>0</v>
      </c>
      <c r="E1651" s="49">
        <v>0</v>
      </c>
      <c r="F1651" s="49">
        <v>0</v>
      </c>
      <c r="G1651" s="54" t="s">
        <v>271</v>
      </c>
      <c r="H1651" s="56" t="e">
        <f t="shared" si="75"/>
        <v>#VALUE!</v>
      </c>
      <c r="I1651" s="57" t="e">
        <f t="shared" si="76"/>
        <v>#VALUE!</v>
      </c>
      <c r="J1651" s="56" t="e">
        <f t="shared" si="77"/>
        <v>#VALUE!</v>
      </c>
    </row>
    <row r="1652" spans="1:10" ht="18">
      <c r="A1652" s="49">
        <v>8289</v>
      </c>
      <c r="B1652" s="49" t="s">
        <v>1986</v>
      </c>
      <c r="D1652" s="49">
        <v>7.95</v>
      </c>
      <c r="E1652" s="49">
        <v>27.838000000000001</v>
      </c>
      <c r="F1652" s="49">
        <v>17.894000000000002</v>
      </c>
      <c r="G1652" s="54">
        <v>1.29</v>
      </c>
      <c r="H1652" s="56">
        <f t="shared" si="75"/>
        <v>10.255500000000001</v>
      </c>
      <c r="I1652" s="57">
        <f t="shared" si="76"/>
        <v>23.083260000000003</v>
      </c>
      <c r="J1652" s="56">
        <f t="shared" si="77"/>
        <v>35.911020000000001</v>
      </c>
    </row>
    <row r="1653" spans="1:10" ht="18">
      <c r="A1653" s="49">
        <v>8291</v>
      </c>
      <c r="B1653" s="49" t="s">
        <v>1987</v>
      </c>
      <c r="D1653" s="49">
        <v>0</v>
      </c>
      <c r="E1653" s="49">
        <v>0</v>
      </c>
      <c r="F1653" s="49">
        <v>0</v>
      </c>
      <c r="G1653" s="54">
        <v>-1.5</v>
      </c>
      <c r="H1653" s="56">
        <f t="shared" si="75"/>
        <v>0</v>
      </c>
      <c r="I1653" s="57">
        <f t="shared" si="76"/>
        <v>0</v>
      </c>
      <c r="J1653" s="56">
        <f t="shared" si="77"/>
        <v>0</v>
      </c>
    </row>
    <row r="1654" spans="1:10" ht="18">
      <c r="A1654" s="49">
        <v>8299</v>
      </c>
      <c r="B1654" s="49" t="s">
        <v>1988</v>
      </c>
      <c r="D1654" s="49">
        <v>9.6980000000000004</v>
      </c>
      <c r="E1654" s="49">
        <v>17.46</v>
      </c>
      <c r="F1654" s="49">
        <v>13.579000000000001</v>
      </c>
      <c r="G1654" s="54">
        <v>18.48</v>
      </c>
      <c r="H1654" s="56">
        <f t="shared" si="75"/>
        <v>179.21904000000001</v>
      </c>
      <c r="I1654" s="57">
        <f t="shared" si="76"/>
        <v>250.93992000000003</v>
      </c>
      <c r="J1654" s="56">
        <f t="shared" si="77"/>
        <v>322.66080000000005</v>
      </c>
    </row>
    <row r="1655" spans="1:10" ht="18">
      <c r="A1655" s="49">
        <v>8341</v>
      </c>
      <c r="B1655" s="49" t="s">
        <v>1174</v>
      </c>
      <c r="D1655" s="49">
        <v>23.548000000000002</v>
      </c>
      <c r="E1655" s="49">
        <v>31.440000000000005</v>
      </c>
      <c r="F1655" s="49">
        <v>27.494000000000003</v>
      </c>
      <c r="G1655" s="54">
        <v>3.4</v>
      </c>
      <c r="H1655" s="56">
        <f t="shared" si="75"/>
        <v>80.063200000000009</v>
      </c>
      <c r="I1655" s="57">
        <f t="shared" si="76"/>
        <v>93.479600000000005</v>
      </c>
      <c r="J1655" s="56">
        <f t="shared" si="77"/>
        <v>106.89600000000002</v>
      </c>
    </row>
    <row r="1656" spans="1:10" ht="18">
      <c r="A1656" s="49">
        <v>8342</v>
      </c>
      <c r="B1656" s="49" t="s">
        <v>1989</v>
      </c>
      <c r="D1656" s="49">
        <v>11.048</v>
      </c>
      <c r="E1656" s="49">
        <v>14.175999999999998</v>
      </c>
      <c r="F1656" s="49">
        <v>12.611999999999998</v>
      </c>
      <c r="G1656" s="54">
        <v>4.71</v>
      </c>
      <c r="H1656" s="56">
        <f t="shared" si="75"/>
        <v>52.036079999999998</v>
      </c>
      <c r="I1656" s="57">
        <f t="shared" si="76"/>
        <v>59.402519999999988</v>
      </c>
      <c r="J1656" s="56">
        <f t="shared" si="77"/>
        <v>66.768959999999993</v>
      </c>
    </row>
    <row r="1657" spans="1:10" ht="18">
      <c r="A1657" s="49">
        <v>8349</v>
      </c>
      <c r="B1657" s="49" t="s">
        <v>1990</v>
      </c>
      <c r="D1657" s="49">
        <v>13.898000000000001</v>
      </c>
      <c r="E1657" s="49">
        <v>26.687999999999999</v>
      </c>
      <c r="F1657" s="49">
        <v>20.292999999999999</v>
      </c>
      <c r="G1657" s="54">
        <v>3.02</v>
      </c>
      <c r="H1657" s="56">
        <f t="shared" si="75"/>
        <v>41.971960000000003</v>
      </c>
      <c r="I1657" s="57">
        <f t="shared" si="76"/>
        <v>61.284859999999995</v>
      </c>
      <c r="J1657" s="56">
        <f t="shared" si="77"/>
        <v>80.597759999999994</v>
      </c>
    </row>
    <row r="1658" spans="1:10" ht="18">
      <c r="A1658" s="49">
        <v>8354</v>
      </c>
      <c r="B1658" s="49" t="s">
        <v>1991</v>
      </c>
      <c r="D1658" s="49">
        <v>4.76</v>
      </c>
      <c r="E1658" s="49">
        <v>16.076000000000001</v>
      </c>
      <c r="F1658" s="49">
        <v>10.417999999999999</v>
      </c>
      <c r="G1658" s="54">
        <v>0.79</v>
      </c>
      <c r="H1658" s="56">
        <f t="shared" si="75"/>
        <v>3.7604000000000002</v>
      </c>
      <c r="I1658" s="57">
        <f t="shared" si="76"/>
        <v>8.2302199999999992</v>
      </c>
      <c r="J1658" s="56">
        <f t="shared" si="77"/>
        <v>12.700040000000001</v>
      </c>
    </row>
    <row r="1659" spans="1:10" ht="18">
      <c r="A1659" s="49">
        <v>8358</v>
      </c>
      <c r="B1659" s="49" t="s">
        <v>1992</v>
      </c>
      <c r="D1659" s="49">
        <v>10.644</v>
      </c>
      <c r="E1659" s="49">
        <v>27.277999999999999</v>
      </c>
      <c r="F1659" s="49">
        <v>18.960999999999999</v>
      </c>
      <c r="G1659" s="54">
        <v>2.11</v>
      </c>
      <c r="H1659" s="56">
        <f t="shared" si="75"/>
        <v>22.458839999999999</v>
      </c>
      <c r="I1659" s="57">
        <f t="shared" si="76"/>
        <v>40.007709999999996</v>
      </c>
      <c r="J1659" s="56">
        <f t="shared" si="77"/>
        <v>57.556579999999997</v>
      </c>
    </row>
    <row r="1660" spans="1:10" ht="18">
      <c r="A1660" s="49">
        <v>8367</v>
      </c>
      <c r="B1660" s="49" t="s">
        <v>1175</v>
      </c>
      <c r="D1660" s="49">
        <v>12.412000000000001</v>
      </c>
      <c r="E1660" s="49">
        <v>14.092000000000002</v>
      </c>
      <c r="F1660" s="49">
        <v>13.252000000000002</v>
      </c>
      <c r="G1660" s="54">
        <v>0.65</v>
      </c>
      <c r="H1660" s="56">
        <f t="shared" si="75"/>
        <v>8.0678000000000001</v>
      </c>
      <c r="I1660" s="57">
        <f t="shared" si="76"/>
        <v>8.6138000000000012</v>
      </c>
      <c r="J1660" s="56">
        <f t="shared" si="77"/>
        <v>9.1598000000000024</v>
      </c>
    </row>
    <row r="1661" spans="1:10" ht="18">
      <c r="A1661" s="49">
        <v>8374</v>
      </c>
      <c r="B1661" s="49" t="s">
        <v>1176</v>
      </c>
      <c r="D1661" s="49">
        <v>8.8580000000000005</v>
      </c>
      <c r="E1661" s="49">
        <v>21.622</v>
      </c>
      <c r="F1661" s="49">
        <v>15.24</v>
      </c>
      <c r="G1661" s="54">
        <v>-0.19</v>
      </c>
      <c r="H1661" s="56">
        <f t="shared" si="75"/>
        <v>-1.6830200000000002</v>
      </c>
      <c r="I1661" s="57">
        <f t="shared" si="76"/>
        <v>-2.8956</v>
      </c>
      <c r="J1661" s="56">
        <f t="shared" si="77"/>
        <v>-4.1081799999999999</v>
      </c>
    </row>
    <row r="1662" spans="1:10" ht="18">
      <c r="A1662" s="49">
        <v>8383</v>
      </c>
      <c r="B1662" s="49" t="s">
        <v>1993</v>
      </c>
      <c r="D1662" s="49">
        <v>11.312000000000001</v>
      </c>
      <c r="E1662" s="49">
        <v>21.901999999999997</v>
      </c>
      <c r="F1662" s="49">
        <v>16.606999999999999</v>
      </c>
      <c r="G1662" s="54">
        <v>1.49</v>
      </c>
      <c r="H1662" s="56">
        <f t="shared" si="75"/>
        <v>16.854880000000001</v>
      </c>
      <c r="I1662" s="57">
        <f t="shared" si="76"/>
        <v>24.744429999999998</v>
      </c>
      <c r="J1662" s="56">
        <f t="shared" si="77"/>
        <v>32.633979999999994</v>
      </c>
    </row>
    <row r="1663" spans="1:10" ht="18">
      <c r="A1663" s="49">
        <v>8390</v>
      </c>
      <c r="B1663" s="49" t="s">
        <v>1994</v>
      </c>
      <c r="D1663" s="49">
        <v>9.6879999999999988</v>
      </c>
      <c r="E1663" s="49">
        <v>20.928000000000001</v>
      </c>
      <c r="F1663" s="49">
        <v>15.308</v>
      </c>
      <c r="G1663" s="54">
        <v>5.57</v>
      </c>
      <c r="H1663" s="56">
        <f t="shared" si="75"/>
        <v>53.962159999999997</v>
      </c>
      <c r="I1663" s="57">
        <f t="shared" si="76"/>
        <v>85.265560000000008</v>
      </c>
      <c r="J1663" s="56">
        <f t="shared" si="77"/>
        <v>116.56896</v>
      </c>
    </row>
    <row r="1664" spans="1:10" ht="18">
      <c r="A1664" s="49">
        <v>8401</v>
      </c>
      <c r="B1664" s="49" t="s">
        <v>1995</v>
      </c>
      <c r="D1664" s="49">
        <v>9.4160000000000004</v>
      </c>
      <c r="E1664" s="49">
        <v>16.372</v>
      </c>
      <c r="F1664" s="49">
        <v>12.894</v>
      </c>
      <c r="G1664" s="54">
        <v>1.81</v>
      </c>
      <c r="H1664" s="56">
        <f t="shared" si="75"/>
        <v>17.042960000000001</v>
      </c>
      <c r="I1664" s="57">
        <f t="shared" si="76"/>
        <v>23.338139999999999</v>
      </c>
      <c r="J1664" s="56">
        <f t="shared" si="77"/>
        <v>29.633320000000001</v>
      </c>
    </row>
    <row r="1665" spans="1:10" ht="18">
      <c r="A1665" s="49">
        <v>8403</v>
      </c>
      <c r="B1665" s="49" t="s">
        <v>1996</v>
      </c>
      <c r="D1665" s="49">
        <v>13.047999999999998</v>
      </c>
      <c r="E1665" s="49">
        <v>27.15</v>
      </c>
      <c r="F1665" s="49">
        <v>20.098999999999997</v>
      </c>
      <c r="G1665" s="54">
        <v>0.98</v>
      </c>
      <c r="H1665" s="56">
        <f t="shared" si="75"/>
        <v>12.787039999999998</v>
      </c>
      <c r="I1665" s="57">
        <f t="shared" si="76"/>
        <v>19.697019999999995</v>
      </c>
      <c r="J1665" s="56">
        <f t="shared" si="77"/>
        <v>26.606999999999999</v>
      </c>
    </row>
    <row r="1666" spans="1:10" ht="18">
      <c r="A1666" s="49">
        <v>8404</v>
      </c>
      <c r="B1666" s="49" t="s">
        <v>1177</v>
      </c>
      <c r="D1666" s="49">
        <v>10.968</v>
      </c>
      <c r="E1666" s="49">
        <v>26.134000000000004</v>
      </c>
      <c r="F1666" s="49">
        <v>18.551000000000002</v>
      </c>
      <c r="G1666" s="54">
        <v>-1.88</v>
      </c>
      <c r="H1666" s="56">
        <f t="shared" si="75"/>
        <v>-20.61984</v>
      </c>
      <c r="I1666" s="57">
        <f t="shared" si="76"/>
        <v>-34.875880000000002</v>
      </c>
      <c r="J1666" s="56">
        <f t="shared" si="77"/>
        <v>-49.131920000000008</v>
      </c>
    </row>
    <row r="1667" spans="1:10" ht="18">
      <c r="A1667" s="49">
        <v>8409</v>
      </c>
      <c r="B1667" s="49" t="s">
        <v>1997</v>
      </c>
      <c r="D1667" s="49">
        <v>0</v>
      </c>
      <c r="E1667" s="49">
        <v>0</v>
      </c>
      <c r="F1667" s="49">
        <v>0</v>
      </c>
      <c r="G1667" s="54">
        <v>-0.44</v>
      </c>
      <c r="H1667" s="56">
        <f t="shared" ref="H1667:H1730" si="78">G1667*D1667</f>
        <v>0</v>
      </c>
      <c r="I1667" s="57">
        <f t="shared" ref="I1667:I1730" si="79">G1667*F1667</f>
        <v>0</v>
      </c>
      <c r="J1667" s="56">
        <f t="shared" ref="J1667:J1730" si="80">G1667*E1667</f>
        <v>0</v>
      </c>
    </row>
    <row r="1668" spans="1:10" ht="18">
      <c r="A1668" s="49">
        <v>8410</v>
      </c>
      <c r="B1668" s="49" t="s">
        <v>1998</v>
      </c>
      <c r="D1668" s="49">
        <v>9.1100000000000012</v>
      </c>
      <c r="E1668" s="49">
        <v>23.687999999999999</v>
      </c>
      <c r="F1668" s="49">
        <v>16.399000000000001</v>
      </c>
      <c r="G1668" s="54">
        <v>5.33</v>
      </c>
      <c r="H1668" s="56">
        <f t="shared" si="78"/>
        <v>48.556300000000007</v>
      </c>
      <c r="I1668" s="57">
        <f t="shared" si="79"/>
        <v>87.406670000000005</v>
      </c>
      <c r="J1668" s="56">
        <f t="shared" si="80"/>
        <v>126.25703999999999</v>
      </c>
    </row>
    <row r="1669" spans="1:10" ht="18">
      <c r="A1669" s="49">
        <v>8411</v>
      </c>
      <c r="B1669" s="49" t="s">
        <v>1178</v>
      </c>
      <c r="D1669" s="49">
        <v>12.697999999999999</v>
      </c>
      <c r="E1669" s="49">
        <v>19.826000000000001</v>
      </c>
      <c r="F1669" s="49">
        <v>16.262</v>
      </c>
      <c r="G1669" s="54">
        <v>0.15</v>
      </c>
      <c r="H1669" s="56">
        <f t="shared" si="78"/>
        <v>1.9046999999999996</v>
      </c>
      <c r="I1669" s="57">
        <f t="shared" si="79"/>
        <v>2.4392999999999998</v>
      </c>
      <c r="J1669" s="56">
        <f t="shared" si="80"/>
        <v>2.9739</v>
      </c>
    </row>
    <row r="1670" spans="1:10" ht="18">
      <c r="A1670" s="49">
        <v>8415</v>
      </c>
      <c r="B1670" s="49" t="s">
        <v>1999</v>
      </c>
      <c r="D1670" s="49">
        <v>15.644</v>
      </c>
      <c r="E1670" s="49">
        <v>25.948</v>
      </c>
      <c r="F1670" s="49">
        <v>20.795999999999999</v>
      </c>
      <c r="G1670" s="54">
        <v>3.04</v>
      </c>
      <c r="H1670" s="56">
        <f t="shared" si="78"/>
        <v>47.557760000000002</v>
      </c>
      <c r="I1670" s="57">
        <f t="shared" si="79"/>
        <v>63.219839999999998</v>
      </c>
      <c r="J1670" s="56">
        <f t="shared" si="80"/>
        <v>78.881920000000008</v>
      </c>
    </row>
    <row r="1671" spans="1:10" ht="18">
      <c r="A1671" s="49">
        <v>8416</v>
      </c>
      <c r="B1671" s="49" t="s">
        <v>2000</v>
      </c>
      <c r="D1671" s="49">
        <v>11.187999999999999</v>
      </c>
      <c r="E1671" s="49">
        <v>18.667999999999999</v>
      </c>
      <c r="F1671" s="49">
        <v>14.927999999999999</v>
      </c>
      <c r="G1671" s="54">
        <v>10.23</v>
      </c>
      <c r="H1671" s="56">
        <f t="shared" si="78"/>
        <v>114.45323999999999</v>
      </c>
      <c r="I1671" s="57">
        <f t="shared" si="79"/>
        <v>152.71343999999999</v>
      </c>
      <c r="J1671" s="56">
        <f t="shared" si="80"/>
        <v>190.97363999999999</v>
      </c>
    </row>
    <row r="1672" spans="1:10" ht="18">
      <c r="A1672" s="49">
        <v>8418</v>
      </c>
      <c r="B1672" s="49" t="s">
        <v>2001</v>
      </c>
      <c r="D1672" s="49">
        <v>0</v>
      </c>
      <c r="E1672" s="49">
        <v>0</v>
      </c>
      <c r="F1672" s="49">
        <v>0</v>
      </c>
      <c r="G1672" s="54">
        <v>-1.87</v>
      </c>
      <c r="H1672" s="56">
        <f t="shared" si="78"/>
        <v>0</v>
      </c>
      <c r="I1672" s="57">
        <f t="shared" si="79"/>
        <v>0</v>
      </c>
      <c r="J1672" s="56">
        <f t="shared" si="80"/>
        <v>0</v>
      </c>
    </row>
    <row r="1673" spans="1:10" ht="18">
      <c r="A1673" s="49">
        <v>8420</v>
      </c>
      <c r="B1673" s="49" t="s">
        <v>2002</v>
      </c>
      <c r="D1673" s="49">
        <v>9.4639999999999986</v>
      </c>
      <c r="E1673" s="49">
        <v>25.39</v>
      </c>
      <c r="F1673" s="49">
        <v>17.427</v>
      </c>
      <c r="G1673" s="54">
        <v>-17.399999999999999</v>
      </c>
      <c r="H1673" s="56">
        <f t="shared" si="78"/>
        <v>-164.67359999999996</v>
      </c>
      <c r="I1673" s="57">
        <f t="shared" si="79"/>
        <v>-303.22979999999995</v>
      </c>
      <c r="J1673" s="56">
        <f t="shared" si="80"/>
        <v>-441.786</v>
      </c>
    </row>
    <row r="1674" spans="1:10" ht="18">
      <c r="A1674" s="49">
        <v>8421</v>
      </c>
      <c r="B1674" s="49" t="s">
        <v>2003</v>
      </c>
      <c r="D1674" s="49">
        <v>20.23</v>
      </c>
      <c r="E1674" s="49">
        <v>20.23</v>
      </c>
      <c r="F1674" s="49">
        <v>20.23</v>
      </c>
      <c r="G1674" s="54">
        <v>-0.45</v>
      </c>
      <c r="H1674" s="56">
        <f t="shared" si="78"/>
        <v>-9.1035000000000004</v>
      </c>
      <c r="I1674" s="57">
        <f t="shared" si="79"/>
        <v>-9.1035000000000004</v>
      </c>
      <c r="J1674" s="56">
        <f t="shared" si="80"/>
        <v>-9.1035000000000004</v>
      </c>
    </row>
    <row r="1675" spans="1:10" ht="18">
      <c r="A1675" s="49">
        <v>8422</v>
      </c>
      <c r="B1675" s="49" t="s">
        <v>1179</v>
      </c>
      <c r="D1675" s="49">
        <v>13.782</v>
      </c>
      <c r="E1675" s="49">
        <v>18.190000000000001</v>
      </c>
      <c r="F1675" s="49">
        <v>15.986000000000001</v>
      </c>
      <c r="G1675" s="54">
        <v>9.1199999999999992</v>
      </c>
      <c r="H1675" s="56">
        <f t="shared" si="78"/>
        <v>125.69183999999998</v>
      </c>
      <c r="I1675" s="57">
        <f t="shared" si="79"/>
        <v>145.79231999999999</v>
      </c>
      <c r="J1675" s="56">
        <f t="shared" si="80"/>
        <v>165.89279999999999</v>
      </c>
    </row>
    <row r="1676" spans="1:10" ht="18">
      <c r="A1676" s="49">
        <v>8423</v>
      </c>
      <c r="B1676" s="49" t="s">
        <v>2004</v>
      </c>
      <c r="D1676" s="49">
        <v>14.024000000000001</v>
      </c>
      <c r="E1676" s="49">
        <v>21.152000000000001</v>
      </c>
      <c r="F1676" s="49">
        <v>17.588000000000001</v>
      </c>
      <c r="G1676" s="54">
        <v>0.95</v>
      </c>
      <c r="H1676" s="56">
        <f t="shared" si="78"/>
        <v>13.322800000000001</v>
      </c>
      <c r="I1676" s="57">
        <f t="shared" si="79"/>
        <v>16.708600000000001</v>
      </c>
      <c r="J1676" s="56">
        <f t="shared" si="80"/>
        <v>20.0944</v>
      </c>
    </row>
    <row r="1677" spans="1:10" ht="18">
      <c r="A1677" s="49">
        <v>8424</v>
      </c>
      <c r="B1677" s="49" t="s">
        <v>2005</v>
      </c>
      <c r="D1677" s="49">
        <v>9.6740000000000013</v>
      </c>
      <c r="E1677" s="49">
        <v>13.309999999999999</v>
      </c>
      <c r="F1677" s="49">
        <v>11.492000000000001</v>
      </c>
      <c r="G1677" s="54">
        <v>4.24</v>
      </c>
      <c r="H1677" s="56">
        <f t="shared" si="78"/>
        <v>41.01776000000001</v>
      </c>
      <c r="I1677" s="57">
        <f t="shared" si="79"/>
        <v>48.726080000000003</v>
      </c>
      <c r="J1677" s="56">
        <f t="shared" si="80"/>
        <v>56.434399999999997</v>
      </c>
    </row>
    <row r="1678" spans="1:10" ht="18">
      <c r="A1678" s="49">
        <v>8426</v>
      </c>
      <c r="B1678" s="49" t="s">
        <v>2006</v>
      </c>
      <c r="D1678" s="49">
        <v>10.64</v>
      </c>
      <c r="E1678" s="49">
        <v>16.198</v>
      </c>
      <c r="F1678" s="49">
        <v>13.419</v>
      </c>
      <c r="G1678" s="54">
        <v>6.55</v>
      </c>
      <c r="H1678" s="56">
        <f t="shared" si="78"/>
        <v>69.692000000000007</v>
      </c>
      <c r="I1678" s="57">
        <f t="shared" si="79"/>
        <v>87.894450000000006</v>
      </c>
      <c r="J1678" s="56">
        <f t="shared" si="80"/>
        <v>106.09690000000001</v>
      </c>
    </row>
    <row r="1679" spans="1:10" ht="18">
      <c r="A1679" s="49">
        <v>8429</v>
      </c>
      <c r="B1679" s="49" t="s">
        <v>1180</v>
      </c>
      <c r="D1679" s="49">
        <v>7.7620000000000005</v>
      </c>
      <c r="E1679" s="49">
        <v>10.692</v>
      </c>
      <c r="F1679" s="49">
        <v>9.2270000000000003</v>
      </c>
      <c r="G1679" s="54">
        <v>-0.08</v>
      </c>
      <c r="H1679" s="56">
        <f t="shared" si="78"/>
        <v>-0.62096000000000007</v>
      </c>
      <c r="I1679" s="57">
        <f t="shared" si="79"/>
        <v>-0.73816000000000004</v>
      </c>
      <c r="J1679" s="56">
        <f t="shared" si="80"/>
        <v>-0.85536000000000001</v>
      </c>
    </row>
    <row r="1680" spans="1:10" ht="18">
      <c r="A1680" s="49">
        <v>8431</v>
      </c>
      <c r="B1680" s="49" t="s">
        <v>2007</v>
      </c>
      <c r="D1680" s="49">
        <v>0</v>
      </c>
      <c r="E1680" s="49">
        <v>0</v>
      </c>
      <c r="F1680" s="49">
        <v>0</v>
      </c>
      <c r="G1680" s="54">
        <v>0.59</v>
      </c>
      <c r="H1680" s="56">
        <f t="shared" si="78"/>
        <v>0</v>
      </c>
      <c r="I1680" s="57">
        <f t="shared" si="79"/>
        <v>0</v>
      </c>
      <c r="J1680" s="56">
        <f t="shared" si="80"/>
        <v>0</v>
      </c>
    </row>
    <row r="1681" spans="1:10" ht="18">
      <c r="A1681" s="49">
        <v>8432</v>
      </c>
      <c r="B1681" s="49" t="s">
        <v>2008</v>
      </c>
      <c r="D1681" s="49">
        <v>24.158000000000001</v>
      </c>
      <c r="E1681" s="49">
        <v>34.729999999999997</v>
      </c>
      <c r="F1681" s="49">
        <v>29.443999999999999</v>
      </c>
      <c r="G1681" s="54">
        <v>1.61</v>
      </c>
      <c r="H1681" s="56">
        <f t="shared" si="78"/>
        <v>38.894380000000005</v>
      </c>
      <c r="I1681" s="57">
        <f t="shared" si="79"/>
        <v>47.40484</v>
      </c>
      <c r="J1681" s="56">
        <f t="shared" si="80"/>
        <v>55.915299999999995</v>
      </c>
    </row>
    <row r="1682" spans="1:10" ht="18">
      <c r="A1682" s="49">
        <v>8433</v>
      </c>
      <c r="B1682" s="49" t="s">
        <v>2009</v>
      </c>
      <c r="D1682" s="49">
        <v>9.6920000000000002</v>
      </c>
      <c r="E1682" s="49">
        <v>17.084</v>
      </c>
      <c r="F1682" s="49">
        <v>13.388</v>
      </c>
      <c r="G1682" s="54">
        <v>9.35</v>
      </c>
      <c r="H1682" s="56">
        <f t="shared" si="78"/>
        <v>90.620199999999997</v>
      </c>
      <c r="I1682" s="57">
        <f t="shared" si="79"/>
        <v>125.17779999999999</v>
      </c>
      <c r="J1682" s="56">
        <f t="shared" si="80"/>
        <v>159.7354</v>
      </c>
    </row>
    <row r="1683" spans="1:10" ht="18">
      <c r="A1683" s="49">
        <v>8435</v>
      </c>
      <c r="B1683" s="49" t="s">
        <v>2010</v>
      </c>
      <c r="D1683" s="49">
        <v>14.2</v>
      </c>
      <c r="E1683" s="49">
        <v>15.085999999999999</v>
      </c>
      <c r="F1683" s="49">
        <v>14.642999999999999</v>
      </c>
      <c r="G1683" s="54">
        <v>4.37</v>
      </c>
      <c r="H1683" s="56">
        <f t="shared" si="78"/>
        <v>62.053999999999995</v>
      </c>
      <c r="I1683" s="57">
        <f t="shared" si="79"/>
        <v>63.989909999999995</v>
      </c>
      <c r="J1683" s="56">
        <f t="shared" si="80"/>
        <v>65.925820000000002</v>
      </c>
    </row>
    <row r="1684" spans="1:10" ht="18">
      <c r="A1684" s="49">
        <v>8436</v>
      </c>
      <c r="B1684" s="49" t="s">
        <v>2011</v>
      </c>
      <c r="D1684" s="49">
        <v>17.814</v>
      </c>
      <c r="E1684" s="49">
        <v>34.808</v>
      </c>
      <c r="F1684" s="49">
        <v>26.311</v>
      </c>
      <c r="G1684" s="54">
        <v>7.73</v>
      </c>
      <c r="H1684" s="56">
        <f t="shared" si="78"/>
        <v>137.70222000000001</v>
      </c>
      <c r="I1684" s="57">
        <f t="shared" si="79"/>
        <v>203.38403000000002</v>
      </c>
      <c r="J1684" s="56">
        <f t="shared" si="80"/>
        <v>269.06584000000004</v>
      </c>
    </row>
    <row r="1685" spans="1:10" ht="18">
      <c r="A1685" s="49">
        <v>8437</v>
      </c>
      <c r="B1685" s="49" t="s">
        <v>2012</v>
      </c>
      <c r="D1685" s="49">
        <v>18.712</v>
      </c>
      <c r="E1685" s="49">
        <v>26.445999999999998</v>
      </c>
      <c r="F1685" s="49">
        <v>22.579000000000001</v>
      </c>
      <c r="G1685" s="54">
        <v>0.52</v>
      </c>
      <c r="H1685" s="56">
        <f t="shared" si="78"/>
        <v>9.7302400000000002</v>
      </c>
      <c r="I1685" s="57">
        <f t="shared" si="79"/>
        <v>11.74108</v>
      </c>
      <c r="J1685" s="56">
        <f t="shared" si="80"/>
        <v>13.75192</v>
      </c>
    </row>
    <row r="1686" spans="1:10" ht="18">
      <c r="A1686" s="49">
        <v>8438</v>
      </c>
      <c r="B1686" s="49" t="s">
        <v>1181</v>
      </c>
      <c r="D1686" s="49">
        <v>0</v>
      </c>
      <c r="E1686" s="49">
        <v>0</v>
      </c>
      <c r="F1686" s="49">
        <v>0</v>
      </c>
      <c r="G1686" s="54" t="s">
        <v>271</v>
      </c>
      <c r="H1686" s="56" t="e">
        <f t="shared" si="78"/>
        <v>#VALUE!</v>
      </c>
      <c r="I1686" s="57" t="e">
        <f t="shared" si="79"/>
        <v>#VALUE!</v>
      </c>
      <c r="J1686" s="56" t="e">
        <f t="shared" si="80"/>
        <v>#VALUE!</v>
      </c>
    </row>
    <row r="1687" spans="1:10" ht="18">
      <c r="A1687" s="49">
        <v>8440</v>
      </c>
      <c r="B1687" s="49" t="s">
        <v>2013</v>
      </c>
      <c r="D1687" s="49">
        <v>0</v>
      </c>
      <c r="E1687" s="49">
        <v>0</v>
      </c>
      <c r="F1687" s="49">
        <v>0</v>
      </c>
      <c r="G1687" s="54">
        <v>1.32</v>
      </c>
      <c r="H1687" s="56">
        <f t="shared" si="78"/>
        <v>0</v>
      </c>
      <c r="I1687" s="57">
        <f t="shared" si="79"/>
        <v>0</v>
      </c>
      <c r="J1687" s="56">
        <f t="shared" si="80"/>
        <v>0</v>
      </c>
    </row>
    <row r="1688" spans="1:10" ht="18">
      <c r="A1688" s="49">
        <v>8442</v>
      </c>
      <c r="B1688" s="49" t="s">
        <v>1182</v>
      </c>
      <c r="D1688" s="49">
        <v>0</v>
      </c>
      <c r="E1688" s="49">
        <v>0</v>
      </c>
      <c r="F1688" s="49">
        <v>0</v>
      </c>
      <c r="G1688" s="54">
        <v>10.07</v>
      </c>
      <c r="H1688" s="56">
        <f t="shared" si="78"/>
        <v>0</v>
      </c>
      <c r="I1688" s="57">
        <f t="shared" si="79"/>
        <v>0</v>
      </c>
      <c r="J1688" s="56">
        <f t="shared" si="80"/>
        <v>0</v>
      </c>
    </row>
    <row r="1689" spans="1:10" ht="18">
      <c r="A1689" s="49">
        <v>8443</v>
      </c>
      <c r="B1689" s="49" t="s">
        <v>1183</v>
      </c>
      <c r="D1689" s="49">
        <v>0</v>
      </c>
      <c r="E1689" s="49">
        <v>0</v>
      </c>
      <c r="F1689" s="49">
        <v>0</v>
      </c>
      <c r="G1689" s="54">
        <v>0.25</v>
      </c>
      <c r="H1689" s="56">
        <f t="shared" si="78"/>
        <v>0</v>
      </c>
      <c r="I1689" s="57">
        <f t="shared" si="79"/>
        <v>0</v>
      </c>
      <c r="J1689" s="56">
        <f t="shared" si="80"/>
        <v>0</v>
      </c>
    </row>
    <row r="1690" spans="1:10" ht="18">
      <c r="A1690" s="49">
        <v>8444</v>
      </c>
      <c r="B1690" s="49" t="s">
        <v>2014</v>
      </c>
      <c r="D1690" s="49">
        <v>0</v>
      </c>
      <c r="E1690" s="49">
        <v>0</v>
      </c>
      <c r="F1690" s="49">
        <v>0</v>
      </c>
      <c r="G1690" s="54">
        <v>-6.98</v>
      </c>
      <c r="H1690" s="56">
        <f t="shared" si="78"/>
        <v>0</v>
      </c>
      <c r="I1690" s="57">
        <f t="shared" si="79"/>
        <v>0</v>
      </c>
      <c r="J1690" s="56">
        <f t="shared" si="80"/>
        <v>0</v>
      </c>
    </row>
    <row r="1691" spans="1:10" ht="18">
      <c r="A1691" s="49">
        <v>8446</v>
      </c>
      <c r="B1691" s="49" t="s">
        <v>2015</v>
      </c>
      <c r="D1691" s="49">
        <v>11.546000000000001</v>
      </c>
      <c r="E1691" s="49">
        <v>18.73</v>
      </c>
      <c r="F1691" s="49">
        <v>15.138000000000002</v>
      </c>
      <c r="G1691" s="54">
        <v>8.23</v>
      </c>
      <c r="H1691" s="56">
        <f t="shared" si="78"/>
        <v>95.02358000000001</v>
      </c>
      <c r="I1691" s="57">
        <f t="shared" si="79"/>
        <v>124.58574000000002</v>
      </c>
      <c r="J1691" s="56">
        <f t="shared" si="80"/>
        <v>154.14790000000002</v>
      </c>
    </row>
    <row r="1692" spans="1:10" ht="18">
      <c r="A1692" s="49">
        <v>8450</v>
      </c>
      <c r="B1692" s="49" t="s">
        <v>2016</v>
      </c>
      <c r="D1692" s="49">
        <v>0</v>
      </c>
      <c r="E1692" s="49">
        <v>0</v>
      </c>
      <c r="F1692" s="49">
        <v>0</v>
      </c>
      <c r="G1692" s="54">
        <v>-3.71</v>
      </c>
      <c r="H1692" s="56">
        <f t="shared" si="78"/>
        <v>0</v>
      </c>
      <c r="I1692" s="57">
        <f t="shared" si="79"/>
        <v>0</v>
      </c>
      <c r="J1692" s="56">
        <f t="shared" si="80"/>
        <v>0</v>
      </c>
    </row>
    <row r="1693" spans="1:10" ht="18">
      <c r="A1693" s="49">
        <v>8454</v>
      </c>
      <c r="B1693" s="49" t="s">
        <v>1184</v>
      </c>
      <c r="D1693" s="49">
        <v>24.810000000000002</v>
      </c>
      <c r="E1693" s="49">
        <v>28.048000000000002</v>
      </c>
      <c r="F1693" s="49">
        <v>26.429000000000002</v>
      </c>
      <c r="G1693" s="54">
        <v>14.72</v>
      </c>
      <c r="H1693" s="56">
        <f t="shared" si="78"/>
        <v>365.20320000000004</v>
      </c>
      <c r="I1693" s="57">
        <f t="shared" si="79"/>
        <v>389.03488000000004</v>
      </c>
      <c r="J1693" s="56">
        <f t="shared" si="80"/>
        <v>412.86656000000005</v>
      </c>
    </row>
    <row r="1694" spans="1:10" ht="18">
      <c r="A1694" s="49">
        <v>8455</v>
      </c>
      <c r="B1694" s="49" t="s">
        <v>2017</v>
      </c>
      <c r="D1694" s="49">
        <v>14.690000000000001</v>
      </c>
      <c r="E1694" s="49">
        <v>14.690000000000001</v>
      </c>
      <c r="F1694" s="49">
        <v>14.690000000000001</v>
      </c>
      <c r="G1694" s="54">
        <v>-0.06</v>
      </c>
      <c r="H1694" s="56">
        <f t="shared" si="78"/>
        <v>-0.88140000000000007</v>
      </c>
      <c r="I1694" s="57">
        <f t="shared" si="79"/>
        <v>-0.88140000000000007</v>
      </c>
      <c r="J1694" s="56">
        <f t="shared" si="80"/>
        <v>-0.88140000000000007</v>
      </c>
    </row>
    <row r="1695" spans="1:10" ht="18">
      <c r="A1695" s="49">
        <v>8462</v>
      </c>
      <c r="B1695" s="49" t="s">
        <v>1185</v>
      </c>
      <c r="D1695" s="49">
        <v>27.142000000000003</v>
      </c>
      <c r="E1695" s="49">
        <v>27.142000000000003</v>
      </c>
      <c r="F1695" s="49">
        <v>27.142000000000003</v>
      </c>
      <c r="G1695" s="54">
        <v>1.5</v>
      </c>
      <c r="H1695" s="56">
        <f t="shared" si="78"/>
        <v>40.713000000000008</v>
      </c>
      <c r="I1695" s="57">
        <f t="shared" si="79"/>
        <v>40.713000000000008</v>
      </c>
      <c r="J1695" s="56">
        <f t="shared" si="80"/>
        <v>40.713000000000008</v>
      </c>
    </row>
    <row r="1696" spans="1:10" ht="18">
      <c r="A1696" s="49">
        <v>8463</v>
      </c>
      <c r="B1696" s="49" t="s">
        <v>1186</v>
      </c>
      <c r="D1696" s="49">
        <v>22.308</v>
      </c>
      <c r="E1696" s="49">
        <v>22.308</v>
      </c>
      <c r="F1696" s="49">
        <v>22.308</v>
      </c>
      <c r="G1696" s="54">
        <v>0.77</v>
      </c>
      <c r="H1696" s="56">
        <f t="shared" si="78"/>
        <v>17.177160000000001</v>
      </c>
      <c r="I1696" s="57">
        <f t="shared" si="79"/>
        <v>17.177160000000001</v>
      </c>
      <c r="J1696" s="56">
        <f t="shared" si="80"/>
        <v>17.177160000000001</v>
      </c>
    </row>
    <row r="1697" spans="1:10" ht="18">
      <c r="A1697" s="49">
        <v>8464</v>
      </c>
      <c r="B1697" s="49" t="s">
        <v>1187</v>
      </c>
      <c r="D1697" s="49">
        <v>18.304000000000002</v>
      </c>
      <c r="E1697" s="49">
        <v>24.845999999999997</v>
      </c>
      <c r="F1697" s="49">
        <v>21.574999999999999</v>
      </c>
      <c r="G1697" s="54">
        <v>18.73</v>
      </c>
      <c r="H1697" s="56">
        <f t="shared" si="78"/>
        <v>342.83392000000003</v>
      </c>
      <c r="I1697" s="57">
        <f t="shared" si="79"/>
        <v>404.09974999999997</v>
      </c>
      <c r="J1697" s="56">
        <f t="shared" si="80"/>
        <v>465.36557999999997</v>
      </c>
    </row>
    <row r="1698" spans="1:10" ht="18">
      <c r="A1698" s="49">
        <v>8466</v>
      </c>
      <c r="B1698" s="49" t="s">
        <v>1188</v>
      </c>
      <c r="D1698" s="49">
        <v>12.174000000000001</v>
      </c>
      <c r="E1698" s="49">
        <v>18.693999999999999</v>
      </c>
      <c r="F1698" s="49">
        <v>15.434000000000001</v>
      </c>
      <c r="G1698" s="54">
        <v>-0.98</v>
      </c>
      <c r="H1698" s="56">
        <f t="shared" si="78"/>
        <v>-11.930520000000001</v>
      </c>
      <c r="I1698" s="57">
        <f t="shared" si="79"/>
        <v>-15.12532</v>
      </c>
      <c r="J1698" s="56">
        <f t="shared" si="80"/>
        <v>-18.320119999999999</v>
      </c>
    </row>
    <row r="1699" spans="1:10" ht="18">
      <c r="A1699" s="49">
        <v>8467</v>
      </c>
      <c r="B1699" s="49" t="s">
        <v>1189</v>
      </c>
      <c r="D1699" s="49">
        <v>13.916</v>
      </c>
      <c r="E1699" s="49">
        <v>25.474</v>
      </c>
      <c r="F1699" s="49">
        <v>19.695</v>
      </c>
      <c r="G1699" s="54">
        <v>7.69</v>
      </c>
      <c r="H1699" s="56">
        <f t="shared" si="78"/>
        <v>107.01404000000001</v>
      </c>
      <c r="I1699" s="57">
        <f t="shared" si="79"/>
        <v>151.45455000000001</v>
      </c>
      <c r="J1699" s="56">
        <f t="shared" si="80"/>
        <v>195.89506</v>
      </c>
    </row>
    <row r="1700" spans="1:10" ht="18">
      <c r="A1700" s="49">
        <v>8472</v>
      </c>
      <c r="B1700" s="49" t="s">
        <v>2018</v>
      </c>
      <c r="D1700" s="49">
        <v>0</v>
      </c>
      <c r="E1700" s="49">
        <v>0</v>
      </c>
      <c r="F1700" s="49">
        <v>0</v>
      </c>
      <c r="G1700" s="54">
        <v>-2.92</v>
      </c>
      <c r="H1700" s="56">
        <f t="shared" si="78"/>
        <v>0</v>
      </c>
      <c r="I1700" s="57">
        <f t="shared" si="79"/>
        <v>0</v>
      </c>
      <c r="J1700" s="56">
        <f t="shared" si="80"/>
        <v>0</v>
      </c>
    </row>
    <row r="1701" spans="1:10" ht="18">
      <c r="A1701" s="49">
        <v>8473</v>
      </c>
      <c r="B1701" s="49" t="s">
        <v>1190</v>
      </c>
      <c r="D1701" s="49">
        <v>18.974</v>
      </c>
      <c r="E1701" s="49">
        <v>18.974</v>
      </c>
      <c r="F1701" s="49">
        <v>18.974</v>
      </c>
      <c r="G1701" s="54">
        <v>0.27</v>
      </c>
      <c r="H1701" s="56">
        <f t="shared" si="78"/>
        <v>5.1229800000000001</v>
      </c>
      <c r="I1701" s="57">
        <f t="shared" si="79"/>
        <v>5.1229800000000001</v>
      </c>
      <c r="J1701" s="56">
        <f t="shared" si="80"/>
        <v>5.1229800000000001</v>
      </c>
    </row>
    <row r="1702" spans="1:10" ht="18">
      <c r="A1702" s="49">
        <v>8476</v>
      </c>
      <c r="B1702" s="49" t="s">
        <v>2019</v>
      </c>
      <c r="D1702" s="49">
        <v>0</v>
      </c>
      <c r="E1702" s="49">
        <v>0</v>
      </c>
      <c r="F1702" s="49">
        <v>0</v>
      </c>
      <c r="G1702" s="54">
        <v>4.4800000000000004</v>
      </c>
      <c r="H1702" s="56">
        <f t="shared" si="78"/>
        <v>0</v>
      </c>
      <c r="I1702" s="57">
        <f t="shared" si="79"/>
        <v>0</v>
      </c>
      <c r="J1702" s="56">
        <f t="shared" si="80"/>
        <v>0</v>
      </c>
    </row>
    <row r="1703" spans="1:10" ht="18">
      <c r="A1703" s="49">
        <v>8477</v>
      </c>
      <c r="B1703" s="49" t="s">
        <v>2020</v>
      </c>
      <c r="D1703" s="49">
        <v>25.380000000000003</v>
      </c>
      <c r="E1703" s="49">
        <v>25.380000000000003</v>
      </c>
      <c r="F1703" s="49">
        <v>25.380000000000003</v>
      </c>
      <c r="G1703" s="54">
        <v>-3.53</v>
      </c>
      <c r="H1703" s="56">
        <f t="shared" si="78"/>
        <v>-89.591400000000007</v>
      </c>
      <c r="I1703" s="57">
        <f t="shared" si="79"/>
        <v>-89.591400000000007</v>
      </c>
      <c r="J1703" s="56">
        <f t="shared" si="80"/>
        <v>-89.591400000000007</v>
      </c>
    </row>
    <row r="1704" spans="1:10" ht="18">
      <c r="A1704" s="49">
        <v>8478</v>
      </c>
      <c r="B1704" s="49" t="s">
        <v>1191</v>
      </c>
      <c r="D1704" s="49">
        <v>17.686</v>
      </c>
      <c r="E1704" s="49">
        <v>17.686</v>
      </c>
      <c r="F1704" s="49">
        <v>17.686</v>
      </c>
      <c r="G1704" s="54">
        <v>23.66</v>
      </c>
      <c r="H1704" s="56">
        <f t="shared" si="78"/>
        <v>418.45076</v>
      </c>
      <c r="I1704" s="57">
        <f t="shared" si="79"/>
        <v>418.45076</v>
      </c>
      <c r="J1704" s="56">
        <f t="shared" si="80"/>
        <v>418.45076</v>
      </c>
    </row>
    <row r="1705" spans="1:10" ht="18">
      <c r="A1705" s="49">
        <v>8481</v>
      </c>
      <c r="B1705" s="49" t="s">
        <v>1192</v>
      </c>
      <c r="D1705" s="49">
        <v>11.196000000000002</v>
      </c>
      <c r="E1705" s="49">
        <v>16.122</v>
      </c>
      <c r="F1705" s="49">
        <v>13.659000000000001</v>
      </c>
      <c r="G1705" s="54">
        <v>1.88</v>
      </c>
      <c r="H1705" s="56">
        <f t="shared" si="78"/>
        <v>21.048480000000001</v>
      </c>
      <c r="I1705" s="57">
        <f t="shared" si="79"/>
        <v>25.678920000000002</v>
      </c>
      <c r="J1705" s="56">
        <f t="shared" si="80"/>
        <v>30.309359999999998</v>
      </c>
    </row>
    <row r="1706" spans="1:10" ht="18">
      <c r="A1706" s="49">
        <v>8482</v>
      </c>
      <c r="B1706" s="49" t="s">
        <v>1193</v>
      </c>
      <c r="D1706" s="49">
        <v>12.603999999999999</v>
      </c>
      <c r="E1706" s="49">
        <v>14.440000000000001</v>
      </c>
      <c r="F1706" s="49">
        <v>13.522</v>
      </c>
      <c r="G1706" s="54">
        <v>0.83</v>
      </c>
      <c r="H1706" s="56">
        <f t="shared" si="78"/>
        <v>10.461319999999999</v>
      </c>
      <c r="I1706" s="57">
        <f t="shared" si="79"/>
        <v>11.22326</v>
      </c>
      <c r="J1706" s="56">
        <f t="shared" si="80"/>
        <v>11.985200000000001</v>
      </c>
    </row>
    <row r="1707" spans="1:10" ht="18">
      <c r="A1707" s="49">
        <v>8488</v>
      </c>
      <c r="B1707" s="49" t="s">
        <v>1194</v>
      </c>
      <c r="D1707" s="49">
        <v>0</v>
      </c>
      <c r="E1707" s="49">
        <v>0</v>
      </c>
      <c r="F1707" s="49">
        <v>0</v>
      </c>
      <c r="G1707" s="54">
        <v>-1.75</v>
      </c>
      <c r="H1707" s="56">
        <f t="shared" si="78"/>
        <v>0</v>
      </c>
      <c r="I1707" s="57">
        <f t="shared" si="79"/>
        <v>0</v>
      </c>
      <c r="J1707" s="56">
        <f t="shared" si="80"/>
        <v>0</v>
      </c>
    </row>
    <row r="1708" spans="1:10" ht="18">
      <c r="A1708" s="49">
        <v>8489</v>
      </c>
      <c r="B1708" s="49" t="s">
        <v>2021</v>
      </c>
      <c r="D1708" s="49">
        <v>0</v>
      </c>
      <c r="E1708" s="49">
        <v>0</v>
      </c>
      <c r="F1708" s="49">
        <v>0</v>
      </c>
      <c r="G1708" s="54">
        <v>-0.98</v>
      </c>
      <c r="H1708" s="56">
        <f t="shared" si="78"/>
        <v>0</v>
      </c>
      <c r="I1708" s="57">
        <f t="shared" si="79"/>
        <v>0</v>
      </c>
      <c r="J1708" s="56">
        <f t="shared" si="80"/>
        <v>0</v>
      </c>
    </row>
    <row r="1709" spans="1:10" ht="18">
      <c r="A1709" s="49">
        <v>8499</v>
      </c>
      <c r="B1709" s="49" t="s">
        <v>1195</v>
      </c>
      <c r="D1709" s="49">
        <v>9.86</v>
      </c>
      <c r="E1709" s="49">
        <v>12.475999999999999</v>
      </c>
      <c r="F1709" s="49">
        <v>11.167999999999999</v>
      </c>
      <c r="G1709" s="54">
        <v>8.9700000000000006</v>
      </c>
      <c r="H1709" s="56">
        <f t="shared" si="78"/>
        <v>88.444199999999995</v>
      </c>
      <c r="I1709" s="57">
        <f t="shared" si="79"/>
        <v>100.17695999999999</v>
      </c>
      <c r="J1709" s="56">
        <f t="shared" si="80"/>
        <v>111.90971999999999</v>
      </c>
    </row>
    <row r="1710" spans="1:10" ht="18">
      <c r="A1710" s="49">
        <v>8905</v>
      </c>
      <c r="B1710" s="49" t="s">
        <v>2022</v>
      </c>
      <c r="D1710" s="49">
        <v>6.7780000000000005</v>
      </c>
      <c r="E1710" s="49">
        <v>23.7</v>
      </c>
      <c r="F1710" s="49">
        <v>15.239000000000001</v>
      </c>
      <c r="G1710" s="54">
        <v>2.5</v>
      </c>
      <c r="H1710" s="56">
        <f t="shared" si="78"/>
        <v>16.945</v>
      </c>
      <c r="I1710" s="57">
        <f t="shared" si="79"/>
        <v>38.097500000000004</v>
      </c>
      <c r="J1710" s="56">
        <f t="shared" si="80"/>
        <v>59.25</v>
      </c>
    </row>
    <row r="1711" spans="1:10" ht="18">
      <c r="A1711" s="49">
        <v>8906</v>
      </c>
      <c r="B1711" s="49" t="s">
        <v>2023</v>
      </c>
      <c r="D1711" s="49">
        <v>0</v>
      </c>
      <c r="E1711" s="49">
        <v>0</v>
      </c>
      <c r="F1711" s="49">
        <v>0</v>
      </c>
      <c r="G1711" s="54">
        <v>-0.89</v>
      </c>
      <c r="H1711" s="56">
        <f t="shared" si="78"/>
        <v>0</v>
      </c>
      <c r="I1711" s="57">
        <f t="shared" si="79"/>
        <v>0</v>
      </c>
      <c r="J1711" s="56">
        <f t="shared" si="80"/>
        <v>0</v>
      </c>
    </row>
    <row r="1712" spans="1:10" ht="18">
      <c r="A1712" s="49">
        <v>8908</v>
      </c>
      <c r="B1712" s="49" t="s">
        <v>2024</v>
      </c>
      <c r="D1712" s="49">
        <v>17.967999999999996</v>
      </c>
      <c r="E1712" s="49">
        <v>28.383999999999997</v>
      </c>
      <c r="F1712" s="49">
        <v>23.175999999999995</v>
      </c>
      <c r="G1712" s="54">
        <v>1.79</v>
      </c>
      <c r="H1712" s="56">
        <f t="shared" si="78"/>
        <v>32.162719999999993</v>
      </c>
      <c r="I1712" s="57">
        <f t="shared" si="79"/>
        <v>41.485039999999991</v>
      </c>
      <c r="J1712" s="56">
        <f t="shared" si="80"/>
        <v>50.807359999999996</v>
      </c>
    </row>
    <row r="1713" spans="1:10" ht="18">
      <c r="A1713" s="49">
        <v>8916</v>
      </c>
      <c r="B1713" s="49" t="s">
        <v>2025</v>
      </c>
      <c r="D1713" s="49">
        <v>7.7540000000000004</v>
      </c>
      <c r="E1713" s="49">
        <v>16.018000000000001</v>
      </c>
      <c r="F1713" s="49">
        <v>11.886000000000001</v>
      </c>
      <c r="G1713" s="54">
        <v>3.93</v>
      </c>
      <c r="H1713" s="56">
        <f t="shared" si="78"/>
        <v>30.473220000000001</v>
      </c>
      <c r="I1713" s="57">
        <f t="shared" si="79"/>
        <v>46.711980000000004</v>
      </c>
      <c r="J1713" s="56">
        <f t="shared" si="80"/>
        <v>62.950740000000003</v>
      </c>
    </row>
    <row r="1714" spans="1:10" ht="18">
      <c r="A1714" s="49">
        <v>8917</v>
      </c>
      <c r="B1714" s="49" t="s">
        <v>2026</v>
      </c>
      <c r="D1714" s="49">
        <v>17.884</v>
      </c>
      <c r="E1714" s="49">
        <v>33.091999999999999</v>
      </c>
      <c r="F1714" s="49">
        <v>25.488</v>
      </c>
      <c r="G1714" s="54">
        <v>2.38</v>
      </c>
      <c r="H1714" s="56">
        <f t="shared" si="78"/>
        <v>42.563919999999996</v>
      </c>
      <c r="I1714" s="57">
        <f t="shared" si="79"/>
        <v>60.661439999999999</v>
      </c>
      <c r="J1714" s="56">
        <f t="shared" si="80"/>
        <v>78.758959999999988</v>
      </c>
    </row>
    <row r="1715" spans="1:10" ht="18">
      <c r="A1715" s="49">
        <v>8921</v>
      </c>
      <c r="B1715" s="49" t="s">
        <v>2027</v>
      </c>
      <c r="D1715" s="49">
        <v>14.163999999999998</v>
      </c>
      <c r="E1715" s="49">
        <v>28.463999999999999</v>
      </c>
      <c r="F1715" s="49">
        <v>21.314</v>
      </c>
      <c r="G1715" s="54">
        <v>-0.1</v>
      </c>
      <c r="H1715" s="56">
        <f t="shared" si="78"/>
        <v>-1.4163999999999999</v>
      </c>
      <c r="I1715" s="57">
        <f t="shared" si="79"/>
        <v>-2.1314000000000002</v>
      </c>
      <c r="J1715" s="56">
        <f t="shared" si="80"/>
        <v>-2.8464</v>
      </c>
    </row>
    <row r="1716" spans="1:10" ht="18">
      <c r="A1716" s="49">
        <v>8923</v>
      </c>
      <c r="B1716" s="49" t="s">
        <v>2028</v>
      </c>
      <c r="D1716" s="49">
        <v>12.384</v>
      </c>
      <c r="E1716" s="49">
        <v>20.574000000000002</v>
      </c>
      <c r="F1716" s="49">
        <v>16.478999999999999</v>
      </c>
      <c r="G1716" s="54">
        <v>0.88</v>
      </c>
      <c r="H1716" s="56">
        <f t="shared" si="78"/>
        <v>10.897920000000001</v>
      </c>
      <c r="I1716" s="57">
        <f t="shared" si="79"/>
        <v>14.501519999999999</v>
      </c>
      <c r="J1716" s="56">
        <f t="shared" si="80"/>
        <v>18.105120000000003</v>
      </c>
    </row>
    <row r="1717" spans="1:10" ht="18">
      <c r="A1717" s="49">
        <v>8924</v>
      </c>
      <c r="B1717" s="49" t="s">
        <v>2029</v>
      </c>
      <c r="D1717" s="49">
        <v>6.7900000000000009</v>
      </c>
      <c r="E1717" s="49">
        <v>18.178000000000001</v>
      </c>
      <c r="F1717" s="49">
        <v>12.484000000000002</v>
      </c>
      <c r="G1717" s="54">
        <v>4.8499999999999996</v>
      </c>
      <c r="H1717" s="56">
        <f t="shared" si="78"/>
        <v>32.9315</v>
      </c>
      <c r="I1717" s="57">
        <f t="shared" si="79"/>
        <v>60.547400000000003</v>
      </c>
      <c r="J1717" s="56">
        <f t="shared" si="80"/>
        <v>88.163299999999992</v>
      </c>
    </row>
    <row r="1718" spans="1:10" ht="18">
      <c r="A1718" s="49">
        <v>8926</v>
      </c>
      <c r="B1718" s="49" t="s">
        <v>1196</v>
      </c>
      <c r="D1718" s="49">
        <v>9.5579999999999981</v>
      </c>
      <c r="E1718" s="49">
        <v>27.65</v>
      </c>
      <c r="F1718" s="49">
        <v>18.603999999999999</v>
      </c>
      <c r="G1718" s="54">
        <v>1.75</v>
      </c>
      <c r="H1718" s="56">
        <f t="shared" si="78"/>
        <v>16.726499999999998</v>
      </c>
      <c r="I1718" s="57">
        <f t="shared" si="79"/>
        <v>32.557000000000002</v>
      </c>
      <c r="J1718" s="56">
        <f t="shared" si="80"/>
        <v>48.387499999999996</v>
      </c>
    </row>
    <row r="1719" spans="1:10" ht="18">
      <c r="A1719" s="49">
        <v>8927</v>
      </c>
      <c r="B1719" s="49" t="s">
        <v>2030</v>
      </c>
      <c r="D1719" s="49">
        <v>27.833999999999996</v>
      </c>
      <c r="E1719" s="49">
        <v>31.96</v>
      </c>
      <c r="F1719" s="49">
        <v>29.896999999999998</v>
      </c>
      <c r="G1719" s="54">
        <v>0.34</v>
      </c>
      <c r="H1719" s="56">
        <f t="shared" si="78"/>
        <v>9.4635599999999993</v>
      </c>
      <c r="I1719" s="57">
        <f t="shared" si="79"/>
        <v>10.16498</v>
      </c>
      <c r="J1719" s="56">
        <f t="shared" si="80"/>
        <v>10.866400000000001</v>
      </c>
    </row>
    <row r="1720" spans="1:10" ht="18">
      <c r="A1720" s="49">
        <v>8928</v>
      </c>
      <c r="B1720" s="49" t="s">
        <v>2031</v>
      </c>
      <c r="D1720" s="49">
        <v>8.2799999999999994</v>
      </c>
      <c r="E1720" s="49">
        <v>17.968</v>
      </c>
      <c r="F1720" s="49">
        <v>13.123999999999999</v>
      </c>
      <c r="G1720" s="54">
        <v>-0.71</v>
      </c>
      <c r="H1720" s="56">
        <f t="shared" si="78"/>
        <v>-5.8787999999999991</v>
      </c>
      <c r="I1720" s="57">
        <f t="shared" si="79"/>
        <v>-9.3180399999999981</v>
      </c>
      <c r="J1720" s="56">
        <f t="shared" si="80"/>
        <v>-12.75728</v>
      </c>
    </row>
    <row r="1721" spans="1:10" ht="18">
      <c r="A1721" s="49">
        <v>8929</v>
      </c>
      <c r="B1721" s="49" t="s">
        <v>2032</v>
      </c>
      <c r="D1721" s="49">
        <v>8.1519999999999992</v>
      </c>
      <c r="E1721" s="49">
        <v>21.044</v>
      </c>
      <c r="F1721" s="49">
        <v>14.597999999999999</v>
      </c>
      <c r="G1721" s="54">
        <v>-0.46</v>
      </c>
      <c r="H1721" s="56">
        <f t="shared" si="78"/>
        <v>-3.7499199999999999</v>
      </c>
      <c r="I1721" s="57">
        <f t="shared" si="79"/>
        <v>-6.7150799999999995</v>
      </c>
      <c r="J1721" s="56">
        <f t="shared" si="80"/>
        <v>-9.6802400000000013</v>
      </c>
    </row>
    <row r="1722" spans="1:10" ht="18">
      <c r="A1722" s="49">
        <v>8930</v>
      </c>
      <c r="B1722" s="49" t="s">
        <v>2033</v>
      </c>
      <c r="D1722" s="49">
        <v>6.5319999999999991</v>
      </c>
      <c r="E1722" s="49">
        <v>19.934000000000001</v>
      </c>
      <c r="F1722" s="49">
        <v>13.233000000000001</v>
      </c>
      <c r="G1722" s="54">
        <v>3.12</v>
      </c>
      <c r="H1722" s="56">
        <f t="shared" si="78"/>
        <v>20.379839999999998</v>
      </c>
      <c r="I1722" s="57">
        <f t="shared" si="79"/>
        <v>41.286960000000001</v>
      </c>
      <c r="J1722" s="56">
        <f t="shared" si="80"/>
        <v>62.194080000000007</v>
      </c>
    </row>
    <row r="1723" spans="1:10" ht="18">
      <c r="A1723" s="49">
        <v>8931</v>
      </c>
      <c r="B1723" s="49" t="s">
        <v>2034</v>
      </c>
      <c r="D1723" s="49">
        <v>14.068000000000001</v>
      </c>
      <c r="E1723" s="49">
        <v>23.323999999999998</v>
      </c>
      <c r="F1723" s="49">
        <v>18.695999999999998</v>
      </c>
      <c r="G1723" s="54">
        <v>2.3199999999999998</v>
      </c>
      <c r="H1723" s="56">
        <f t="shared" si="78"/>
        <v>32.63776</v>
      </c>
      <c r="I1723" s="57">
        <f t="shared" si="79"/>
        <v>43.374719999999989</v>
      </c>
      <c r="J1723" s="56">
        <f t="shared" si="80"/>
        <v>54.111679999999993</v>
      </c>
    </row>
    <row r="1724" spans="1:10" ht="18">
      <c r="A1724" s="49">
        <v>8932</v>
      </c>
      <c r="B1724" s="49" t="s">
        <v>2035</v>
      </c>
      <c r="D1724" s="49">
        <v>12.968</v>
      </c>
      <c r="E1724" s="49">
        <v>20.956</v>
      </c>
      <c r="F1724" s="49">
        <v>16.962</v>
      </c>
      <c r="G1724" s="54">
        <v>1.33</v>
      </c>
      <c r="H1724" s="56">
        <f t="shared" si="78"/>
        <v>17.247440000000001</v>
      </c>
      <c r="I1724" s="57">
        <f t="shared" si="79"/>
        <v>22.559460000000001</v>
      </c>
      <c r="J1724" s="56">
        <f t="shared" si="80"/>
        <v>27.871480000000002</v>
      </c>
    </row>
    <row r="1725" spans="1:10" ht="18">
      <c r="A1725" s="49">
        <v>8933</v>
      </c>
      <c r="B1725" s="49" t="s">
        <v>2036</v>
      </c>
      <c r="D1725" s="49">
        <v>11.996</v>
      </c>
      <c r="E1725" s="49">
        <v>26.874000000000002</v>
      </c>
      <c r="F1725" s="49">
        <v>19.435000000000002</v>
      </c>
      <c r="G1725" s="54">
        <v>-0.97</v>
      </c>
      <c r="H1725" s="56">
        <f t="shared" si="78"/>
        <v>-11.63612</v>
      </c>
      <c r="I1725" s="57">
        <f t="shared" si="79"/>
        <v>-18.851950000000002</v>
      </c>
      <c r="J1725" s="56">
        <f t="shared" si="80"/>
        <v>-26.067780000000003</v>
      </c>
    </row>
    <row r="1726" spans="1:10" ht="18">
      <c r="A1726" s="49">
        <v>8935</v>
      </c>
      <c r="B1726" s="49" t="s">
        <v>2037</v>
      </c>
      <c r="D1726" s="49">
        <v>0</v>
      </c>
      <c r="E1726" s="49">
        <v>0</v>
      </c>
      <c r="F1726" s="49">
        <v>0</v>
      </c>
      <c r="G1726" s="54">
        <v>-0.75</v>
      </c>
      <c r="H1726" s="56">
        <f t="shared" si="78"/>
        <v>0</v>
      </c>
      <c r="I1726" s="57">
        <f t="shared" si="79"/>
        <v>0</v>
      </c>
      <c r="J1726" s="56">
        <f t="shared" si="80"/>
        <v>0</v>
      </c>
    </row>
    <row r="1727" spans="1:10" ht="18">
      <c r="A1727" s="49">
        <v>8936</v>
      </c>
      <c r="B1727" s="49" t="s">
        <v>2038</v>
      </c>
      <c r="D1727" s="49">
        <v>10.836</v>
      </c>
      <c r="E1727" s="49">
        <v>19.336000000000002</v>
      </c>
      <c r="F1727" s="49">
        <v>15.086000000000002</v>
      </c>
      <c r="G1727" s="54">
        <v>2.88</v>
      </c>
      <c r="H1727" s="56">
        <f t="shared" si="78"/>
        <v>31.20768</v>
      </c>
      <c r="I1727" s="57">
        <f t="shared" si="79"/>
        <v>43.447680000000005</v>
      </c>
      <c r="J1727" s="56">
        <f t="shared" si="80"/>
        <v>55.687680000000007</v>
      </c>
    </row>
    <row r="1728" spans="1:10" ht="18">
      <c r="A1728" s="49">
        <v>8937</v>
      </c>
      <c r="B1728" s="49" t="s">
        <v>2039</v>
      </c>
      <c r="D1728" s="49">
        <v>0</v>
      </c>
      <c r="E1728" s="49">
        <v>0</v>
      </c>
      <c r="F1728" s="49">
        <v>0</v>
      </c>
      <c r="G1728" s="54">
        <v>0.71</v>
      </c>
      <c r="H1728" s="56">
        <f t="shared" si="78"/>
        <v>0</v>
      </c>
      <c r="I1728" s="57">
        <f t="shared" si="79"/>
        <v>0</v>
      </c>
      <c r="J1728" s="56">
        <f t="shared" si="80"/>
        <v>0</v>
      </c>
    </row>
    <row r="1729" spans="1:10" ht="18">
      <c r="A1729" s="49">
        <v>8938</v>
      </c>
      <c r="B1729" s="49" t="s">
        <v>2040</v>
      </c>
      <c r="D1729" s="49">
        <v>7.734</v>
      </c>
      <c r="E1729" s="49">
        <v>14.436000000000002</v>
      </c>
      <c r="F1729" s="49">
        <v>11.085000000000001</v>
      </c>
      <c r="G1729" s="54">
        <v>0.5</v>
      </c>
      <c r="H1729" s="56">
        <f t="shared" si="78"/>
        <v>3.867</v>
      </c>
      <c r="I1729" s="57">
        <f t="shared" si="79"/>
        <v>5.5425000000000004</v>
      </c>
      <c r="J1729" s="56">
        <f t="shared" si="80"/>
        <v>7.2180000000000009</v>
      </c>
    </row>
    <row r="1730" spans="1:10" ht="18">
      <c r="A1730" s="49">
        <v>8940</v>
      </c>
      <c r="B1730" s="49" t="s">
        <v>1197</v>
      </c>
      <c r="D1730" s="49">
        <v>19.973999999999997</v>
      </c>
      <c r="E1730" s="49">
        <v>26.75</v>
      </c>
      <c r="F1730" s="49">
        <v>23.361999999999998</v>
      </c>
      <c r="G1730" s="54">
        <v>1.58</v>
      </c>
      <c r="H1730" s="56">
        <f t="shared" si="78"/>
        <v>31.558919999999997</v>
      </c>
      <c r="I1730" s="57">
        <f t="shared" si="79"/>
        <v>36.911960000000001</v>
      </c>
      <c r="J1730" s="56">
        <f t="shared" si="80"/>
        <v>42.265000000000001</v>
      </c>
    </row>
    <row r="1731" spans="1:10" ht="18">
      <c r="A1731" s="49">
        <v>8941</v>
      </c>
      <c r="B1731" s="49" t="s">
        <v>2041</v>
      </c>
      <c r="D1731" s="49">
        <v>8.5680000000000014</v>
      </c>
      <c r="E1731" s="49">
        <v>16.374000000000002</v>
      </c>
      <c r="F1731" s="49">
        <v>12.471000000000002</v>
      </c>
      <c r="G1731" s="54">
        <v>6.34</v>
      </c>
      <c r="H1731" s="56">
        <f t="shared" ref="H1731:H1776" si="81">G1731*D1731</f>
        <v>54.321120000000008</v>
      </c>
      <c r="I1731" s="57">
        <f t="shared" ref="I1731:I1776" si="82">G1731*F1731</f>
        <v>79.066140000000004</v>
      </c>
      <c r="J1731" s="56">
        <f t="shared" ref="J1731:J1776" si="83">G1731*E1731</f>
        <v>103.81116000000002</v>
      </c>
    </row>
    <row r="1732" spans="1:10" ht="18">
      <c r="A1732" s="49">
        <v>8942</v>
      </c>
      <c r="B1732" s="49" t="s">
        <v>2042</v>
      </c>
      <c r="D1732" s="49">
        <v>8.0599999999999987</v>
      </c>
      <c r="E1732" s="49">
        <v>21.118000000000002</v>
      </c>
      <c r="F1732" s="49">
        <v>14.589</v>
      </c>
      <c r="G1732" s="54">
        <v>8.57</v>
      </c>
      <c r="H1732" s="56">
        <f t="shared" si="81"/>
        <v>69.07419999999999</v>
      </c>
      <c r="I1732" s="57">
        <f t="shared" si="82"/>
        <v>125.02773000000001</v>
      </c>
      <c r="J1732" s="56">
        <f t="shared" si="83"/>
        <v>180.98126000000002</v>
      </c>
    </row>
    <row r="1733" spans="1:10" ht="18">
      <c r="A1733" s="49">
        <v>8996</v>
      </c>
      <c r="B1733" s="49" t="s">
        <v>1198</v>
      </c>
      <c r="D1733" s="49">
        <v>13.693999999999999</v>
      </c>
      <c r="E1733" s="49">
        <v>30.552</v>
      </c>
      <c r="F1733" s="49">
        <v>22.122999999999998</v>
      </c>
      <c r="G1733" s="54">
        <v>6.45</v>
      </c>
      <c r="H1733" s="56">
        <f t="shared" si="81"/>
        <v>88.326300000000003</v>
      </c>
      <c r="I1733" s="57">
        <f t="shared" si="82"/>
        <v>142.69334999999998</v>
      </c>
      <c r="J1733" s="56">
        <f t="shared" si="83"/>
        <v>197.06040000000002</v>
      </c>
    </row>
    <row r="1734" spans="1:10" ht="18">
      <c r="A1734" s="49">
        <v>9802</v>
      </c>
      <c r="B1734" s="49" t="s">
        <v>1199</v>
      </c>
      <c r="D1734" s="49">
        <v>9.9080000000000013</v>
      </c>
      <c r="E1734" s="49">
        <v>22.79</v>
      </c>
      <c r="F1734" s="49">
        <v>16.349</v>
      </c>
      <c r="G1734" s="54">
        <v>7.87</v>
      </c>
      <c r="H1734" s="56">
        <f t="shared" si="81"/>
        <v>77.975960000000015</v>
      </c>
      <c r="I1734" s="57">
        <f t="shared" si="82"/>
        <v>128.66663</v>
      </c>
      <c r="J1734" s="56">
        <f t="shared" si="83"/>
        <v>179.35730000000001</v>
      </c>
    </row>
    <row r="1735" spans="1:10" ht="18">
      <c r="A1735" s="49">
        <v>9902</v>
      </c>
      <c r="B1735" s="49" t="s">
        <v>1200</v>
      </c>
      <c r="D1735" s="49">
        <v>12.9</v>
      </c>
      <c r="E1735" s="49">
        <v>18.875999999999998</v>
      </c>
      <c r="F1735" s="49">
        <v>15.887999999999998</v>
      </c>
      <c r="G1735" s="54">
        <v>0.32</v>
      </c>
      <c r="H1735" s="56">
        <f t="shared" si="81"/>
        <v>4.1280000000000001</v>
      </c>
      <c r="I1735" s="57">
        <f t="shared" si="82"/>
        <v>5.0841599999999998</v>
      </c>
      <c r="J1735" s="56">
        <f t="shared" si="83"/>
        <v>6.0403199999999995</v>
      </c>
    </row>
    <row r="1736" spans="1:10" ht="18">
      <c r="A1736" s="49">
        <v>9904</v>
      </c>
      <c r="B1736" s="49" t="s">
        <v>1201</v>
      </c>
      <c r="D1736" s="49">
        <v>7.1920000000000002</v>
      </c>
      <c r="E1736" s="49">
        <v>15.684000000000001</v>
      </c>
      <c r="F1736" s="49">
        <v>11.438000000000001</v>
      </c>
      <c r="G1736" s="54">
        <v>3.61</v>
      </c>
      <c r="H1736" s="56">
        <f t="shared" si="81"/>
        <v>25.96312</v>
      </c>
      <c r="I1736" s="57">
        <f t="shared" si="82"/>
        <v>41.291180000000004</v>
      </c>
      <c r="J1736" s="56">
        <f t="shared" si="83"/>
        <v>56.619240000000005</v>
      </c>
    </row>
    <row r="1737" spans="1:10" ht="18">
      <c r="A1737" s="49">
        <v>9905</v>
      </c>
      <c r="B1737" s="49" t="s">
        <v>1202</v>
      </c>
      <c r="D1737" s="49">
        <v>11.116</v>
      </c>
      <c r="E1737" s="49">
        <v>16.527999999999999</v>
      </c>
      <c r="F1737" s="49">
        <v>13.821999999999999</v>
      </c>
      <c r="G1737" s="54">
        <v>1.45</v>
      </c>
      <c r="H1737" s="56">
        <f t="shared" si="81"/>
        <v>16.118199999999998</v>
      </c>
      <c r="I1737" s="57">
        <f t="shared" si="82"/>
        <v>20.041899999999998</v>
      </c>
      <c r="J1737" s="56">
        <f t="shared" si="83"/>
        <v>23.965599999999998</v>
      </c>
    </row>
    <row r="1738" spans="1:10" ht="18">
      <c r="A1738" s="49">
        <v>9906</v>
      </c>
      <c r="B1738" s="49" t="s">
        <v>1203</v>
      </c>
      <c r="D1738" s="49">
        <v>4.2640000000000002</v>
      </c>
      <c r="E1738" s="49">
        <v>24.196000000000002</v>
      </c>
      <c r="F1738" s="49">
        <v>14.23</v>
      </c>
      <c r="G1738" s="54">
        <v>6.24</v>
      </c>
      <c r="H1738" s="56">
        <f t="shared" si="81"/>
        <v>26.607360000000003</v>
      </c>
      <c r="I1738" s="57">
        <f t="shared" si="82"/>
        <v>88.795200000000008</v>
      </c>
      <c r="J1738" s="56">
        <f t="shared" si="83"/>
        <v>150.98304000000002</v>
      </c>
    </row>
    <row r="1739" spans="1:10" ht="18">
      <c r="A1739" s="49">
        <v>9907</v>
      </c>
      <c r="B1739" s="49" t="s">
        <v>1204</v>
      </c>
      <c r="D1739" s="49">
        <v>11.523999999999999</v>
      </c>
      <c r="E1739" s="49">
        <v>34.777999999999999</v>
      </c>
      <c r="F1739" s="49">
        <v>23.151</v>
      </c>
      <c r="G1739" s="54">
        <v>0.43</v>
      </c>
      <c r="H1739" s="56">
        <f t="shared" si="81"/>
        <v>4.9553199999999995</v>
      </c>
      <c r="I1739" s="57">
        <f t="shared" si="82"/>
        <v>9.9549299999999992</v>
      </c>
      <c r="J1739" s="56">
        <f t="shared" si="83"/>
        <v>14.95454</v>
      </c>
    </row>
    <row r="1740" spans="1:10" ht="18">
      <c r="A1740" s="49">
        <v>9908</v>
      </c>
      <c r="B1740" s="49" t="s">
        <v>1205</v>
      </c>
      <c r="D1740" s="49">
        <v>14.808000000000002</v>
      </c>
      <c r="E1740" s="49">
        <v>20.532</v>
      </c>
      <c r="F1740" s="49">
        <v>17.670000000000002</v>
      </c>
      <c r="G1740" s="54">
        <v>2.3199999999999998</v>
      </c>
      <c r="H1740" s="56">
        <f t="shared" si="81"/>
        <v>34.354559999999999</v>
      </c>
      <c r="I1740" s="57">
        <f t="shared" si="82"/>
        <v>40.994399999999999</v>
      </c>
      <c r="J1740" s="56">
        <f t="shared" si="83"/>
        <v>47.634239999999998</v>
      </c>
    </row>
    <row r="1741" spans="1:10" ht="18">
      <c r="A1741" s="49">
        <v>9910</v>
      </c>
      <c r="B1741" s="49" t="s">
        <v>1206</v>
      </c>
      <c r="D1741" s="49">
        <v>10.112</v>
      </c>
      <c r="E1741" s="49">
        <v>27.733999999999998</v>
      </c>
      <c r="F1741" s="49">
        <v>18.922999999999998</v>
      </c>
      <c r="G1741" s="54">
        <v>4.95</v>
      </c>
      <c r="H1741" s="56">
        <f t="shared" si="81"/>
        <v>50.054400000000001</v>
      </c>
      <c r="I1741" s="57">
        <f t="shared" si="82"/>
        <v>93.668849999999992</v>
      </c>
      <c r="J1741" s="56">
        <f t="shared" si="83"/>
        <v>137.2833</v>
      </c>
    </row>
    <row r="1742" spans="1:10" ht="18">
      <c r="A1742" s="49">
        <v>9911</v>
      </c>
      <c r="B1742" s="49" t="s">
        <v>1207</v>
      </c>
      <c r="D1742" s="49">
        <v>10.161999999999999</v>
      </c>
      <c r="E1742" s="49">
        <v>18.391999999999999</v>
      </c>
      <c r="F1742" s="49">
        <v>14.276999999999999</v>
      </c>
      <c r="G1742" s="54">
        <v>4.9000000000000004</v>
      </c>
      <c r="H1742" s="56">
        <f t="shared" si="81"/>
        <v>49.793799999999997</v>
      </c>
      <c r="I1742" s="57">
        <f t="shared" si="82"/>
        <v>69.957300000000004</v>
      </c>
      <c r="J1742" s="56">
        <f t="shared" si="83"/>
        <v>90.120800000000003</v>
      </c>
    </row>
    <row r="1743" spans="1:10" ht="18">
      <c r="A1743" s="49">
        <v>9912</v>
      </c>
      <c r="B1743" s="49" t="s">
        <v>1208</v>
      </c>
      <c r="D1743" s="49">
        <v>0</v>
      </c>
      <c r="E1743" s="49">
        <v>0</v>
      </c>
      <c r="F1743" s="49">
        <v>0</v>
      </c>
      <c r="G1743" s="54">
        <v>-0.59</v>
      </c>
      <c r="H1743" s="56">
        <f t="shared" si="81"/>
        <v>0</v>
      </c>
      <c r="I1743" s="57">
        <f t="shared" si="82"/>
        <v>0</v>
      </c>
      <c r="J1743" s="56">
        <f t="shared" si="83"/>
        <v>0</v>
      </c>
    </row>
    <row r="1744" spans="1:10" ht="18">
      <c r="A1744" s="49">
        <v>9914</v>
      </c>
      <c r="B1744" s="49" t="s">
        <v>1209</v>
      </c>
      <c r="D1744" s="49">
        <v>9.8659999999999997</v>
      </c>
      <c r="E1744" s="49">
        <v>26.181999999999999</v>
      </c>
      <c r="F1744" s="49">
        <v>18.024000000000001</v>
      </c>
      <c r="G1744" s="54">
        <v>5.66</v>
      </c>
      <c r="H1744" s="56">
        <f t="shared" si="81"/>
        <v>55.841560000000001</v>
      </c>
      <c r="I1744" s="57">
        <f t="shared" si="82"/>
        <v>102.01584000000001</v>
      </c>
      <c r="J1744" s="56">
        <f t="shared" si="83"/>
        <v>148.19012000000001</v>
      </c>
    </row>
    <row r="1745" spans="1:10" ht="18">
      <c r="A1745" s="49">
        <v>9917</v>
      </c>
      <c r="B1745" s="49" t="s">
        <v>1210</v>
      </c>
      <c r="D1745" s="49">
        <v>14.324000000000002</v>
      </c>
      <c r="E1745" s="49">
        <v>24.362000000000002</v>
      </c>
      <c r="F1745" s="49">
        <v>19.343000000000004</v>
      </c>
      <c r="G1745" s="54">
        <v>5.85</v>
      </c>
      <c r="H1745" s="56">
        <f t="shared" si="81"/>
        <v>83.795400000000001</v>
      </c>
      <c r="I1745" s="57">
        <f t="shared" si="82"/>
        <v>113.15655000000001</v>
      </c>
      <c r="J1745" s="56">
        <f t="shared" si="83"/>
        <v>142.51769999999999</v>
      </c>
    </row>
    <row r="1746" spans="1:10" ht="18">
      <c r="A1746" s="49">
        <v>9918</v>
      </c>
      <c r="B1746" s="49" t="s">
        <v>1211</v>
      </c>
      <c r="D1746" s="49">
        <v>18.104000000000003</v>
      </c>
      <c r="E1746" s="49">
        <v>28.839999999999996</v>
      </c>
      <c r="F1746" s="49">
        <v>23.472000000000001</v>
      </c>
      <c r="G1746" s="54">
        <v>1.99</v>
      </c>
      <c r="H1746" s="56">
        <f t="shared" si="81"/>
        <v>36.026960000000003</v>
      </c>
      <c r="I1746" s="57">
        <f t="shared" si="82"/>
        <v>46.70928</v>
      </c>
      <c r="J1746" s="56">
        <f t="shared" si="83"/>
        <v>57.39159999999999</v>
      </c>
    </row>
    <row r="1747" spans="1:10" ht="18">
      <c r="A1747" s="49">
        <v>9919</v>
      </c>
      <c r="B1747" s="49" t="s">
        <v>1212</v>
      </c>
      <c r="D1747" s="49">
        <v>12.306000000000001</v>
      </c>
      <c r="E1747" s="49">
        <v>21.295999999999999</v>
      </c>
      <c r="F1747" s="49">
        <v>16.801000000000002</v>
      </c>
      <c r="G1747" s="54">
        <v>3.37</v>
      </c>
      <c r="H1747" s="56">
        <f t="shared" si="81"/>
        <v>41.471220000000002</v>
      </c>
      <c r="I1747" s="57">
        <f t="shared" si="82"/>
        <v>56.619370000000011</v>
      </c>
      <c r="J1747" s="56">
        <f t="shared" si="83"/>
        <v>71.767520000000005</v>
      </c>
    </row>
    <row r="1748" spans="1:10" ht="18">
      <c r="A1748" s="49">
        <v>9921</v>
      </c>
      <c r="B1748" s="49" t="s">
        <v>1213</v>
      </c>
      <c r="D1748" s="49">
        <v>12.440000000000001</v>
      </c>
      <c r="E1748" s="49">
        <v>24.497999999999998</v>
      </c>
      <c r="F1748" s="49">
        <v>18.469000000000001</v>
      </c>
      <c r="G1748" s="54">
        <v>8.68</v>
      </c>
      <c r="H1748" s="56">
        <f t="shared" si="81"/>
        <v>107.97920000000001</v>
      </c>
      <c r="I1748" s="57">
        <f t="shared" si="82"/>
        <v>160.31092000000001</v>
      </c>
      <c r="J1748" s="56">
        <f t="shared" si="83"/>
        <v>212.64263999999997</v>
      </c>
    </row>
    <row r="1749" spans="1:10" ht="18">
      <c r="A1749" s="49">
        <v>9924</v>
      </c>
      <c r="B1749" s="49" t="s">
        <v>1214</v>
      </c>
      <c r="D1749" s="49">
        <v>9.4079999999999995</v>
      </c>
      <c r="E1749" s="49">
        <v>12.428000000000001</v>
      </c>
      <c r="F1749" s="49">
        <v>10.917999999999999</v>
      </c>
      <c r="G1749" s="54">
        <v>5.03</v>
      </c>
      <c r="H1749" s="56">
        <f t="shared" si="81"/>
        <v>47.322240000000001</v>
      </c>
      <c r="I1749" s="57">
        <f t="shared" si="82"/>
        <v>54.917540000000002</v>
      </c>
      <c r="J1749" s="56">
        <f t="shared" si="83"/>
        <v>62.512840000000004</v>
      </c>
    </row>
    <row r="1750" spans="1:10" ht="18">
      <c r="A1750" s="49">
        <v>9925</v>
      </c>
      <c r="B1750" s="49" t="s">
        <v>1215</v>
      </c>
      <c r="D1750" s="49">
        <v>11.325999999999999</v>
      </c>
      <c r="E1750" s="49">
        <v>16.809999999999999</v>
      </c>
      <c r="F1750" s="49">
        <v>14.067999999999998</v>
      </c>
      <c r="G1750" s="54">
        <v>2.4300000000000002</v>
      </c>
      <c r="H1750" s="56">
        <f t="shared" si="81"/>
        <v>27.522179999999999</v>
      </c>
      <c r="I1750" s="57">
        <f t="shared" si="82"/>
        <v>34.18524</v>
      </c>
      <c r="J1750" s="56">
        <f t="shared" si="83"/>
        <v>40.848300000000002</v>
      </c>
    </row>
    <row r="1751" spans="1:10" ht="18">
      <c r="A1751" s="49">
        <v>9926</v>
      </c>
      <c r="B1751" s="49" t="s">
        <v>1216</v>
      </c>
      <c r="D1751" s="49">
        <v>13.437999999999999</v>
      </c>
      <c r="E1751" s="49">
        <v>25.138000000000002</v>
      </c>
      <c r="F1751" s="49">
        <v>19.288</v>
      </c>
      <c r="G1751" s="54">
        <v>2.61</v>
      </c>
      <c r="H1751" s="56">
        <f t="shared" si="81"/>
        <v>35.073179999999994</v>
      </c>
      <c r="I1751" s="57">
        <f t="shared" si="82"/>
        <v>50.341679999999997</v>
      </c>
      <c r="J1751" s="56">
        <f t="shared" si="83"/>
        <v>65.61018</v>
      </c>
    </row>
    <row r="1752" spans="1:10" ht="18">
      <c r="A1752" s="49">
        <v>9927</v>
      </c>
      <c r="B1752" s="49" t="s">
        <v>1217</v>
      </c>
      <c r="D1752" s="49">
        <v>7.9159999999999995</v>
      </c>
      <c r="E1752" s="49">
        <v>18.922000000000004</v>
      </c>
      <c r="F1752" s="49">
        <v>13.419000000000002</v>
      </c>
      <c r="G1752" s="54">
        <v>5.94</v>
      </c>
      <c r="H1752" s="56">
        <f t="shared" si="81"/>
        <v>47.021039999999999</v>
      </c>
      <c r="I1752" s="57">
        <f t="shared" si="82"/>
        <v>79.708860000000016</v>
      </c>
      <c r="J1752" s="56">
        <f t="shared" si="83"/>
        <v>112.39668000000003</v>
      </c>
    </row>
    <row r="1753" spans="1:10" ht="18">
      <c r="A1753" s="49">
        <v>9928</v>
      </c>
      <c r="B1753" s="49" t="s">
        <v>1218</v>
      </c>
      <c r="D1753" s="49">
        <v>0</v>
      </c>
      <c r="E1753" s="49">
        <v>0</v>
      </c>
      <c r="F1753" s="49">
        <v>0</v>
      </c>
      <c r="G1753" s="54">
        <v>-0.12</v>
      </c>
      <c r="H1753" s="56">
        <f t="shared" si="81"/>
        <v>0</v>
      </c>
      <c r="I1753" s="57">
        <f t="shared" si="82"/>
        <v>0</v>
      </c>
      <c r="J1753" s="56">
        <f t="shared" si="83"/>
        <v>0</v>
      </c>
    </row>
    <row r="1754" spans="1:10" ht="18">
      <c r="A1754" s="49">
        <v>9929</v>
      </c>
      <c r="B1754" s="49" t="s">
        <v>1219</v>
      </c>
      <c r="D1754" s="49">
        <v>0</v>
      </c>
      <c r="E1754" s="49">
        <v>0</v>
      </c>
      <c r="F1754" s="49">
        <v>0</v>
      </c>
      <c r="G1754" s="54">
        <v>-1.04</v>
      </c>
      <c r="H1754" s="56">
        <f t="shared" si="81"/>
        <v>0</v>
      </c>
      <c r="I1754" s="57">
        <f t="shared" si="82"/>
        <v>0</v>
      </c>
      <c r="J1754" s="56">
        <f t="shared" si="83"/>
        <v>0</v>
      </c>
    </row>
    <row r="1755" spans="1:10" ht="18">
      <c r="A1755" s="49">
        <v>9930</v>
      </c>
      <c r="B1755" s="49" t="s">
        <v>1220</v>
      </c>
      <c r="D1755" s="49">
        <v>11.596</v>
      </c>
      <c r="E1755" s="49">
        <v>17.768000000000001</v>
      </c>
      <c r="F1755" s="49">
        <v>14.682</v>
      </c>
      <c r="G1755" s="54">
        <v>3.38</v>
      </c>
      <c r="H1755" s="56">
        <f t="shared" si="81"/>
        <v>39.194479999999999</v>
      </c>
      <c r="I1755" s="57">
        <f t="shared" si="82"/>
        <v>49.625160000000001</v>
      </c>
      <c r="J1755" s="56">
        <f t="shared" si="83"/>
        <v>60.055840000000003</v>
      </c>
    </row>
    <row r="1756" spans="1:10" ht="18">
      <c r="A1756" s="49">
        <v>9931</v>
      </c>
      <c r="B1756" s="49" t="s">
        <v>1221</v>
      </c>
      <c r="D1756" s="49">
        <v>14.018000000000001</v>
      </c>
      <c r="E1756" s="49">
        <v>27.472000000000001</v>
      </c>
      <c r="F1756" s="49">
        <v>20.745000000000001</v>
      </c>
      <c r="G1756" s="54">
        <v>1.41</v>
      </c>
      <c r="H1756" s="56">
        <f t="shared" si="81"/>
        <v>19.76538</v>
      </c>
      <c r="I1756" s="57">
        <f t="shared" si="82"/>
        <v>29.250450000000001</v>
      </c>
      <c r="J1756" s="56">
        <f t="shared" si="83"/>
        <v>38.735520000000001</v>
      </c>
    </row>
    <row r="1757" spans="1:10" ht="18">
      <c r="A1757" s="49">
        <v>9933</v>
      </c>
      <c r="B1757" s="49" t="s">
        <v>1222</v>
      </c>
      <c r="D1757" s="49">
        <v>11.617999999999999</v>
      </c>
      <c r="E1757" s="49">
        <v>23.552</v>
      </c>
      <c r="F1757" s="49">
        <v>17.585000000000001</v>
      </c>
      <c r="G1757" s="54">
        <v>2.39</v>
      </c>
      <c r="H1757" s="56">
        <f t="shared" si="81"/>
        <v>27.767019999999999</v>
      </c>
      <c r="I1757" s="57">
        <f t="shared" si="82"/>
        <v>42.028150000000004</v>
      </c>
      <c r="J1757" s="56">
        <f t="shared" si="83"/>
        <v>56.289280000000005</v>
      </c>
    </row>
    <row r="1758" spans="1:10" ht="18">
      <c r="A1758" s="49">
        <v>9934</v>
      </c>
      <c r="B1758" s="49" t="s">
        <v>1223</v>
      </c>
      <c r="D1758" s="49">
        <v>8.9719999999999995</v>
      </c>
      <c r="E1758" s="49">
        <v>18.535999999999998</v>
      </c>
      <c r="F1758" s="49">
        <v>13.753999999999998</v>
      </c>
      <c r="G1758" s="54">
        <v>1.52</v>
      </c>
      <c r="H1758" s="56">
        <f t="shared" si="81"/>
        <v>13.63744</v>
      </c>
      <c r="I1758" s="57">
        <f t="shared" si="82"/>
        <v>20.906079999999996</v>
      </c>
      <c r="J1758" s="56">
        <f t="shared" si="83"/>
        <v>28.174719999999997</v>
      </c>
    </row>
    <row r="1759" spans="1:10" ht="18">
      <c r="A1759" s="49">
        <v>9935</v>
      </c>
      <c r="B1759" s="49" t="s">
        <v>1224</v>
      </c>
      <c r="D1759" s="49">
        <v>14.226000000000003</v>
      </c>
      <c r="E1759" s="49">
        <v>27.01</v>
      </c>
      <c r="F1759" s="49">
        <v>20.618000000000002</v>
      </c>
      <c r="G1759" s="54">
        <v>0.61</v>
      </c>
      <c r="H1759" s="56">
        <f t="shared" si="81"/>
        <v>8.6778600000000008</v>
      </c>
      <c r="I1759" s="57">
        <f t="shared" si="82"/>
        <v>12.576980000000001</v>
      </c>
      <c r="J1759" s="56">
        <f t="shared" si="83"/>
        <v>16.476099999999999</v>
      </c>
    </row>
    <row r="1760" spans="1:10" ht="18">
      <c r="A1760" s="49">
        <v>9937</v>
      </c>
      <c r="B1760" s="49" t="s">
        <v>1225</v>
      </c>
      <c r="D1760" s="49">
        <v>13</v>
      </c>
      <c r="E1760" s="49">
        <v>27.917999999999999</v>
      </c>
      <c r="F1760" s="49">
        <v>20.459</v>
      </c>
      <c r="G1760" s="54">
        <v>2.5299999999999998</v>
      </c>
      <c r="H1760" s="56">
        <f t="shared" si="81"/>
        <v>32.89</v>
      </c>
      <c r="I1760" s="57">
        <f t="shared" si="82"/>
        <v>51.761269999999996</v>
      </c>
      <c r="J1760" s="56">
        <f t="shared" si="83"/>
        <v>70.632539999999992</v>
      </c>
    </row>
    <row r="1761" spans="1:10" ht="18">
      <c r="A1761" s="49">
        <v>9938</v>
      </c>
      <c r="B1761" s="49" t="s">
        <v>1226</v>
      </c>
      <c r="D1761" s="49">
        <v>9.8620000000000001</v>
      </c>
      <c r="E1761" s="49">
        <v>21.663999999999998</v>
      </c>
      <c r="F1761" s="49">
        <v>15.762999999999998</v>
      </c>
      <c r="G1761" s="54">
        <v>1.95</v>
      </c>
      <c r="H1761" s="56">
        <f t="shared" si="81"/>
        <v>19.230899999999998</v>
      </c>
      <c r="I1761" s="57">
        <f t="shared" si="82"/>
        <v>30.737849999999995</v>
      </c>
      <c r="J1761" s="56">
        <f t="shared" si="83"/>
        <v>42.244799999999998</v>
      </c>
    </row>
    <row r="1762" spans="1:10" ht="18">
      <c r="A1762" s="49">
        <v>9939</v>
      </c>
      <c r="B1762" s="49" t="s">
        <v>1227</v>
      </c>
      <c r="D1762" s="49">
        <v>10.628</v>
      </c>
      <c r="E1762" s="49">
        <v>15.337999999999999</v>
      </c>
      <c r="F1762" s="49">
        <v>12.983000000000001</v>
      </c>
      <c r="G1762" s="54">
        <v>8.6</v>
      </c>
      <c r="H1762" s="56">
        <f t="shared" si="81"/>
        <v>91.400800000000004</v>
      </c>
      <c r="I1762" s="57">
        <f t="shared" si="82"/>
        <v>111.6538</v>
      </c>
      <c r="J1762" s="56">
        <f t="shared" si="83"/>
        <v>131.90679999999998</v>
      </c>
    </row>
    <row r="1763" spans="1:10" ht="18">
      <c r="A1763" s="49">
        <v>9940</v>
      </c>
      <c r="B1763" s="49" t="s">
        <v>1228</v>
      </c>
      <c r="D1763" s="49">
        <v>9.6179999999999986</v>
      </c>
      <c r="E1763" s="49">
        <v>18.62</v>
      </c>
      <c r="F1763" s="49">
        <v>14.119</v>
      </c>
      <c r="G1763" s="54">
        <v>2.39</v>
      </c>
      <c r="H1763" s="56">
        <f t="shared" si="81"/>
        <v>22.987019999999998</v>
      </c>
      <c r="I1763" s="57">
        <f t="shared" si="82"/>
        <v>33.744410000000002</v>
      </c>
      <c r="J1763" s="56">
        <f t="shared" si="83"/>
        <v>44.501800000000003</v>
      </c>
    </row>
    <row r="1764" spans="1:10" ht="18">
      <c r="A1764" s="49">
        <v>9941</v>
      </c>
      <c r="B1764" s="49" t="s">
        <v>1229</v>
      </c>
      <c r="D1764" s="49">
        <v>10.508000000000001</v>
      </c>
      <c r="E1764" s="49">
        <v>16.494</v>
      </c>
      <c r="F1764" s="49">
        <v>13.501000000000001</v>
      </c>
      <c r="G1764" s="54">
        <v>10.76</v>
      </c>
      <c r="H1764" s="56">
        <f t="shared" si="81"/>
        <v>113.06608000000001</v>
      </c>
      <c r="I1764" s="57">
        <f t="shared" si="82"/>
        <v>145.27076000000002</v>
      </c>
      <c r="J1764" s="56">
        <f t="shared" si="83"/>
        <v>177.47543999999999</v>
      </c>
    </row>
    <row r="1765" spans="1:10" ht="18">
      <c r="A1765" s="49">
        <v>9942</v>
      </c>
      <c r="B1765" s="49" t="s">
        <v>1230</v>
      </c>
      <c r="D1765" s="49">
        <v>9.3119999999999994</v>
      </c>
      <c r="E1765" s="49">
        <v>15.891999999999999</v>
      </c>
      <c r="F1765" s="49">
        <v>12.602</v>
      </c>
      <c r="G1765" s="54">
        <v>11.77</v>
      </c>
      <c r="H1765" s="56">
        <f t="shared" si="81"/>
        <v>109.60223999999999</v>
      </c>
      <c r="I1765" s="57">
        <f t="shared" si="82"/>
        <v>148.32553999999999</v>
      </c>
      <c r="J1765" s="56">
        <f t="shared" si="83"/>
        <v>187.04883999999998</v>
      </c>
    </row>
    <row r="1766" spans="1:10" ht="18">
      <c r="A1766" s="49">
        <v>9943</v>
      </c>
      <c r="B1766" s="49" t="s">
        <v>1231</v>
      </c>
      <c r="D1766" s="49">
        <v>9.4619999999999997</v>
      </c>
      <c r="E1766" s="49">
        <v>15.778</v>
      </c>
      <c r="F1766" s="49">
        <v>12.620000000000001</v>
      </c>
      <c r="G1766" s="54">
        <v>8.81</v>
      </c>
      <c r="H1766" s="56">
        <f t="shared" si="81"/>
        <v>83.360219999999998</v>
      </c>
      <c r="I1766" s="57">
        <f t="shared" si="82"/>
        <v>111.18220000000001</v>
      </c>
      <c r="J1766" s="56">
        <f t="shared" si="83"/>
        <v>139.00418000000002</v>
      </c>
    </row>
    <row r="1767" spans="1:10" ht="18">
      <c r="A1767" s="49">
        <v>9944</v>
      </c>
      <c r="B1767" s="49" t="s">
        <v>1232</v>
      </c>
      <c r="D1767" s="49">
        <v>8.5520000000000014</v>
      </c>
      <c r="E1767" s="49">
        <v>20.832000000000001</v>
      </c>
      <c r="F1767" s="49">
        <v>14.692</v>
      </c>
      <c r="G1767" s="54">
        <v>1.49</v>
      </c>
      <c r="H1767" s="56">
        <f t="shared" si="81"/>
        <v>12.742480000000002</v>
      </c>
      <c r="I1767" s="57">
        <f t="shared" si="82"/>
        <v>21.891079999999999</v>
      </c>
      <c r="J1767" s="56">
        <f t="shared" si="83"/>
        <v>31.039680000000001</v>
      </c>
    </row>
    <row r="1768" spans="1:10" ht="18">
      <c r="A1768" s="49">
        <v>9945</v>
      </c>
      <c r="B1768" s="49" t="s">
        <v>1233</v>
      </c>
      <c r="D1768" s="49">
        <v>3.3560000000000003</v>
      </c>
      <c r="E1768" s="49">
        <v>18.368000000000002</v>
      </c>
      <c r="F1768" s="49">
        <v>10.862000000000002</v>
      </c>
      <c r="G1768" s="54">
        <v>2.65</v>
      </c>
      <c r="H1768" s="56">
        <f t="shared" si="81"/>
        <v>8.8933999999999997</v>
      </c>
      <c r="I1768" s="57">
        <f t="shared" si="82"/>
        <v>28.784300000000005</v>
      </c>
      <c r="J1768" s="56">
        <f t="shared" si="83"/>
        <v>48.675200000000004</v>
      </c>
    </row>
    <row r="1769" spans="1:10" ht="18">
      <c r="A1769" s="49">
        <v>9946</v>
      </c>
      <c r="B1769" s="49" t="s">
        <v>1234</v>
      </c>
      <c r="D1769" s="49">
        <v>5.5280000000000005</v>
      </c>
      <c r="E1769" s="49">
        <v>24.173999999999999</v>
      </c>
      <c r="F1769" s="49">
        <v>14.850999999999999</v>
      </c>
      <c r="G1769" s="54">
        <v>0.27</v>
      </c>
      <c r="H1769" s="56">
        <f t="shared" si="81"/>
        <v>1.4925600000000003</v>
      </c>
      <c r="I1769" s="57">
        <f t="shared" si="82"/>
        <v>4.0097699999999996</v>
      </c>
      <c r="J1769" s="56">
        <f t="shared" si="83"/>
        <v>6.52698</v>
      </c>
    </row>
    <row r="1770" spans="1:10" ht="18">
      <c r="A1770" s="49">
        <v>9949</v>
      </c>
      <c r="B1770" s="49" t="s">
        <v>2043</v>
      </c>
      <c r="D1770" s="49">
        <v>0</v>
      </c>
      <c r="E1770" s="49">
        <v>0</v>
      </c>
      <c r="F1770" s="49">
        <v>0</v>
      </c>
      <c r="G1770" s="54">
        <v>-0.69</v>
      </c>
      <c r="H1770" s="56">
        <f t="shared" si="81"/>
        <v>0</v>
      </c>
      <c r="I1770" s="57">
        <f t="shared" si="82"/>
        <v>0</v>
      </c>
      <c r="J1770" s="56">
        <f t="shared" si="83"/>
        <v>0</v>
      </c>
    </row>
    <row r="1771" spans="1:10" ht="18">
      <c r="A1771" s="49">
        <v>9950</v>
      </c>
      <c r="B1771" s="49" t="s">
        <v>2044</v>
      </c>
      <c r="D1771" s="49">
        <v>9.7279999999999998</v>
      </c>
      <c r="E1771" s="49">
        <v>18.588000000000001</v>
      </c>
      <c r="F1771" s="49">
        <v>14.158000000000001</v>
      </c>
      <c r="G1771" s="54">
        <v>6.08</v>
      </c>
      <c r="H1771" s="56">
        <f t="shared" si="81"/>
        <v>59.146239999999999</v>
      </c>
      <c r="I1771" s="57">
        <f t="shared" si="82"/>
        <v>86.080640000000002</v>
      </c>
      <c r="J1771" s="56">
        <f t="shared" si="83"/>
        <v>113.01504000000001</v>
      </c>
    </row>
    <row r="1772" spans="1:10" ht="18">
      <c r="A1772" s="49">
        <v>9951</v>
      </c>
      <c r="B1772" s="49" t="s">
        <v>2045</v>
      </c>
      <c r="D1772" s="49">
        <v>8.0340000000000007</v>
      </c>
      <c r="E1772" s="49">
        <v>18.773999999999994</v>
      </c>
      <c r="F1772" s="49">
        <v>13.403999999999996</v>
      </c>
      <c r="G1772" s="54">
        <v>5.77</v>
      </c>
      <c r="H1772" s="56">
        <f t="shared" si="81"/>
        <v>46.356180000000002</v>
      </c>
      <c r="I1772" s="57">
        <f t="shared" si="82"/>
        <v>77.341079999999977</v>
      </c>
      <c r="J1772" s="56">
        <f t="shared" si="83"/>
        <v>108.32597999999996</v>
      </c>
    </row>
    <row r="1773" spans="1:10" ht="18">
      <c r="A1773" s="49">
        <v>9955</v>
      </c>
      <c r="B1773" s="49" t="s">
        <v>1235</v>
      </c>
      <c r="D1773" s="49">
        <v>0</v>
      </c>
      <c r="E1773" s="49">
        <v>0</v>
      </c>
      <c r="F1773" s="49">
        <v>0</v>
      </c>
      <c r="G1773" s="54">
        <v>-0.79</v>
      </c>
      <c r="H1773" s="56">
        <f t="shared" si="81"/>
        <v>0</v>
      </c>
      <c r="I1773" s="57">
        <f t="shared" si="82"/>
        <v>0</v>
      </c>
      <c r="J1773" s="56">
        <f t="shared" si="83"/>
        <v>0</v>
      </c>
    </row>
    <row r="1774" spans="1:10" ht="18">
      <c r="A1774" s="49">
        <v>9958</v>
      </c>
      <c r="B1774" s="49" t="s">
        <v>1236</v>
      </c>
      <c r="D1774" s="49">
        <v>12.536</v>
      </c>
      <c r="E1774" s="49">
        <v>30.901999999999997</v>
      </c>
      <c r="F1774" s="49">
        <v>21.718999999999998</v>
      </c>
      <c r="G1774" s="54">
        <v>4.46</v>
      </c>
      <c r="H1774" s="56">
        <f t="shared" si="81"/>
        <v>55.910559999999997</v>
      </c>
      <c r="I1774" s="57">
        <f t="shared" si="82"/>
        <v>96.866739999999993</v>
      </c>
      <c r="J1774" s="56">
        <f t="shared" si="83"/>
        <v>137.82291999999998</v>
      </c>
    </row>
    <row r="1775" spans="1:10" ht="18">
      <c r="A1775" s="49">
        <v>9960</v>
      </c>
      <c r="B1775" s="49" t="s">
        <v>2046</v>
      </c>
      <c r="D1775" s="49">
        <v>8.5259999999999998</v>
      </c>
      <c r="E1775" s="49">
        <v>29.339999999999996</v>
      </c>
      <c r="F1775" s="49">
        <v>18.933</v>
      </c>
      <c r="G1775" s="54">
        <v>2.52</v>
      </c>
      <c r="H1775" s="56">
        <f t="shared" si="81"/>
        <v>21.485520000000001</v>
      </c>
      <c r="I1775" s="57">
        <f t="shared" si="82"/>
        <v>47.71116</v>
      </c>
      <c r="J1775" s="56">
        <f t="shared" si="83"/>
        <v>73.936799999999991</v>
      </c>
    </row>
    <row r="1776" spans="1:10" ht="18">
      <c r="A1776" s="49">
        <v>9962</v>
      </c>
      <c r="B1776" s="49" t="s">
        <v>2047</v>
      </c>
      <c r="D1776" s="49">
        <v>8.7739999999999991</v>
      </c>
      <c r="E1776" s="49">
        <v>18.98</v>
      </c>
      <c r="F1776" s="49">
        <v>13.876999999999999</v>
      </c>
      <c r="G1776" s="54">
        <v>1.26</v>
      </c>
      <c r="H1776" s="56">
        <f t="shared" si="81"/>
        <v>11.05524</v>
      </c>
      <c r="I1776" s="57">
        <f t="shared" si="82"/>
        <v>17.485019999999999</v>
      </c>
      <c r="J1776" s="56">
        <f t="shared" si="83"/>
        <v>23.9148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3D29-7508-48D9-9A28-766940779DFA}">
  <sheetPr codeName="工作表6"/>
  <dimension ref="A1:F10"/>
  <sheetViews>
    <sheetView workbookViewId="0">
      <selection activeCell="P12" sqref="P12"/>
    </sheetView>
  </sheetViews>
  <sheetFormatPr baseColWidth="10" defaultColWidth="8.83203125" defaultRowHeight="15"/>
  <sheetData>
    <row r="1" spans="1:6">
      <c r="A1" t="s">
        <v>190</v>
      </c>
      <c r="B1" t="s">
        <v>193</v>
      </c>
      <c r="C1" t="s">
        <v>194</v>
      </c>
      <c r="D1" t="s">
        <v>195</v>
      </c>
      <c r="E1" t="s">
        <v>196</v>
      </c>
      <c r="F1" t="s">
        <v>197</v>
      </c>
    </row>
    <row r="2" spans="1:6">
      <c r="A2" t="s">
        <v>1</v>
      </c>
      <c r="B2">
        <v>0.21384072383134767</v>
      </c>
      <c r="C2">
        <v>0.10283506775275315</v>
      </c>
      <c r="D2">
        <v>0.27366545599423286</v>
      </c>
      <c r="E2">
        <v>0.23059756794692704</v>
      </c>
      <c r="F2">
        <v>0.3169118593198631</v>
      </c>
    </row>
    <row r="3" spans="1:6">
      <c r="A3" t="s">
        <v>191</v>
      </c>
      <c r="B3">
        <v>0.17660734240124279</v>
      </c>
      <c r="C3">
        <v>7.2679761923335681E-2</v>
      </c>
      <c r="D3">
        <v>0.23059773028825725</v>
      </c>
      <c r="E3">
        <v>0.18009780000556602</v>
      </c>
      <c r="F3">
        <v>0.30820200954581128</v>
      </c>
    </row>
    <row r="4" spans="1:6">
      <c r="A4" t="s">
        <v>192</v>
      </c>
      <c r="B4">
        <v>0.20559063286370341</v>
      </c>
      <c r="C4">
        <v>7.6039008716775477E-2</v>
      </c>
      <c r="D4">
        <v>0.25567232889651276</v>
      </c>
      <c r="E4">
        <v>0.21584371140037464</v>
      </c>
      <c r="F4">
        <v>0.31646724880038246</v>
      </c>
    </row>
    <row r="5" spans="1:6">
      <c r="A5" t="s">
        <v>4</v>
      </c>
      <c r="B5">
        <v>3.6030869729535571E-2</v>
      </c>
      <c r="C5">
        <v>4.4766334183801847E-2</v>
      </c>
      <c r="D5">
        <v>2.5966516312142605E-2</v>
      </c>
      <c r="E5">
        <v>3.2510821651879997E-2</v>
      </c>
      <c r="F5">
        <v>3.0682361234129478E-2</v>
      </c>
    </row>
    <row r="6" spans="1:6">
      <c r="A6" t="s">
        <v>5</v>
      </c>
      <c r="B6">
        <v>2.3312378025964118E-2</v>
      </c>
      <c r="C6">
        <v>1.8092059489746494E-2</v>
      </c>
      <c r="D6">
        <v>1.160457171893103E-2</v>
      </c>
      <c r="E6">
        <v>2.3440097818702963E-2</v>
      </c>
      <c r="F6">
        <v>1.6135856565915506E-2</v>
      </c>
    </row>
    <row r="7" spans="1:6">
      <c r="A7" t="s">
        <v>6</v>
      </c>
      <c r="B7">
        <v>8.09</v>
      </c>
      <c r="C7">
        <v>0.85</v>
      </c>
      <c r="D7">
        <v>1.17</v>
      </c>
      <c r="E7">
        <v>2.68</v>
      </c>
      <c r="F7">
        <v>1.99</v>
      </c>
    </row>
    <row r="8" spans="1:6">
      <c r="A8" t="s">
        <v>7</v>
      </c>
      <c r="B8">
        <v>2.0043713052542445</v>
      </c>
      <c r="C8">
        <v>1.4837807732899455</v>
      </c>
      <c r="D8">
        <v>1.4777942755811679</v>
      </c>
      <c r="E8">
        <v>4.6779968142838957</v>
      </c>
      <c r="F8">
        <v>0.75905746699003696</v>
      </c>
    </row>
    <row r="9" spans="1:6">
      <c r="A9" t="s">
        <v>8</v>
      </c>
      <c r="B9">
        <v>0.35298875100829807</v>
      </c>
      <c r="C9">
        <v>0.59585568441981374</v>
      </c>
      <c r="D9">
        <v>0.5530947786975785</v>
      </c>
      <c r="E9">
        <v>0.27900629305234748</v>
      </c>
      <c r="F9">
        <v>0.47409990897418908</v>
      </c>
    </row>
    <row r="10" spans="1:6">
      <c r="A10" t="s">
        <v>9</v>
      </c>
      <c r="B10">
        <v>0.54556818225091663</v>
      </c>
      <c r="C10">
        <v>1.4743636405337244</v>
      </c>
      <c r="D10">
        <v>1.2376109124115564</v>
      </c>
      <c r="E10">
        <v>0.38697465784206159</v>
      </c>
      <c r="F10">
        <v>0.90150185760458534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EFCD0-A63F-4292-9360-7303C0B6A88A}">
  <sheetPr codeName="工作表29"/>
  <dimension ref="A1:K53"/>
  <sheetViews>
    <sheetView topLeftCell="H1" workbookViewId="0">
      <selection activeCell="H26" sqref="H26"/>
    </sheetView>
  </sheetViews>
  <sheetFormatPr baseColWidth="10" defaultColWidth="8.83203125" defaultRowHeight="15"/>
  <cols>
    <col min="1" max="10" width="87.83203125" customWidth="1"/>
    <col min="11" max="11" width="10.5" bestFit="1" customWidth="1"/>
    <col min="12" max="13" width="8.1640625" bestFit="1" customWidth="1"/>
  </cols>
  <sheetData>
    <row r="1" spans="1:11">
      <c r="A1" t="s">
        <v>2122</v>
      </c>
      <c r="B1">
        <v>2016</v>
      </c>
      <c r="C1">
        <v>2017</v>
      </c>
      <c r="D1">
        <v>2018</v>
      </c>
      <c r="E1">
        <v>2019</v>
      </c>
      <c r="F1">
        <v>2020</v>
      </c>
      <c r="G1">
        <v>2021</v>
      </c>
      <c r="H1">
        <v>2022</v>
      </c>
      <c r="I1">
        <v>2023</v>
      </c>
      <c r="J1">
        <v>2024</v>
      </c>
    </row>
    <row r="2" spans="1:11">
      <c r="A2" t="s">
        <v>2123</v>
      </c>
      <c r="B2">
        <v>0.11</v>
      </c>
      <c r="C2">
        <v>0.46</v>
      </c>
      <c r="D2">
        <v>0.23</v>
      </c>
      <c r="E2">
        <v>-0.14000000000000001</v>
      </c>
      <c r="F2">
        <v>-0.15</v>
      </c>
      <c r="G2">
        <v>7.0000000000000007E-2</v>
      </c>
      <c r="H2">
        <v>0.41</v>
      </c>
      <c r="I2">
        <v>0.48</v>
      </c>
      <c r="J2">
        <v>7.0000000000000007E-2</v>
      </c>
    </row>
    <row r="3" spans="1:11">
      <c r="A3" t="s">
        <v>2124</v>
      </c>
      <c r="B3">
        <v>0.21</v>
      </c>
      <c r="C3">
        <v>-0.11</v>
      </c>
      <c r="D3">
        <v>0.32</v>
      </c>
      <c r="E3">
        <v>0.12</v>
      </c>
      <c r="F3">
        <v>-0.01</v>
      </c>
      <c r="G3">
        <v>0.42</v>
      </c>
      <c r="H3">
        <v>0.7</v>
      </c>
      <c r="I3">
        <v>0.33</v>
      </c>
      <c r="J3" t="s">
        <v>271</v>
      </c>
    </row>
    <row r="4" spans="1:11">
      <c r="A4" t="s">
        <v>2125</v>
      </c>
      <c r="B4">
        <v>0.09</v>
      </c>
      <c r="C4" s="52">
        <v>0.08</v>
      </c>
      <c r="D4" s="52">
        <v>0.39</v>
      </c>
      <c r="E4">
        <v>0.02</v>
      </c>
      <c r="F4">
        <v>0.04</v>
      </c>
      <c r="G4">
        <v>0.44</v>
      </c>
      <c r="H4">
        <v>0.68</v>
      </c>
      <c r="I4" s="5">
        <v>0.31</v>
      </c>
      <c r="J4" s="5" t="s">
        <v>271</v>
      </c>
      <c r="K4" s="5"/>
    </row>
    <row r="5" spans="1:11">
      <c r="A5" t="s">
        <v>2126</v>
      </c>
      <c r="B5">
        <v>0.33</v>
      </c>
      <c r="C5" s="52">
        <v>0.23</v>
      </c>
      <c r="D5" s="52">
        <v>0.1</v>
      </c>
      <c r="E5">
        <v>0.13</v>
      </c>
      <c r="F5">
        <v>0.13</v>
      </c>
      <c r="G5">
        <v>0.62</v>
      </c>
      <c r="H5">
        <v>0.56999999999999995</v>
      </c>
      <c r="I5" s="5">
        <v>0.14000000000000001</v>
      </c>
      <c r="J5" s="5" t="s">
        <v>271</v>
      </c>
      <c r="K5" s="5"/>
    </row>
    <row r="6" spans="1:11">
      <c r="A6" t="s">
        <v>2127</v>
      </c>
      <c r="B6" s="55">
        <v>0.74</v>
      </c>
      <c r="C6" s="52">
        <v>0.66</v>
      </c>
      <c r="D6" s="52">
        <v>1.04</v>
      </c>
      <c r="E6" s="55">
        <v>0.13</v>
      </c>
      <c r="F6" s="55">
        <v>0.01</v>
      </c>
      <c r="G6" s="55">
        <v>1.55</v>
      </c>
      <c r="H6" s="55">
        <v>2.36</v>
      </c>
      <c r="I6" s="55">
        <v>1.26</v>
      </c>
      <c r="J6" s="5">
        <v>7.0000000000000007E-2</v>
      </c>
      <c r="K6" s="5"/>
    </row>
    <row r="7" spans="1:11">
      <c r="C7" s="52"/>
      <c r="D7" s="52"/>
      <c r="I7" s="5"/>
      <c r="J7" s="5"/>
      <c r="K7" s="5"/>
    </row>
    <row r="8" spans="1:11">
      <c r="C8" s="52"/>
      <c r="D8" s="52"/>
      <c r="I8" s="5"/>
      <c r="J8" s="5"/>
      <c r="K8" s="5"/>
    </row>
    <row r="9" spans="1:11">
      <c r="C9" s="52"/>
      <c r="D9" s="52"/>
      <c r="I9" s="5"/>
      <c r="J9" s="5"/>
      <c r="K9" s="5"/>
    </row>
    <row r="10" spans="1:11">
      <c r="C10" s="52"/>
      <c r="D10" s="52"/>
      <c r="I10" s="5"/>
      <c r="J10" s="5"/>
      <c r="K10" s="5"/>
    </row>
    <row r="11" spans="1:11">
      <c r="C11" s="52"/>
      <c r="D11" s="52"/>
      <c r="I11" s="5"/>
      <c r="J11" s="5"/>
      <c r="K11" s="5"/>
    </row>
    <row r="12" spans="1:11">
      <c r="C12" s="52"/>
      <c r="D12" s="52"/>
      <c r="I12" s="5"/>
      <c r="J12" s="5"/>
      <c r="K12" s="5"/>
    </row>
    <row r="13" spans="1:11">
      <c r="C13" s="52"/>
      <c r="D13" s="52"/>
      <c r="I13" s="5"/>
      <c r="J13" s="5"/>
      <c r="K13" s="5"/>
    </row>
    <row r="14" spans="1:11">
      <c r="C14" s="52"/>
      <c r="D14" s="52"/>
      <c r="I14" s="5"/>
      <c r="J14" s="5"/>
      <c r="K14" s="5"/>
    </row>
    <row r="15" spans="1:11">
      <c r="A15" s="53"/>
      <c r="C15" s="52"/>
      <c r="D15" s="52"/>
      <c r="I15" s="5"/>
      <c r="J15" s="5"/>
      <c r="K15" s="5"/>
    </row>
    <row r="16" spans="1:11">
      <c r="A16" s="53"/>
      <c r="C16" s="52"/>
      <c r="D16" s="52"/>
      <c r="I16" s="5"/>
      <c r="J16" s="5"/>
      <c r="K16" s="5"/>
    </row>
    <row r="17" spans="1:11">
      <c r="A17" s="53"/>
      <c r="C17" s="52"/>
      <c r="D17" s="52"/>
      <c r="I17" s="5"/>
      <c r="J17" s="5"/>
      <c r="K17" s="5"/>
    </row>
    <row r="18" spans="1:11">
      <c r="A18" s="53"/>
      <c r="C18" s="52"/>
      <c r="D18" s="52"/>
      <c r="I18" s="5"/>
      <c r="J18" s="5"/>
      <c r="K18" s="5"/>
    </row>
    <row r="19" spans="1:11">
      <c r="A19" s="53"/>
      <c r="C19" s="52"/>
      <c r="D19" s="52"/>
      <c r="I19" s="5"/>
      <c r="J19" s="5"/>
      <c r="K19" s="5"/>
    </row>
    <row r="20" spans="1:11">
      <c r="A20" s="53"/>
      <c r="C20" s="52"/>
      <c r="D20" s="52"/>
      <c r="I20" s="5"/>
      <c r="J20" s="5"/>
      <c r="K20" s="5"/>
    </row>
    <row r="21" spans="1:11">
      <c r="A21" s="53"/>
      <c r="C21" s="52"/>
      <c r="D21" s="52"/>
      <c r="I21" s="5"/>
      <c r="J21" s="5"/>
      <c r="K21" s="5"/>
    </row>
    <row r="22" spans="1:11">
      <c r="A22" s="53"/>
      <c r="C22" s="52"/>
      <c r="D22" s="52"/>
      <c r="I22" s="5"/>
      <c r="J22" s="5"/>
      <c r="K22" s="5"/>
    </row>
    <row r="23" spans="1:11">
      <c r="A23" s="53"/>
      <c r="C23" s="52"/>
      <c r="D23" s="52"/>
      <c r="I23" s="5"/>
      <c r="J23" s="5"/>
      <c r="K23" s="5"/>
    </row>
    <row r="24" spans="1:11">
      <c r="A24" s="53"/>
      <c r="C24" s="52"/>
      <c r="D24" s="52"/>
      <c r="I24" s="5"/>
      <c r="J24" s="5"/>
      <c r="K24" s="5"/>
    </row>
    <row r="25" spans="1:11">
      <c r="A25" s="53"/>
      <c r="C25" s="52"/>
      <c r="D25" s="52"/>
      <c r="I25" s="5"/>
      <c r="J25" s="5"/>
      <c r="K25" s="5"/>
    </row>
    <row r="26" spans="1:11">
      <c r="A26" s="53"/>
      <c r="D26" s="52"/>
      <c r="I26" s="5"/>
      <c r="J26" s="5"/>
      <c r="K26" s="5"/>
    </row>
    <row r="27" spans="1:11">
      <c r="A27" s="53"/>
      <c r="C27" s="52"/>
      <c r="D27" s="52"/>
      <c r="I27" s="5"/>
      <c r="J27" s="5"/>
      <c r="K27" s="5"/>
    </row>
    <row r="28" spans="1:11">
      <c r="A28" s="5"/>
      <c r="C28" s="52"/>
      <c r="D28" s="52"/>
      <c r="I28" s="5"/>
      <c r="J28" s="5"/>
      <c r="K28" s="5"/>
    </row>
    <row r="29" spans="1:11">
      <c r="A29" s="53"/>
      <c r="D29" s="52"/>
      <c r="I29" s="5"/>
      <c r="J29" s="5"/>
      <c r="K29" s="5"/>
    </row>
    <row r="30" spans="1:11">
      <c r="A30" s="53"/>
      <c r="D30" s="52"/>
      <c r="J30" s="5"/>
      <c r="K30" s="5"/>
    </row>
    <row r="31" spans="1:11">
      <c r="A31" s="53"/>
    </row>
    <row r="32" spans="1:11">
      <c r="A32" s="53"/>
    </row>
    <row r="33" spans="1:1">
      <c r="A33" s="53"/>
    </row>
    <row r="34" spans="1:1">
      <c r="A34" s="53"/>
    </row>
    <row r="35" spans="1:1">
      <c r="A35" s="53"/>
    </row>
    <row r="36" spans="1:1">
      <c r="A36" s="53"/>
    </row>
    <row r="37" spans="1:1">
      <c r="A37" s="53"/>
    </row>
    <row r="38" spans="1:1">
      <c r="A38" s="5"/>
    </row>
    <row r="39" spans="1:1">
      <c r="A39" s="5"/>
    </row>
    <row r="40" spans="1:1">
      <c r="A40" s="5"/>
    </row>
    <row r="41" spans="1:1">
      <c r="A41" s="5"/>
    </row>
    <row r="42" spans="1:1">
      <c r="A42" s="5"/>
    </row>
    <row r="43" spans="1:1">
      <c r="A43" s="5"/>
    </row>
    <row r="44" spans="1:1">
      <c r="A44" s="53"/>
    </row>
    <row r="45" spans="1:1">
      <c r="A45" s="5"/>
    </row>
    <row r="46" spans="1:1">
      <c r="A46" s="53"/>
    </row>
    <row r="47" spans="1:1">
      <c r="A47" s="53"/>
    </row>
    <row r="48" spans="1:1">
      <c r="A48" s="5"/>
    </row>
    <row r="49" spans="1:1">
      <c r="A49" s="53"/>
    </row>
    <row r="51" spans="1:1">
      <c r="A51" s="5"/>
    </row>
    <row r="53" spans="1:1">
      <c r="A53" s="5"/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02973-A108-433B-B68E-1C17B616154B}">
  <sheetPr codeName="工作表2"/>
  <dimension ref="A1:F5"/>
  <sheetViews>
    <sheetView workbookViewId="0">
      <selection activeCell="F7" sqref="F7"/>
    </sheetView>
  </sheetViews>
  <sheetFormatPr baseColWidth="10" defaultColWidth="8.83203125" defaultRowHeight="15"/>
  <cols>
    <col min="1" max="1" width="25.1640625" bestFit="1" customWidth="1"/>
  </cols>
  <sheetData>
    <row r="1" spans="1:6">
      <c r="B1" t="s">
        <v>198</v>
      </c>
      <c r="C1" t="s">
        <v>199</v>
      </c>
      <c r="D1" t="s">
        <v>200</v>
      </c>
      <c r="E1" t="s">
        <v>201</v>
      </c>
      <c r="F1" t="s">
        <v>202</v>
      </c>
    </row>
    <row r="2" spans="1:6">
      <c r="A2" t="s">
        <v>2359</v>
      </c>
      <c r="B2">
        <v>0.32639686412531527</v>
      </c>
      <c r="C2">
        <v>6.3873654010204575E-2</v>
      </c>
      <c r="D2">
        <v>0.34586665117298165</v>
      </c>
      <c r="E2">
        <v>0.18531404303978427</v>
      </c>
      <c r="F2">
        <v>0.30838425834562555</v>
      </c>
    </row>
    <row r="3" spans="1:6">
      <c r="A3" t="s">
        <v>2360</v>
      </c>
      <c r="B3">
        <v>0.28013590357969659</v>
      </c>
      <c r="C3">
        <v>0.1675785066294487</v>
      </c>
      <c r="D3">
        <v>1.2475672789406236</v>
      </c>
      <c r="E3">
        <v>1.9563656309462796</v>
      </c>
      <c r="F3">
        <v>2.7940996434382956</v>
      </c>
    </row>
    <row r="4" spans="1:6">
      <c r="A4" t="s">
        <v>2361</v>
      </c>
      <c r="B4">
        <v>0.40557404804199526</v>
      </c>
      <c r="C4">
        <v>0.18989942148389305</v>
      </c>
      <c r="D4">
        <v>1.8952309118930073</v>
      </c>
      <c r="E4">
        <v>4.3670335158054012</v>
      </c>
      <c r="F4">
        <v>3.1578381640776558</v>
      </c>
    </row>
    <row r="5" spans="1:6">
      <c r="A5" t="s">
        <v>2362</v>
      </c>
      <c r="B5">
        <v>1.8771108898320004</v>
      </c>
      <c r="C5">
        <v>0.47913520592568615</v>
      </c>
      <c r="D5">
        <v>1.0454201220856929</v>
      </c>
      <c r="E5">
        <v>1.7311040818095156</v>
      </c>
      <c r="F5">
        <v>12.106429110810387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0A2A8-870E-4997-A346-3427E461C006}">
  <sheetPr codeName="工作表21"/>
  <dimension ref="A1:G42"/>
  <sheetViews>
    <sheetView topLeftCell="A16" workbookViewId="0">
      <selection activeCell="F37" sqref="F37"/>
    </sheetView>
  </sheetViews>
  <sheetFormatPr baseColWidth="10" defaultColWidth="8.83203125" defaultRowHeight="15"/>
  <cols>
    <col min="1" max="1" width="6.5" bestFit="1" customWidth="1"/>
    <col min="2" max="2" width="20.1640625" style="2" bestFit="1" customWidth="1"/>
    <col min="3" max="3" width="25.1640625" bestFit="1" customWidth="1"/>
    <col min="5" max="5" width="6" bestFit="1" customWidth="1"/>
    <col min="6" max="6" width="20.1640625" bestFit="1" customWidth="1"/>
    <col min="7" max="7" width="25.1640625" bestFit="1" customWidth="1"/>
  </cols>
  <sheetData>
    <row r="1" spans="1:7" ht="18">
      <c r="A1" s="6" t="s">
        <v>60</v>
      </c>
      <c r="B1" s="6" t="s">
        <v>61</v>
      </c>
      <c r="C1" s="9" t="s">
        <v>63</v>
      </c>
      <c r="E1" s="13" t="s">
        <v>62</v>
      </c>
      <c r="F1" s="12" t="s">
        <v>61</v>
      </c>
      <c r="G1" s="9" t="s">
        <v>63</v>
      </c>
    </row>
    <row r="2" spans="1:7" ht="18">
      <c r="A2" s="8">
        <v>1</v>
      </c>
      <c r="B2" s="8" t="s">
        <v>57</v>
      </c>
      <c r="C2" s="10" t="s">
        <v>11</v>
      </c>
      <c r="E2" s="11">
        <v>1</v>
      </c>
      <c r="F2" s="11" t="s">
        <v>161</v>
      </c>
      <c r="G2" s="10" t="s">
        <v>142</v>
      </c>
    </row>
    <row r="3" spans="1:7" ht="18">
      <c r="A3" s="8">
        <f>A2+1</f>
        <v>2</v>
      </c>
      <c r="B3" s="8" t="s">
        <v>58</v>
      </c>
      <c r="C3" s="10" t="s">
        <v>12</v>
      </c>
      <c r="E3" s="11">
        <f>E2+1</f>
        <v>2</v>
      </c>
      <c r="F3" s="11" t="s">
        <v>162</v>
      </c>
      <c r="G3" s="10" t="s">
        <v>143</v>
      </c>
    </row>
    <row r="4" spans="1:7" ht="18">
      <c r="A4" s="8">
        <f t="shared" ref="A4:A37" si="0">A3+1</f>
        <v>3</v>
      </c>
      <c r="B4" s="8" t="s">
        <v>64</v>
      </c>
      <c r="C4" s="10" t="s">
        <v>13</v>
      </c>
      <c r="E4" s="11">
        <f t="shared" ref="E4:E23" si="1">E3+1</f>
        <v>3</v>
      </c>
      <c r="F4" s="11" t="s">
        <v>163</v>
      </c>
      <c r="G4" s="10" t="s">
        <v>144</v>
      </c>
    </row>
    <row r="5" spans="1:7" ht="18">
      <c r="A5" s="8">
        <f t="shared" si="0"/>
        <v>4</v>
      </c>
      <c r="B5" s="8" t="s">
        <v>59</v>
      </c>
      <c r="C5" s="10" t="s">
        <v>14</v>
      </c>
      <c r="E5" s="11">
        <f t="shared" si="1"/>
        <v>4</v>
      </c>
      <c r="F5" s="11" t="s">
        <v>164</v>
      </c>
      <c r="G5" s="10" t="s">
        <v>145</v>
      </c>
    </row>
    <row r="6" spans="1:7" ht="18">
      <c r="A6" s="8">
        <f t="shared" si="0"/>
        <v>5</v>
      </c>
      <c r="B6" s="8" t="s">
        <v>65</v>
      </c>
      <c r="C6" s="10" t="s">
        <v>99</v>
      </c>
      <c r="E6" s="11">
        <f t="shared" si="1"/>
        <v>5</v>
      </c>
      <c r="F6" s="11" t="s">
        <v>165</v>
      </c>
      <c r="G6" s="10" t="s">
        <v>146</v>
      </c>
    </row>
    <row r="7" spans="1:7" ht="18">
      <c r="A7" s="8">
        <f t="shared" si="0"/>
        <v>6</v>
      </c>
      <c r="B7" s="8" t="s">
        <v>66</v>
      </c>
      <c r="C7" s="10" t="s">
        <v>15</v>
      </c>
      <c r="E7" s="11">
        <f t="shared" si="1"/>
        <v>6</v>
      </c>
      <c r="F7" s="11" t="s">
        <v>166</v>
      </c>
      <c r="G7" s="10" t="s">
        <v>147</v>
      </c>
    </row>
    <row r="8" spans="1:7" ht="18">
      <c r="A8" s="8">
        <f t="shared" si="0"/>
        <v>7</v>
      </c>
      <c r="B8" s="8" t="s">
        <v>67</v>
      </c>
      <c r="C8" s="10" t="s">
        <v>16</v>
      </c>
      <c r="E8" s="11">
        <f t="shared" si="1"/>
        <v>7</v>
      </c>
      <c r="F8" s="11" t="s">
        <v>167</v>
      </c>
      <c r="G8" s="10" t="s">
        <v>148</v>
      </c>
    </row>
    <row r="9" spans="1:7" ht="18">
      <c r="A9" s="8">
        <f t="shared" si="0"/>
        <v>8</v>
      </c>
      <c r="B9" s="8" t="s">
        <v>68</v>
      </c>
      <c r="C9" s="10" t="s">
        <v>17</v>
      </c>
      <c r="E9" s="11">
        <f t="shared" si="1"/>
        <v>8</v>
      </c>
      <c r="F9" s="11" t="s">
        <v>168</v>
      </c>
      <c r="G9" s="10" t="s">
        <v>149</v>
      </c>
    </row>
    <row r="10" spans="1:7" ht="18">
      <c r="A10" s="8">
        <f t="shared" si="0"/>
        <v>9</v>
      </c>
      <c r="B10" s="8" t="s">
        <v>69</v>
      </c>
      <c r="C10" s="10" t="s">
        <v>18</v>
      </c>
      <c r="E10" s="11">
        <f t="shared" si="1"/>
        <v>9</v>
      </c>
      <c r="F10" s="11" t="s">
        <v>169</v>
      </c>
      <c r="G10" s="10" t="s">
        <v>150</v>
      </c>
    </row>
    <row r="11" spans="1:7" ht="18">
      <c r="A11" s="8">
        <f t="shared" si="0"/>
        <v>10</v>
      </c>
      <c r="B11" s="8" t="s">
        <v>70</v>
      </c>
      <c r="C11" s="10" t="s">
        <v>19</v>
      </c>
      <c r="E11" s="11">
        <f t="shared" si="1"/>
        <v>10</v>
      </c>
      <c r="F11" s="11" t="s">
        <v>170</v>
      </c>
      <c r="G11" s="10" t="s">
        <v>151</v>
      </c>
    </row>
    <row r="12" spans="1:7" ht="18">
      <c r="A12" s="8">
        <f t="shared" si="0"/>
        <v>11</v>
      </c>
      <c r="B12" s="8" t="s">
        <v>71</v>
      </c>
      <c r="C12" s="10" t="s">
        <v>20</v>
      </c>
      <c r="E12" s="11">
        <f t="shared" si="1"/>
        <v>11</v>
      </c>
      <c r="F12" s="11" t="s">
        <v>171</v>
      </c>
      <c r="G12" s="10" t="s">
        <v>152</v>
      </c>
    </row>
    <row r="13" spans="1:7" ht="18">
      <c r="A13" s="8">
        <f t="shared" si="0"/>
        <v>12</v>
      </c>
      <c r="B13" s="8" t="s">
        <v>72</v>
      </c>
      <c r="C13" s="10" t="s">
        <v>22</v>
      </c>
      <c r="E13" s="11">
        <f t="shared" si="1"/>
        <v>12</v>
      </c>
      <c r="F13" s="11" t="s">
        <v>172</v>
      </c>
      <c r="G13" s="10" t="s">
        <v>153</v>
      </c>
    </row>
    <row r="14" spans="1:7" ht="18">
      <c r="A14" s="8">
        <f t="shared" si="0"/>
        <v>13</v>
      </c>
      <c r="B14" s="8" t="s">
        <v>73</v>
      </c>
      <c r="C14" s="10" t="s">
        <v>23</v>
      </c>
      <c r="E14" s="11">
        <f t="shared" si="1"/>
        <v>13</v>
      </c>
      <c r="F14" s="11" t="s">
        <v>173</v>
      </c>
      <c r="G14" s="10" t="s">
        <v>154</v>
      </c>
    </row>
    <row r="15" spans="1:7" ht="18">
      <c r="A15" s="8">
        <f t="shared" si="0"/>
        <v>14</v>
      </c>
      <c r="B15" s="8" t="s">
        <v>74</v>
      </c>
      <c r="C15" s="10" t="s">
        <v>24</v>
      </c>
      <c r="E15" s="11">
        <f t="shared" si="1"/>
        <v>14</v>
      </c>
      <c r="F15" s="11" t="s">
        <v>174</v>
      </c>
      <c r="G15" s="10" t="s">
        <v>155</v>
      </c>
    </row>
    <row r="16" spans="1:7" ht="18">
      <c r="A16" s="8">
        <f t="shared" si="0"/>
        <v>15</v>
      </c>
      <c r="B16" s="8" t="s">
        <v>75</v>
      </c>
      <c r="C16" s="10" t="s">
        <v>27</v>
      </c>
      <c r="E16" s="11">
        <f t="shared" si="1"/>
        <v>15</v>
      </c>
      <c r="F16" s="11" t="s">
        <v>175</v>
      </c>
      <c r="G16" s="10" t="s">
        <v>156</v>
      </c>
    </row>
    <row r="17" spans="1:7" ht="18">
      <c r="A17" s="8">
        <f t="shared" si="0"/>
        <v>16</v>
      </c>
      <c r="B17" s="8" t="s">
        <v>76</v>
      </c>
      <c r="C17" s="10" t="s">
        <v>28</v>
      </c>
      <c r="E17" s="11">
        <f t="shared" si="1"/>
        <v>16</v>
      </c>
      <c r="F17" s="11" t="s">
        <v>176</v>
      </c>
      <c r="G17" s="10" t="s">
        <v>157</v>
      </c>
    </row>
    <row r="18" spans="1:7" ht="18">
      <c r="A18" s="8">
        <f t="shared" si="0"/>
        <v>17</v>
      </c>
      <c r="B18" s="8" t="s">
        <v>77</v>
      </c>
      <c r="C18" s="10" t="s">
        <v>29</v>
      </c>
      <c r="E18" s="11">
        <f t="shared" si="1"/>
        <v>17</v>
      </c>
      <c r="F18" s="11" t="s">
        <v>177</v>
      </c>
      <c r="G18" s="10" t="s">
        <v>158</v>
      </c>
    </row>
    <row r="19" spans="1:7" ht="18">
      <c r="A19" s="8">
        <f t="shared" si="0"/>
        <v>18</v>
      </c>
      <c r="B19" s="8" t="s">
        <v>78</v>
      </c>
      <c r="C19" s="10" t="s">
        <v>30</v>
      </c>
      <c r="E19" s="11">
        <f t="shared" si="1"/>
        <v>18</v>
      </c>
      <c r="F19" s="11" t="s">
        <v>178</v>
      </c>
      <c r="G19" s="10" t="s">
        <v>159</v>
      </c>
    </row>
    <row r="20" spans="1:7" ht="18">
      <c r="A20" s="8">
        <f t="shared" si="0"/>
        <v>19</v>
      </c>
      <c r="B20" s="8" t="s">
        <v>79</v>
      </c>
      <c r="C20" s="10" t="s">
        <v>31</v>
      </c>
      <c r="E20" s="11">
        <f t="shared" si="1"/>
        <v>19</v>
      </c>
      <c r="F20" s="11" t="s">
        <v>179</v>
      </c>
      <c r="G20" s="10" t="s">
        <v>160</v>
      </c>
    </row>
    <row r="21" spans="1:7" ht="18">
      <c r="A21" s="8">
        <f t="shared" si="0"/>
        <v>20</v>
      </c>
      <c r="B21" s="8" t="s">
        <v>80</v>
      </c>
      <c r="C21" s="10" t="s">
        <v>32</v>
      </c>
      <c r="E21" s="11">
        <f t="shared" si="1"/>
        <v>20</v>
      </c>
      <c r="F21" s="11" t="s">
        <v>180</v>
      </c>
      <c r="G21" s="10" t="s">
        <v>57</v>
      </c>
    </row>
    <row r="22" spans="1:7" ht="18">
      <c r="A22" s="8">
        <f t="shared" si="0"/>
        <v>21</v>
      </c>
      <c r="B22" s="8" t="s">
        <v>96</v>
      </c>
      <c r="C22" s="10" t="s">
        <v>33</v>
      </c>
      <c r="E22" s="11">
        <f t="shared" si="1"/>
        <v>21</v>
      </c>
      <c r="F22" s="11" t="s">
        <v>181</v>
      </c>
      <c r="G22" s="10" t="s">
        <v>58</v>
      </c>
    </row>
    <row r="23" spans="1:7" ht="18">
      <c r="A23" s="8">
        <f t="shared" si="0"/>
        <v>22</v>
      </c>
      <c r="B23" s="8" t="s">
        <v>81</v>
      </c>
      <c r="C23" s="10" t="s">
        <v>34</v>
      </c>
      <c r="E23" s="11">
        <f t="shared" si="1"/>
        <v>22</v>
      </c>
      <c r="F23" s="11" t="s">
        <v>182</v>
      </c>
      <c r="G23" s="10" t="s">
        <v>59</v>
      </c>
    </row>
    <row r="24" spans="1:7" ht="18">
      <c r="A24" s="8">
        <f t="shared" si="0"/>
        <v>23</v>
      </c>
      <c r="B24" s="8" t="s">
        <v>82</v>
      </c>
      <c r="C24" s="10" t="s">
        <v>35</v>
      </c>
      <c r="E24" s="11" t="s">
        <v>184</v>
      </c>
      <c r="F24" s="11" t="s">
        <v>185</v>
      </c>
      <c r="G24" s="10" t="s">
        <v>141</v>
      </c>
    </row>
    <row r="25" spans="1:7" ht="18">
      <c r="A25" s="8">
        <f t="shared" si="0"/>
        <v>24</v>
      </c>
      <c r="B25" s="8" t="s">
        <v>83</v>
      </c>
      <c r="C25" s="10" t="s">
        <v>36</v>
      </c>
    </row>
    <row r="26" spans="1:7" ht="18">
      <c r="A26" s="8">
        <f t="shared" si="0"/>
        <v>25</v>
      </c>
      <c r="B26" s="8" t="s">
        <v>84</v>
      </c>
      <c r="C26" s="10" t="s">
        <v>37</v>
      </c>
    </row>
    <row r="27" spans="1:7" ht="18">
      <c r="A27" s="8">
        <f t="shared" si="0"/>
        <v>26</v>
      </c>
      <c r="B27" s="8" t="s">
        <v>85</v>
      </c>
      <c r="C27" s="10" t="s">
        <v>38</v>
      </c>
    </row>
    <row r="28" spans="1:7" ht="18">
      <c r="A28" s="8">
        <f t="shared" si="0"/>
        <v>27</v>
      </c>
      <c r="B28" s="8" t="s">
        <v>86</v>
      </c>
      <c r="C28" s="10" t="s">
        <v>39</v>
      </c>
    </row>
    <row r="29" spans="1:7" ht="18">
      <c r="A29" s="8">
        <f t="shared" si="0"/>
        <v>28</v>
      </c>
      <c r="B29" s="8" t="s">
        <v>87</v>
      </c>
      <c r="C29" s="10" t="s">
        <v>40</v>
      </c>
    </row>
    <row r="30" spans="1:7" ht="18">
      <c r="A30" s="8">
        <f t="shared" si="0"/>
        <v>29</v>
      </c>
      <c r="B30" s="8" t="s">
        <v>88</v>
      </c>
      <c r="C30" s="10" t="s">
        <v>41</v>
      </c>
    </row>
    <row r="31" spans="1:7" ht="18">
      <c r="A31" s="8">
        <f t="shared" si="0"/>
        <v>30</v>
      </c>
      <c r="B31" s="8" t="s">
        <v>89</v>
      </c>
      <c r="C31" s="10" t="s">
        <v>42</v>
      </c>
    </row>
    <row r="32" spans="1:7" ht="18">
      <c r="A32" s="8">
        <f t="shared" si="0"/>
        <v>31</v>
      </c>
      <c r="B32" s="8" t="s">
        <v>90</v>
      </c>
      <c r="C32" s="10" t="s">
        <v>43</v>
      </c>
    </row>
    <row r="33" spans="1:7" ht="18">
      <c r="A33" s="8">
        <f t="shared" si="0"/>
        <v>32</v>
      </c>
      <c r="B33" s="8" t="s">
        <v>91</v>
      </c>
      <c r="C33" s="10" t="s">
        <v>44</v>
      </c>
    </row>
    <row r="34" spans="1:7" ht="18">
      <c r="A34" s="8">
        <f t="shared" si="0"/>
        <v>33</v>
      </c>
      <c r="B34" s="8" t="s">
        <v>92</v>
      </c>
      <c r="C34" s="10" t="s">
        <v>45</v>
      </c>
    </row>
    <row r="35" spans="1:7" ht="18">
      <c r="A35" s="8">
        <f t="shared" si="0"/>
        <v>34</v>
      </c>
      <c r="B35" s="8" t="s">
        <v>93</v>
      </c>
      <c r="C35" s="10" t="s">
        <v>46</v>
      </c>
    </row>
    <row r="36" spans="1:7" ht="18">
      <c r="A36" s="8">
        <f t="shared" si="0"/>
        <v>35</v>
      </c>
      <c r="B36" s="8" t="s">
        <v>94</v>
      </c>
      <c r="C36" s="10" t="s">
        <v>47</v>
      </c>
    </row>
    <row r="37" spans="1:7" ht="18">
      <c r="A37" s="8">
        <f t="shared" si="0"/>
        <v>36</v>
      </c>
      <c r="B37" s="8" t="s">
        <v>95</v>
      </c>
      <c r="C37" s="10" t="s">
        <v>48</v>
      </c>
    </row>
    <row r="38" spans="1:7" ht="18">
      <c r="A38" s="8" t="s">
        <v>97</v>
      </c>
      <c r="B38" s="8" t="s">
        <v>98</v>
      </c>
      <c r="C38" s="10" t="s">
        <v>10</v>
      </c>
    </row>
    <row r="42" spans="1:7" ht="18">
      <c r="G42" s="7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D851E-8818-4658-B63C-218686D8AB8D}">
  <sheetPr codeName="工作表27"/>
  <dimension ref="A1:C1810"/>
  <sheetViews>
    <sheetView topLeftCell="B987" workbookViewId="0">
      <selection activeCell="E1005" sqref="E1005"/>
    </sheetView>
  </sheetViews>
  <sheetFormatPr baseColWidth="10" defaultColWidth="8.83203125" defaultRowHeight="15"/>
  <cols>
    <col min="1" max="1" width="15.6640625" bestFit="1" customWidth="1"/>
    <col min="2" max="2" width="16.83203125" bestFit="1" customWidth="1"/>
  </cols>
  <sheetData>
    <row r="1" spans="1:3" ht="18">
      <c r="A1" t="s">
        <v>261</v>
      </c>
      <c r="B1" t="s">
        <v>262</v>
      </c>
      <c r="C1" s="48" t="s">
        <v>265</v>
      </c>
    </row>
    <row r="2" spans="1:3" ht="18">
      <c r="A2">
        <v>1101</v>
      </c>
      <c r="B2" t="s">
        <v>268</v>
      </c>
      <c r="C2" s="50">
        <v>29.53</v>
      </c>
    </row>
    <row r="3" spans="1:3" ht="18">
      <c r="A3">
        <v>1102</v>
      </c>
      <c r="B3" t="s">
        <v>269</v>
      </c>
      <c r="C3" s="50">
        <v>14.44</v>
      </c>
    </row>
    <row r="4" spans="1:3" ht="18">
      <c r="A4">
        <v>1103</v>
      </c>
      <c r="B4" t="s">
        <v>270</v>
      </c>
      <c r="C4" s="50">
        <v>73.27</v>
      </c>
    </row>
    <row r="5" spans="1:3" ht="18">
      <c r="A5">
        <v>1104</v>
      </c>
      <c r="B5" t="s">
        <v>272</v>
      </c>
      <c r="C5" s="50">
        <v>8.8699999999999992</v>
      </c>
    </row>
    <row r="6" spans="1:3" ht="18">
      <c r="A6">
        <v>1108</v>
      </c>
      <c r="B6" t="s">
        <v>273</v>
      </c>
      <c r="C6" s="50">
        <v>8.59</v>
      </c>
    </row>
    <row r="7" spans="1:3" ht="18">
      <c r="A7">
        <v>1109</v>
      </c>
      <c r="B7" t="s">
        <v>274</v>
      </c>
      <c r="C7" s="50">
        <v>10.74</v>
      </c>
    </row>
    <row r="8" spans="1:3" ht="18">
      <c r="A8">
        <v>1110</v>
      </c>
      <c r="B8" t="s">
        <v>275</v>
      </c>
      <c r="C8" s="50">
        <v>40</v>
      </c>
    </row>
    <row r="9" spans="1:3" ht="18">
      <c r="A9">
        <v>1201</v>
      </c>
      <c r="B9" t="s">
        <v>276</v>
      </c>
      <c r="C9" s="50">
        <v>68.040000000000006</v>
      </c>
    </row>
    <row r="10" spans="1:3" ht="18">
      <c r="A10">
        <v>1203</v>
      </c>
      <c r="B10" t="s">
        <v>277</v>
      </c>
      <c r="C10" s="50">
        <v>33.08</v>
      </c>
    </row>
    <row r="11" spans="1:3" ht="18">
      <c r="A11">
        <v>1210</v>
      </c>
      <c r="B11" t="s">
        <v>278</v>
      </c>
      <c r="C11" s="50">
        <v>13.3</v>
      </c>
    </row>
    <row r="12" spans="1:3" ht="18">
      <c r="A12">
        <v>1213</v>
      </c>
      <c r="B12" t="s">
        <v>279</v>
      </c>
      <c r="C12" s="50" t="s">
        <v>271</v>
      </c>
    </row>
    <row r="13" spans="1:3" ht="18">
      <c r="A13">
        <v>1215</v>
      </c>
      <c r="B13" t="s">
        <v>280</v>
      </c>
      <c r="C13" s="50">
        <v>13.93</v>
      </c>
    </row>
    <row r="14" spans="1:3" ht="18">
      <c r="A14">
        <v>1216</v>
      </c>
      <c r="B14" t="s">
        <v>281</v>
      </c>
      <c r="C14" s="50">
        <v>21.91</v>
      </c>
    </row>
    <row r="15" spans="1:3" ht="18">
      <c r="A15">
        <v>1217</v>
      </c>
      <c r="B15" t="s">
        <v>282</v>
      </c>
      <c r="C15" s="50">
        <v>36.520000000000003</v>
      </c>
    </row>
    <row r="16" spans="1:3" ht="18">
      <c r="A16">
        <v>1218</v>
      </c>
      <c r="B16" t="s">
        <v>283</v>
      </c>
      <c r="C16" s="50">
        <v>2.1</v>
      </c>
    </row>
    <row r="17" spans="1:3" ht="18">
      <c r="A17">
        <v>1219</v>
      </c>
      <c r="B17" t="s">
        <v>284</v>
      </c>
      <c r="C17" s="50">
        <v>25.73</v>
      </c>
    </row>
    <row r="18" spans="1:3" ht="18">
      <c r="A18">
        <v>1220</v>
      </c>
      <c r="B18" t="s">
        <v>285</v>
      </c>
      <c r="C18" s="50">
        <v>32.61</v>
      </c>
    </row>
    <row r="19" spans="1:3" ht="18">
      <c r="A19">
        <v>1225</v>
      </c>
      <c r="B19" t="s">
        <v>286</v>
      </c>
      <c r="C19" s="50">
        <v>47.98</v>
      </c>
    </row>
    <row r="20" spans="1:3" ht="18">
      <c r="A20">
        <v>1227</v>
      </c>
      <c r="B20" t="s">
        <v>287</v>
      </c>
      <c r="C20" s="50">
        <v>29.92</v>
      </c>
    </row>
    <row r="21" spans="1:3" ht="18">
      <c r="A21">
        <v>1229</v>
      </c>
      <c r="B21" t="s">
        <v>288</v>
      </c>
      <c r="C21" s="50">
        <v>26.36</v>
      </c>
    </row>
    <row r="22" spans="1:3" ht="18">
      <c r="A22">
        <v>1231</v>
      </c>
      <c r="B22" t="s">
        <v>289</v>
      </c>
      <c r="C22" s="50">
        <v>28.38</v>
      </c>
    </row>
    <row r="23" spans="1:3" ht="18">
      <c r="A23">
        <v>1232</v>
      </c>
      <c r="B23" t="s">
        <v>290</v>
      </c>
      <c r="C23" s="50">
        <v>20.3</v>
      </c>
    </row>
    <row r="24" spans="1:3" ht="18">
      <c r="A24">
        <v>1233</v>
      </c>
      <c r="B24" t="s">
        <v>291</v>
      </c>
      <c r="C24" s="50">
        <v>30.3</v>
      </c>
    </row>
    <row r="25" spans="1:3" ht="18">
      <c r="A25">
        <v>1234</v>
      </c>
      <c r="B25" t="s">
        <v>292</v>
      </c>
      <c r="C25" s="50">
        <v>16.88</v>
      </c>
    </row>
    <row r="26" spans="1:3" ht="18">
      <c r="A26">
        <v>1235</v>
      </c>
      <c r="B26" t="s">
        <v>293</v>
      </c>
      <c r="C26" s="50">
        <v>48.63</v>
      </c>
    </row>
    <row r="27" spans="1:3" ht="18">
      <c r="A27">
        <v>1236</v>
      </c>
      <c r="B27" t="s">
        <v>294</v>
      </c>
      <c r="C27" s="50">
        <v>55.47</v>
      </c>
    </row>
    <row r="28" spans="1:3" ht="18">
      <c r="A28">
        <v>1256</v>
      </c>
      <c r="B28" t="s">
        <v>295</v>
      </c>
      <c r="C28" s="50">
        <v>16.38</v>
      </c>
    </row>
    <row r="29" spans="1:3" ht="18">
      <c r="A29">
        <v>1301</v>
      </c>
      <c r="B29" t="s">
        <v>296</v>
      </c>
      <c r="C29" s="50">
        <v>176</v>
      </c>
    </row>
    <row r="30" spans="1:3" ht="18">
      <c r="A30">
        <v>1303</v>
      </c>
      <c r="B30" t="s">
        <v>297</v>
      </c>
      <c r="C30" s="50">
        <v>96.38</v>
      </c>
    </row>
    <row r="31" spans="1:3" ht="18">
      <c r="A31">
        <v>1304</v>
      </c>
      <c r="B31" t="s">
        <v>298</v>
      </c>
      <c r="C31" s="50">
        <v>32.380000000000003</v>
      </c>
    </row>
    <row r="32" spans="1:3" ht="18">
      <c r="A32">
        <v>1305</v>
      </c>
      <c r="B32" t="s">
        <v>299</v>
      </c>
      <c r="C32" s="50">
        <v>39.82</v>
      </c>
    </row>
    <row r="33" spans="1:3" ht="18">
      <c r="A33">
        <v>1307</v>
      </c>
      <c r="B33" t="s">
        <v>300</v>
      </c>
      <c r="C33" s="50">
        <v>15.12</v>
      </c>
    </row>
    <row r="34" spans="1:3" ht="18">
      <c r="A34">
        <v>1308</v>
      </c>
      <c r="B34" t="s">
        <v>301</v>
      </c>
      <c r="C34" s="50">
        <v>24.38</v>
      </c>
    </row>
    <row r="35" spans="1:3" ht="18">
      <c r="A35">
        <v>1309</v>
      </c>
      <c r="B35" t="s">
        <v>302</v>
      </c>
      <c r="C35" s="50" t="s">
        <v>271</v>
      </c>
    </row>
    <row r="36" spans="1:3" ht="18">
      <c r="A36">
        <v>1310</v>
      </c>
      <c r="B36" t="s">
        <v>303</v>
      </c>
      <c r="C36" s="50" t="s">
        <v>271</v>
      </c>
    </row>
    <row r="37" spans="1:3" ht="18">
      <c r="A37">
        <v>1312</v>
      </c>
      <c r="B37" t="s">
        <v>304</v>
      </c>
      <c r="C37" s="50" t="s">
        <v>271</v>
      </c>
    </row>
    <row r="38" spans="1:3" ht="18">
      <c r="A38">
        <v>1313</v>
      </c>
      <c r="B38" t="s">
        <v>305</v>
      </c>
      <c r="C38" s="50" t="s">
        <v>271</v>
      </c>
    </row>
    <row r="39" spans="1:3" ht="18">
      <c r="A39">
        <v>1314</v>
      </c>
      <c r="B39" t="s">
        <v>306</v>
      </c>
      <c r="C39" s="50" t="s">
        <v>271</v>
      </c>
    </row>
    <row r="40" spans="1:3" ht="18">
      <c r="A40">
        <v>1315</v>
      </c>
      <c r="B40" t="s">
        <v>307</v>
      </c>
      <c r="C40" s="50">
        <v>17.010000000000002</v>
      </c>
    </row>
    <row r="41" spans="1:3" ht="18">
      <c r="A41">
        <v>1316</v>
      </c>
      <c r="B41" t="s">
        <v>308</v>
      </c>
      <c r="C41" s="50" t="s">
        <v>271</v>
      </c>
    </row>
    <row r="42" spans="1:3" ht="18">
      <c r="A42">
        <v>1319</v>
      </c>
      <c r="B42" t="s">
        <v>309</v>
      </c>
      <c r="C42" s="50">
        <v>17.510000000000002</v>
      </c>
    </row>
    <row r="43" spans="1:3" ht="18">
      <c r="A43">
        <v>1321</v>
      </c>
      <c r="B43" t="s">
        <v>310</v>
      </c>
      <c r="C43" s="50">
        <v>100.14</v>
      </c>
    </row>
    <row r="44" spans="1:3" ht="18">
      <c r="A44">
        <v>1323</v>
      </c>
      <c r="B44" t="s">
        <v>311</v>
      </c>
      <c r="C44" s="50">
        <v>22.75</v>
      </c>
    </row>
    <row r="45" spans="1:3" ht="18">
      <c r="A45">
        <v>1324</v>
      </c>
      <c r="B45" t="s">
        <v>312</v>
      </c>
      <c r="C45" s="50">
        <v>30.88</v>
      </c>
    </row>
    <row r="46" spans="1:3" ht="18">
      <c r="A46">
        <v>1325</v>
      </c>
      <c r="B46" t="s">
        <v>313</v>
      </c>
      <c r="C46" s="50">
        <v>101.03</v>
      </c>
    </row>
    <row r="47" spans="1:3" ht="18">
      <c r="A47">
        <v>1326</v>
      </c>
      <c r="B47" t="s">
        <v>314</v>
      </c>
      <c r="C47" s="50">
        <v>389.38</v>
      </c>
    </row>
    <row r="48" spans="1:3" ht="18">
      <c r="A48">
        <v>1337</v>
      </c>
      <c r="B48" t="s">
        <v>315</v>
      </c>
      <c r="C48" s="50" t="s">
        <v>271</v>
      </c>
    </row>
    <row r="49" spans="1:3" ht="18">
      <c r="A49">
        <v>1338</v>
      </c>
      <c r="B49" t="s">
        <v>316</v>
      </c>
      <c r="C49" s="50" t="s">
        <v>271</v>
      </c>
    </row>
    <row r="50" spans="1:3" ht="18">
      <c r="A50">
        <v>1339</v>
      </c>
      <c r="B50" t="s">
        <v>317</v>
      </c>
      <c r="C50" s="50">
        <v>14.75</v>
      </c>
    </row>
    <row r="51" spans="1:3" ht="18">
      <c r="A51">
        <v>1340</v>
      </c>
      <c r="B51" t="s">
        <v>318</v>
      </c>
      <c r="C51" s="50" t="s">
        <v>271</v>
      </c>
    </row>
    <row r="52" spans="1:3" ht="18">
      <c r="A52">
        <v>1341</v>
      </c>
      <c r="B52" t="s">
        <v>319</v>
      </c>
      <c r="C52" s="50">
        <v>13.17</v>
      </c>
    </row>
    <row r="53" spans="1:3" ht="18">
      <c r="A53">
        <v>1342</v>
      </c>
      <c r="B53" t="s">
        <v>320</v>
      </c>
      <c r="C53" s="50">
        <v>15.79</v>
      </c>
    </row>
    <row r="54" spans="1:3" ht="18">
      <c r="A54">
        <v>1402</v>
      </c>
      <c r="B54" t="s">
        <v>321</v>
      </c>
      <c r="C54" s="50">
        <v>29.16</v>
      </c>
    </row>
    <row r="55" spans="1:3" ht="18">
      <c r="A55">
        <v>1409</v>
      </c>
      <c r="B55" t="s">
        <v>322</v>
      </c>
      <c r="C55" s="50">
        <v>36.159999999999997</v>
      </c>
    </row>
    <row r="56" spans="1:3" ht="18">
      <c r="A56">
        <v>1410</v>
      </c>
      <c r="B56" t="s">
        <v>323</v>
      </c>
      <c r="C56" s="50">
        <v>64.92</v>
      </c>
    </row>
    <row r="57" spans="1:3" ht="18">
      <c r="A57">
        <v>1413</v>
      </c>
      <c r="B57" t="s">
        <v>324</v>
      </c>
      <c r="C57" s="50" t="s">
        <v>271</v>
      </c>
    </row>
    <row r="58" spans="1:3" ht="18">
      <c r="A58">
        <v>1414</v>
      </c>
      <c r="B58" t="s">
        <v>325</v>
      </c>
      <c r="C58" s="50">
        <v>254.29</v>
      </c>
    </row>
    <row r="59" spans="1:3" ht="18">
      <c r="A59">
        <v>1416</v>
      </c>
      <c r="B59" t="s">
        <v>326</v>
      </c>
      <c r="C59" s="50">
        <v>19.920000000000002</v>
      </c>
    </row>
    <row r="60" spans="1:3" ht="18">
      <c r="A60">
        <v>1417</v>
      </c>
      <c r="B60" t="s">
        <v>327</v>
      </c>
      <c r="C60" s="50">
        <v>37.340000000000003</v>
      </c>
    </row>
    <row r="61" spans="1:3" ht="18">
      <c r="A61">
        <v>1418</v>
      </c>
      <c r="B61" t="s">
        <v>328</v>
      </c>
      <c r="C61" s="50">
        <v>38.770000000000003</v>
      </c>
    </row>
    <row r="62" spans="1:3" ht="18">
      <c r="A62">
        <v>1419</v>
      </c>
      <c r="B62" t="s">
        <v>329</v>
      </c>
      <c r="C62" s="50">
        <v>22.18</v>
      </c>
    </row>
    <row r="63" spans="1:3" ht="18">
      <c r="A63">
        <v>1423</v>
      </c>
      <c r="B63" t="s">
        <v>330</v>
      </c>
      <c r="C63" s="50">
        <v>32.840000000000003</v>
      </c>
    </row>
    <row r="64" spans="1:3" ht="18">
      <c r="A64">
        <v>1432</v>
      </c>
      <c r="B64" t="s">
        <v>331</v>
      </c>
      <c r="C64" s="50">
        <v>26.34</v>
      </c>
    </row>
    <row r="65" spans="1:3" ht="18">
      <c r="A65">
        <v>1434</v>
      </c>
      <c r="B65" t="s">
        <v>332</v>
      </c>
      <c r="C65" s="50">
        <v>51.43</v>
      </c>
    </row>
    <row r="66" spans="1:3" ht="18">
      <c r="A66">
        <v>1435</v>
      </c>
      <c r="B66" t="s">
        <v>2050</v>
      </c>
      <c r="C66" s="50" t="s">
        <v>271</v>
      </c>
    </row>
    <row r="67" spans="1:3" ht="18">
      <c r="A67">
        <v>1436</v>
      </c>
      <c r="B67" t="s">
        <v>333</v>
      </c>
      <c r="C67" s="50">
        <v>121.91</v>
      </c>
    </row>
    <row r="68" spans="1:3" ht="18">
      <c r="A68">
        <v>1437</v>
      </c>
      <c r="B68" t="s">
        <v>334</v>
      </c>
      <c r="C68" s="50">
        <v>11.21</v>
      </c>
    </row>
    <row r="69" spans="1:3" ht="18">
      <c r="A69">
        <v>1438</v>
      </c>
      <c r="B69" t="s">
        <v>335</v>
      </c>
      <c r="C69" s="50" t="s">
        <v>271</v>
      </c>
    </row>
    <row r="70" spans="1:3" ht="18">
      <c r="A70">
        <v>1439</v>
      </c>
      <c r="B70" t="s">
        <v>336</v>
      </c>
      <c r="C70" s="50">
        <v>19.670000000000002</v>
      </c>
    </row>
    <row r="71" spans="1:3" ht="18">
      <c r="A71">
        <v>1440</v>
      </c>
      <c r="B71" t="s">
        <v>337</v>
      </c>
      <c r="C71" s="50" t="s">
        <v>271</v>
      </c>
    </row>
    <row r="72" spans="1:3" ht="18">
      <c r="A72">
        <v>1441</v>
      </c>
      <c r="B72" t="s">
        <v>338</v>
      </c>
      <c r="C72" s="50" t="s">
        <v>271</v>
      </c>
    </row>
    <row r="73" spans="1:3" ht="18">
      <c r="A73">
        <v>1442</v>
      </c>
      <c r="B73" t="s">
        <v>339</v>
      </c>
      <c r="C73" s="50">
        <v>19.010000000000002</v>
      </c>
    </row>
    <row r="74" spans="1:3" ht="18">
      <c r="A74">
        <v>1443</v>
      </c>
      <c r="B74" t="s">
        <v>340</v>
      </c>
      <c r="C74" s="50">
        <v>21.4</v>
      </c>
    </row>
    <row r="75" spans="1:3" ht="18">
      <c r="A75">
        <v>1444</v>
      </c>
      <c r="B75" t="s">
        <v>341</v>
      </c>
      <c r="C75" s="50" t="s">
        <v>271</v>
      </c>
    </row>
    <row r="76" spans="1:3" ht="18">
      <c r="A76">
        <v>1445</v>
      </c>
      <c r="B76" t="s">
        <v>342</v>
      </c>
      <c r="C76" s="50">
        <v>47.67</v>
      </c>
    </row>
    <row r="77" spans="1:3" ht="18">
      <c r="A77">
        <v>1446</v>
      </c>
      <c r="B77" t="s">
        <v>343</v>
      </c>
      <c r="C77" s="50" t="s">
        <v>271</v>
      </c>
    </row>
    <row r="78" spans="1:3" ht="18">
      <c r="A78">
        <v>1447</v>
      </c>
      <c r="B78" t="s">
        <v>344</v>
      </c>
      <c r="C78" s="50" t="s">
        <v>271</v>
      </c>
    </row>
    <row r="79" spans="1:3" ht="18">
      <c r="A79">
        <v>1449</v>
      </c>
      <c r="B79" t="s">
        <v>345</v>
      </c>
      <c r="C79" s="50">
        <v>38.020000000000003</v>
      </c>
    </row>
    <row r="80" spans="1:3" ht="18">
      <c r="A80">
        <v>1451</v>
      </c>
      <c r="B80" t="s">
        <v>346</v>
      </c>
      <c r="C80" s="50" t="s">
        <v>271</v>
      </c>
    </row>
    <row r="81" spans="1:3" ht="18">
      <c r="A81">
        <v>1452</v>
      </c>
      <c r="B81" t="s">
        <v>347</v>
      </c>
      <c r="C81" s="50">
        <v>124.29</v>
      </c>
    </row>
    <row r="82" spans="1:3" ht="18">
      <c r="A82">
        <v>1453</v>
      </c>
      <c r="B82" t="s">
        <v>348</v>
      </c>
      <c r="C82" s="50">
        <v>500</v>
      </c>
    </row>
    <row r="83" spans="1:3" ht="18">
      <c r="A83">
        <v>1454</v>
      </c>
      <c r="B83" t="s">
        <v>349</v>
      </c>
      <c r="C83" s="50">
        <v>208.13</v>
      </c>
    </row>
    <row r="84" spans="1:3" ht="18">
      <c r="A84">
        <v>1455</v>
      </c>
      <c r="B84" t="s">
        <v>350</v>
      </c>
      <c r="C84" s="50" t="s">
        <v>271</v>
      </c>
    </row>
    <row r="85" spans="1:3" ht="18">
      <c r="A85">
        <v>1456</v>
      </c>
      <c r="B85" t="s">
        <v>351</v>
      </c>
      <c r="C85" s="50">
        <v>20.059999999999999</v>
      </c>
    </row>
    <row r="86" spans="1:3" ht="18">
      <c r="A86">
        <v>1457</v>
      </c>
      <c r="B86" t="s">
        <v>352</v>
      </c>
      <c r="C86" s="50">
        <v>84.55</v>
      </c>
    </row>
    <row r="87" spans="1:3" ht="18">
      <c r="A87">
        <v>1459</v>
      </c>
      <c r="B87" t="s">
        <v>353</v>
      </c>
      <c r="C87" s="50">
        <v>31.56</v>
      </c>
    </row>
    <row r="88" spans="1:3" ht="18">
      <c r="A88">
        <v>1460</v>
      </c>
      <c r="B88" t="s">
        <v>354</v>
      </c>
      <c r="C88" s="50" t="s">
        <v>271</v>
      </c>
    </row>
    <row r="89" spans="1:3" ht="18">
      <c r="A89">
        <v>1463</v>
      </c>
      <c r="B89" t="s">
        <v>355</v>
      </c>
      <c r="C89" s="50">
        <v>22.78</v>
      </c>
    </row>
    <row r="90" spans="1:3" ht="18">
      <c r="A90">
        <v>1464</v>
      </c>
      <c r="B90" t="s">
        <v>356</v>
      </c>
      <c r="C90" s="50">
        <v>222.5</v>
      </c>
    </row>
    <row r="91" spans="1:3" ht="18">
      <c r="A91">
        <v>1465</v>
      </c>
      <c r="B91" t="s">
        <v>357</v>
      </c>
      <c r="C91" s="50">
        <v>21.06</v>
      </c>
    </row>
    <row r="92" spans="1:3" ht="18">
      <c r="A92">
        <v>1466</v>
      </c>
      <c r="B92" t="s">
        <v>358</v>
      </c>
      <c r="C92" s="50" t="s">
        <v>271</v>
      </c>
    </row>
    <row r="93" spans="1:3" ht="18">
      <c r="A93">
        <v>1467</v>
      </c>
      <c r="B93" t="s">
        <v>359</v>
      </c>
      <c r="C93" s="50" t="s">
        <v>271</v>
      </c>
    </row>
    <row r="94" spans="1:3" ht="18">
      <c r="A94">
        <v>1468</v>
      </c>
      <c r="B94" t="s">
        <v>360</v>
      </c>
      <c r="C94" s="50" t="s">
        <v>271</v>
      </c>
    </row>
    <row r="95" spans="1:3" ht="18">
      <c r="A95">
        <v>1470</v>
      </c>
      <c r="B95" t="s">
        <v>361</v>
      </c>
      <c r="C95" s="50">
        <v>33.86</v>
      </c>
    </row>
    <row r="96" spans="1:3" ht="18">
      <c r="A96">
        <v>1471</v>
      </c>
      <c r="B96" t="s">
        <v>362</v>
      </c>
      <c r="C96" s="50" t="s">
        <v>271</v>
      </c>
    </row>
    <row r="97" spans="1:3" ht="18">
      <c r="A97">
        <v>1472</v>
      </c>
      <c r="B97" t="s">
        <v>363</v>
      </c>
      <c r="C97" s="50">
        <v>26.67</v>
      </c>
    </row>
    <row r="98" spans="1:3" ht="18">
      <c r="A98">
        <v>1473</v>
      </c>
      <c r="B98" t="s">
        <v>364</v>
      </c>
      <c r="C98" s="50">
        <v>14.2</v>
      </c>
    </row>
    <row r="99" spans="1:3" ht="18">
      <c r="A99">
        <v>1474</v>
      </c>
      <c r="B99" t="s">
        <v>365</v>
      </c>
      <c r="C99" s="50" t="s">
        <v>271</v>
      </c>
    </row>
    <row r="100" spans="1:3" ht="18">
      <c r="A100">
        <v>1475</v>
      </c>
      <c r="B100" t="s">
        <v>366</v>
      </c>
      <c r="C100" s="50">
        <v>10.45</v>
      </c>
    </row>
    <row r="101" spans="1:3" ht="18">
      <c r="A101">
        <v>1476</v>
      </c>
      <c r="B101" t="s">
        <v>367</v>
      </c>
      <c r="C101" s="50">
        <v>33.75</v>
      </c>
    </row>
    <row r="102" spans="1:3" ht="18">
      <c r="A102">
        <v>1477</v>
      </c>
      <c r="B102" t="s">
        <v>368</v>
      </c>
      <c r="C102" s="50">
        <v>22.25</v>
      </c>
    </row>
    <row r="103" spans="1:3" ht="18">
      <c r="A103">
        <v>1503</v>
      </c>
      <c r="B103" t="s">
        <v>369</v>
      </c>
      <c r="C103" s="50">
        <v>26.57</v>
      </c>
    </row>
    <row r="104" spans="1:3" ht="18">
      <c r="A104">
        <v>1504</v>
      </c>
      <c r="B104" t="s">
        <v>370</v>
      </c>
      <c r="C104" s="50">
        <v>17.21</v>
      </c>
    </row>
    <row r="105" spans="1:3" ht="18">
      <c r="A105">
        <v>1506</v>
      </c>
      <c r="B105" t="s">
        <v>371</v>
      </c>
      <c r="C105" s="50">
        <v>50.44</v>
      </c>
    </row>
    <row r="106" spans="1:3" ht="18">
      <c r="A106">
        <v>1512</v>
      </c>
      <c r="B106" t="s">
        <v>372</v>
      </c>
      <c r="C106" s="50" t="s">
        <v>271</v>
      </c>
    </row>
    <row r="107" spans="1:3" ht="18">
      <c r="A107">
        <v>1513</v>
      </c>
      <c r="B107" t="s">
        <v>373</v>
      </c>
      <c r="C107" s="50">
        <v>37.22</v>
      </c>
    </row>
    <row r="108" spans="1:3" ht="18">
      <c r="A108">
        <v>1514</v>
      </c>
      <c r="B108" t="s">
        <v>374</v>
      </c>
      <c r="C108" s="50">
        <v>32.229999999999997</v>
      </c>
    </row>
    <row r="109" spans="1:3" ht="18">
      <c r="A109">
        <v>1515</v>
      </c>
      <c r="B109" t="s">
        <v>375</v>
      </c>
      <c r="C109" s="50">
        <v>344</v>
      </c>
    </row>
    <row r="110" spans="1:3" ht="18">
      <c r="A110">
        <v>1516</v>
      </c>
      <c r="B110" t="s">
        <v>376</v>
      </c>
      <c r="C110" s="50">
        <v>24.29</v>
      </c>
    </row>
    <row r="111" spans="1:3" ht="18">
      <c r="A111">
        <v>1517</v>
      </c>
      <c r="B111" t="s">
        <v>377</v>
      </c>
      <c r="C111" s="50" t="s">
        <v>271</v>
      </c>
    </row>
    <row r="112" spans="1:3" ht="18">
      <c r="A112">
        <v>1519</v>
      </c>
      <c r="B112" t="s">
        <v>378</v>
      </c>
      <c r="C112" s="50">
        <v>44.01</v>
      </c>
    </row>
    <row r="113" spans="1:3" ht="18">
      <c r="A113">
        <v>1521</v>
      </c>
      <c r="B113" t="s">
        <v>379</v>
      </c>
      <c r="C113" s="50">
        <v>40.270000000000003</v>
      </c>
    </row>
    <row r="114" spans="1:3" ht="18">
      <c r="A114">
        <v>1522</v>
      </c>
      <c r="B114" t="s">
        <v>380</v>
      </c>
      <c r="C114" s="50">
        <v>14.16</v>
      </c>
    </row>
    <row r="115" spans="1:3" ht="18">
      <c r="A115">
        <v>1524</v>
      </c>
      <c r="B115" t="s">
        <v>381</v>
      </c>
      <c r="C115" s="50">
        <v>17.89</v>
      </c>
    </row>
    <row r="116" spans="1:3" ht="18">
      <c r="A116">
        <v>1525</v>
      </c>
      <c r="B116" t="s">
        <v>382</v>
      </c>
      <c r="C116" s="50">
        <v>15.11</v>
      </c>
    </row>
    <row r="117" spans="1:3" ht="18">
      <c r="A117">
        <v>1526</v>
      </c>
      <c r="B117" t="s">
        <v>383</v>
      </c>
      <c r="C117" s="50">
        <v>13.87</v>
      </c>
    </row>
    <row r="118" spans="1:3" ht="18">
      <c r="A118">
        <v>1527</v>
      </c>
      <c r="B118" t="s">
        <v>384</v>
      </c>
      <c r="C118" s="50">
        <v>14.24</v>
      </c>
    </row>
    <row r="119" spans="1:3" ht="18">
      <c r="A119">
        <v>1528</v>
      </c>
      <c r="B119" t="s">
        <v>385</v>
      </c>
      <c r="C119" s="50">
        <v>34.85</v>
      </c>
    </row>
    <row r="120" spans="1:3" ht="18">
      <c r="A120">
        <v>1529</v>
      </c>
      <c r="B120" t="s">
        <v>386</v>
      </c>
      <c r="C120" s="50">
        <v>51.75</v>
      </c>
    </row>
    <row r="121" spans="1:3" ht="18">
      <c r="A121">
        <v>1530</v>
      </c>
      <c r="B121" t="s">
        <v>387</v>
      </c>
      <c r="C121" s="50">
        <v>13.95</v>
      </c>
    </row>
    <row r="122" spans="1:3" ht="18">
      <c r="A122">
        <v>1531</v>
      </c>
      <c r="B122" t="s">
        <v>388</v>
      </c>
      <c r="C122" s="50">
        <v>114.17</v>
      </c>
    </row>
    <row r="123" spans="1:3" ht="18">
      <c r="A123">
        <v>1532</v>
      </c>
      <c r="B123" t="s">
        <v>389</v>
      </c>
      <c r="C123" s="50">
        <v>18.559999999999999</v>
      </c>
    </row>
    <row r="124" spans="1:3" ht="18">
      <c r="A124">
        <v>1533</v>
      </c>
      <c r="B124" t="s">
        <v>390</v>
      </c>
      <c r="C124" s="50" t="s">
        <v>271</v>
      </c>
    </row>
    <row r="125" spans="1:3" ht="18">
      <c r="A125">
        <v>1535</v>
      </c>
      <c r="B125" t="s">
        <v>391</v>
      </c>
      <c r="C125" s="50">
        <v>15.2</v>
      </c>
    </row>
    <row r="126" spans="1:3" ht="18">
      <c r="A126">
        <v>1536</v>
      </c>
      <c r="B126" t="s">
        <v>392</v>
      </c>
      <c r="C126" s="50">
        <v>33.729999999999997</v>
      </c>
    </row>
    <row r="127" spans="1:3" ht="18">
      <c r="A127">
        <v>1537</v>
      </c>
      <c r="B127" t="s">
        <v>393</v>
      </c>
      <c r="C127" s="50">
        <v>18.78</v>
      </c>
    </row>
    <row r="128" spans="1:3" ht="18">
      <c r="A128">
        <v>1538</v>
      </c>
      <c r="B128" t="s">
        <v>394</v>
      </c>
      <c r="C128" s="50" t="s">
        <v>271</v>
      </c>
    </row>
    <row r="129" spans="1:3" ht="18">
      <c r="A129">
        <v>1539</v>
      </c>
      <c r="B129" t="s">
        <v>395</v>
      </c>
      <c r="C129" s="50">
        <v>37.46</v>
      </c>
    </row>
    <row r="130" spans="1:3" ht="18">
      <c r="A130">
        <v>1540</v>
      </c>
      <c r="B130" t="s">
        <v>396</v>
      </c>
      <c r="C130" s="50">
        <v>16.73</v>
      </c>
    </row>
    <row r="131" spans="1:3" ht="18">
      <c r="A131">
        <v>1541</v>
      </c>
      <c r="B131" t="s">
        <v>397</v>
      </c>
      <c r="C131" s="50" t="s">
        <v>271</v>
      </c>
    </row>
    <row r="132" spans="1:3" ht="18">
      <c r="A132">
        <v>1558</v>
      </c>
      <c r="B132" t="s">
        <v>398</v>
      </c>
      <c r="C132" s="50">
        <v>31.89</v>
      </c>
    </row>
    <row r="133" spans="1:3" ht="18">
      <c r="A133">
        <v>1560</v>
      </c>
      <c r="B133" t="s">
        <v>399</v>
      </c>
      <c r="C133" s="50">
        <v>31.27</v>
      </c>
    </row>
    <row r="134" spans="1:3" ht="18">
      <c r="A134">
        <v>1568</v>
      </c>
      <c r="B134" t="s">
        <v>400</v>
      </c>
      <c r="C134" s="50">
        <v>9.9700000000000006</v>
      </c>
    </row>
    <row r="135" spans="1:3" ht="18">
      <c r="A135">
        <v>1582</v>
      </c>
      <c r="B135" t="s">
        <v>401</v>
      </c>
      <c r="C135" s="50">
        <v>20.28</v>
      </c>
    </row>
    <row r="136" spans="1:3" ht="18">
      <c r="A136">
        <v>1583</v>
      </c>
      <c r="B136" t="s">
        <v>402</v>
      </c>
      <c r="C136" s="50">
        <v>11.78</v>
      </c>
    </row>
    <row r="137" spans="1:3" ht="18">
      <c r="A137">
        <v>1587</v>
      </c>
      <c r="B137" t="s">
        <v>403</v>
      </c>
      <c r="C137" s="50">
        <v>27</v>
      </c>
    </row>
    <row r="138" spans="1:3" ht="18">
      <c r="A138">
        <v>1589</v>
      </c>
      <c r="B138" t="s">
        <v>404</v>
      </c>
      <c r="C138" s="50" t="s">
        <v>271</v>
      </c>
    </row>
    <row r="139" spans="1:3" ht="18">
      <c r="A139">
        <v>1590</v>
      </c>
      <c r="B139" t="s">
        <v>405</v>
      </c>
      <c r="C139" s="50">
        <v>30.57</v>
      </c>
    </row>
    <row r="140" spans="1:3" ht="18">
      <c r="A140">
        <v>1597</v>
      </c>
      <c r="B140" t="s">
        <v>406</v>
      </c>
      <c r="C140" s="50">
        <v>27.9</v>
      </c>
    </row>
    <row r="141" spans="1:3" ht="18">
      <c r="A141">
        <v>1598</v>
      </c>
      <c r="B141" t="s">
        <v>407</v>
      </c>
      <c r="C141" s="50" t="s">
        <v>271</v>
      </c>
    </row>
    <row r="142" spans="1:3" ht="18">
      <c r="A142">
        <v>1603</v>
      </c>
      <c r="B142" t="s">
        <v>408</v>
      </c>
      <c r="C142" s="50">
        <v>14.98</v>
      </c>
    </row>
    <row r="143" spans="1:3" ht="18">
      <c r="A143">
        <v>1604</v>
      </c>
      <c r="B143" t="s">
        <v>409</v>
      </c>
      <c r="C143" s="50">
        <v>15.48</v>
      </c>
    </row>
    <row r="144" spans="1:3" ht="18">
      <c r="A144">
        <v>1605</v>
      </c>
      <c r="B144" t="s">
        <v>410</v>
      </c>
      <c r="C144" s="50">
        <v>29.06</v>
      </c>
    </row>
    <row r="145" spans="1:3" ht="18">
      <c r="A145">
        <v>1608</v>
      </c>
      <c r="B145" t="s">
        <v>411</v>
      </c>
      <c r="C145" s="50">
        <v>11</v>
      </c>
    </row>
    <row r="146" spans="1:3" ht="18">
      <c r="A146">
        <v>1609</v>
      </c>
      <c r="B146" t="s">
        <v>412</v>
      </c>
      <c r="C146" s="50">
        <v>8.8000000000000007</v>
      </c>
    </row>
    <row r="147" spans="1:3" ht="18">
      <c r="A147">
        <v>1611</v>
      </c>
      <c r="B147" t="s">
        <v>413</v>
      </c>
      <c r="C147" s="50">
        <v>39.520000000000003</v>
      </c>
    </row>
    <row r="148" spans="1:3" ht="18">
      <c r="A148">
        <v>1612</v>
      </c>
      <c r="B148" t="s">
        <v>414</v>
      </c>
      <c r="C148" s="50">
        <v>15.3</v>
      </c>
    </row>
    <row r="149" spans="1:3" ht="18">
      <c r="A149">
        <v>1614</v>
      </c>
      <c r="B149" t="s">
        <v>415</v>
      </c>
      <c r="C149" s="50">
        <v>31.3</v>
      </c>
    </row>
    <row r="150" spans="1:3" ht="18">
      <c r="A150">
        <v>1615</v>
      </c>
      <c r="B150" t="s">
        <v>416</v>
      </c>
      <c r="C150" s="50">
        <v>13.71</v>
      </c>
    </row>
    <row r="151" spans="1:3" ht="18">
      <c r="A151">
        <v>1616</v>
      </c>
      <c r="B151" t="s">
        <v>417</v>
      </c>
      <c r="C151" s="50">
        <v>14.84</v>
      </c>
    </row>
    <row r="152" spans="1:3" ht="18">
      <c r="A152">
        <v>1617</v>
      </c>
      <c r="B152" t="s">
        <v>418</v>
      </c>
      <c r="C152" s="50">
        <v>50.15</v>
      </c>
    </row>
    <row r="153" spans="1:3" ht="18">
      <c r="A153">
        <v>1618</v>
      </c>
      <c r="B153" t="s">
        <v>419</v>
      </c>
      <c r="C153" s="50">
        <v>20.149999999999999</v>
      </c>
    </row>
    <row r="154" spans="1:3" ht="18">
      <c r="A154">
        <v>1626</v>
      </c>
      <c r="B154" t="s">
        <v>420</v>
      </c>
      <c r="C154" s="50" t="s">
        <v>271</v>
      </c>
    </row>
    <row r="155" spans="1:3" ht="18">
      <c r="A155">
        <v>1701</v>
      </c>
      <c r="B155" t="s">
        <v>421</v>
      </c>
      <c r="C155" s="50">
        <v>22.76</v>
      </c>
    </row>
    <row r="156" spans="1:3" ht="18">
      <c r="A156">
        <v>1702</v>
      </c>
      <c r="B156" t="s">
        <v>422</v>
      </c>
      <c r="C156" s="50">
        <v>16.440000000000001</v>
      </c>
    </row>
    <row r="157" spans="1:3" ht="18">
      <c r="A157">
        <v>1707</v>
      </c>
      <c r="B157" t="s">
        <v>423</v>
      </c>
      <c r="C157" s="50">
        <v>15.87</v>
      </c>
    </row>
    <row r="158" spans="1:3" ht="18">
      <c r="A158">
        <v>1708</v>
      </c>
      <c r="B158" t="s">
        <v>424</v>
      </c>
      <c r="C158" s="50" t="s">
        <v>271</v>
      </c>
    </row>
    <row r="159" spans="1:3" ht="18">
      <c r="A159">
        <v>1709</v>
      </c>
      <c r="B159" t="s">
        <v>425</v>
      </c>
      <c r="C159" s="50">
        <v>19.170000000000002</v>
      </c>
    </row>
    <row r="160" spans="1:3" ht="18">
      <c r="A160">
        <v>1710</v>
      </c>
      <c r="B160" t="s">
        <v>426</v>
      </c>
      <c r="C160" s="50">
        <v>18.32</v>
      </c>
    </row>
    <row r="161" spans="1:3" ht="18">
      <c r="A161">
        <v>1711</v>
      </c>
      <c r="B161" t="s">
        <v>427</v>
      </c>
      <c r="C161" s="50">
        <v>72.59</v>
      </c>
    </row>
    <row r="162" spans="1:3" ht="18">
      <c r="A162">
        <v>1712</v>
      </c>
      <c r="B162" t="s">
        <v>428</v>
      </c>
      <c r="C162" s="50">
        <v>14.96</v>
      </c>
    </row>
    <row r="163" spans="1:3" ht="18">
      <c r="A163">
        <v>1713</v>
      </c>
      <c r="B163" t="s">
        <v>429</v>
      </c>
      <c r="C163" s="50">
        <v>16.13</v>
      </c>
    </row>
    <row r="164" spans="1:3" ht="18">
      <c r="A164">
        <v>1714</v>
      </c>
      <c r="B164" t="s">
        <v>430</v>
      </c>
      <c r="C164" s="50">
        <v>17.899999999999999</v>
      </c>
    </row>
    <row r="165" spans="1:3" ht="18">
      <c r="A165">
        <v>1717</v>
      </c>
      <c r="B165" t="s">
        <v>431</v>
      </c>
      <c r="C165" s="50">
        <v>23.66</v>
      </c>
    </row>
    <row r="166" spans="1:3" ht="18">
      <c r="A166">
        <v>1718</v>
      </c>
      <c r="B166" t="s">
        <v>432</v>
      </c>
      <c r="C166" s="50" t="s">
        <v>271</v>
      </c>
    </row>
    <row r="167" spans="1:3" ht="18">
      <c r="A167">
        <v>1720</v>
      </c>
      <c r="B167" t="s">
        <v>433</v>
      </c>
      <c r="C167" s="50">
        <v>13.87</v>
      </c>
    </row>
    <row r="168" spans="1:3" ht="18">
      <c r="A168">
        <v>1721</v>
      </c>
      <c r="B168" t="s">
        <v>434</v>
      </c>
      <c r="C168" s="50" t="s">
        <v>271</v>
      </c>
    </row>
    <row r="169" spans="1:3" ht="18">
      <c r="A169">
        <v>1722</v>
      </c>
      <c r="B169" t="s">
        <v>435</v>
      </c>
      <c r="C169" s="50">
        <v>15.76</v>
      </c>
    </row>
    <row r="170" spans="1:3" ht="18">
      <c r="A170">
        <v>1723</v>
      </c>
      <c r="B170" t="s">
        <v>436</v>
      </c>
      <c r="C170" s="50">
        <v>18.37</v>
      </c>
    </row>
    <row r="171" spans="1:3" ht="18">
      <c r="A171">
        <v>1725</v>
      </c>
      <c r="B171" t="s">
        <v>437</v>
      </c>
      <c r="C171" s="50">
        <v>20.32</v>
      </c>
    </row>
    <row r="172" spans="1:3" ht="18">
      <c r="A172">
        <v>1726</v>
      </c>
      <c r="B172" t="s">
        <v>438</v>
      </c>
      <c r="C172" s="50">
        <v>14.62</v>
      </c>
    </row>
    <row r="173" spans="1:3" ht="18">
      <c r="A173">
        <v>1727</v>
      </c>
      <c r="B173" t="s">
        <v>439</v>
      </c>
      <c r="C173" s="50">
        <v>31.7</v>
      </c>
    </row>
    <row r="174" spans="1:3" ht="18">
      <c r="A174">
        <v>1730</v>
      </c>
      <c r="B174" t="s">
        <v>440</v>
      </c>
      <c r="C174" s="50">
        <v>16.39</v>
      </c>
    </row>
    <row r="175" spans="1:3" ht="18">
      <c r="A175">
        <v>1731</v>
      </c>
      <c r="B175" t="s">
        <v>441</v>
      </c>
      <c r="C175" s="50">
        <v>18.399999999999999</v>
      </c>
    </row>
    <row r="176" spans="1:3" ht="18">
      <c r="A176">
        <v>1732</v>
      </c>
      <c r="B176" t="s">
        <v>442</v>
      </c>
      <c r="C176" s="50" t="s">
        <v>271</v>
      </c>
    </row>
    <row r="177" spans="1:3" ht="18">
      <c r="A177">
        <v>1733</v>
      </c>
      <c r="B177" t="s">
        <v>443</v>
      </c>
      <c r="C177" s="50">
        <v>27.99</v>
      </c>
    </row>
    <row r="178" spans="1:3" ht="18">
      <c r="A178">
        <v>1734</v>
      </c>
      <c r="B178" t="s">
        <v>444</v>
      </c>
      <c r="C178" s="50">
        <v>20.58</v>
      </c>
    </row>
    <row r="179" spans="1:3" ht="18">
      <c r="A179">
        <v>1735</v>
      </c>
      <c r="B179" t="s">
        <v>445</v>
      </c>
      <c r="C179" s="50">
        <v>23.2</v>
      </c>
    </row>
    <row r="180" spans="1:3" ht="18">
      <c r="A180">
        <v>1736</v>
      </c>
      <c r="B180" t="s">
        <v>446</v>
      </c>
      <c r="C180" s="50">
        <v>35.229999999999997</v>
      </c>
    </row>
    <row r="181" spans="1:3" ht="18">
      <c r="A181">
        <v>1737</v>
      </c>
      <c r="B181" t="s">
        <v>447</v>
      </c>
      <c r="C181" s="50">
        <v>17.63</v>
      </c>
    </row>
    <row r="182" spans="1:3" ht="18">
      <c r="A182">
        <v>1752</v>
      </c>
      <c r="B182" t="s">
        <v>448</v>
      </c>
      <c r="C182" s="50">
        <v>13.63</v>
      </c>
    </row>
    <row r="183" spans="1:3" ht="18">
      <c r="A183">
        <v>1760</v>
      </c>
      <c r="B183" t="s">
        <v>449</v>
      </c>
      <c r="C183" s="50" t="s">
        <v>271</v>
      </c>
    </row>
    <row r="184" spans="1:3" ht="18">
      <c r="A184">
        <v>1762</v>
      </c>
      <c r="B184" t="s">
        <v>450</v>
      </c>
      <c r="C184" s="50">
        <v>15.35</v>
      </c>
    </row>
    <row r="185" spans="1:3" ht="18">
      <c r="A185">
        <v>1773</v>
      </c>
      <c r="B185" t="s">
        <v>451</v>
      </c>
      <c r="C185" s="50">
        <v>21.69</v>
      </c>
    </row>
    <row r="186" spans="1:3" ht="18">
      <c r="A186">
        <v>1776</v>
      </c>
      <c r="B186" t="s">
        <v>452</v>
      </c>
      <c r="C186" s="50">
        <v>114</v>
      </c>
    </row>
    <row r="187" spans="1:3" ht="18">
      <c r="A187">
        <v>1783</v>
      </c>
      <c r="B187" t="s">
        <v>453</v>
      </c>
      <c r="C187" s="50">
        <v>22.51</v>
      </c>
    </row>
    <row r="188" spans="1:3" ht="18">
      <c r="A188">
        <v>1786</v>
      </c>
      <c r="B188" t="s">
        <v>454</v>
      </c>
      <c r="C188" s="50">
        <v>31.04</v>
      </c>
    </row>
    <row r="189" spans="1:3" ht="18">
      <c r="A189">
        <v>1789</v>
      </c>
      <c r="B189" t="s">
        <v>455</v>
      </c>
      <c r="C189" s="50">
        <v>91.03</v>
      </c>
    </row>
    <row r="190" spans="1:3" ht="18">
      <c r="A190">
        <v>1795</v>
      </c>
      <c r="B190" t="s">
        <v>456</v>
      </c>
      <c r="C190" s="50">
        <v>18.57</v>
      </c>
    </row>
    <row r="191" spans="1:3" ht="18">
      <c r="A191">
        <v>1802</v>
      </c>
      <c r="B191" t="s">
        <v>457</v>
      </c>
      <c r="C191" s="50" t="s">
        <v>271</v>
      </c>
    </row>
    <row r="192" spans="1:3" ht="18">
      <c r="A192">
        <v>1805</v>
      </c>
      <c r="B192" t="s">
        <v>458</v>
      </c>
      <c r="C192" s="50" t="s">
        <v>271</v>
      </c>
    </row>
    <row r="193" spans="1:3" ht="18">
      <c r="A193">
        <v>1806</v>
      </c>
      <c r="B193" t="s">
        <v>459</v>
      </c>
      <c r="C193" s="50" t="s">
        <v>271</v>
      </c>
    </row>
    <row r="194" spans="1:3" ht="18">
      <c r="A194">
        <v>1808</v>
      </c>
      <c r="B194" t="s">
        <v>460</v>
      </c>
      <c r="C194" s="51">
        <v>6.86</v>
      </c>
    </row>
    <row r="195" spans="1:3" ht="18">
      <c r="A195">
        <v>1809</v>
      </c>
      <c r="B195" t="s">
        <v>461</v>
      </c>
      <c r="C195" s="50" t="s">
        <v>271</v>
      </c>
    </row>
    <row r="196" spans="1:3" ht="18">
      <c r="A196">
        <v>1810</v>
      </c>
      <c r="B196" t="s">
        <v>462</v>
      </c>
      <c r="C196" s="50" t="s">
        <v>271</v>
      </c>
    </row>
    <row r="197" spans="1:3" ht="18">
      <c r="A197">
        <v>1817</v>
      </c>
      <c r="B197" t="s">
        <v>463</v>
      </c>
      <c r="C197" s="50">
        <v>12.22</v>
      </c>
    </row>
    <row r="198" spans="1:3" ht="18">
      <c r="A198">
        <v>1903</v>
      </c>
      <c r="B198" t="s">
        <v>464</v>
      </c>
      <c r="C198" s="50">
        <v>221.15</v>
      </c>
    </row>
    <row r="199" spans="1:3" ht="18">
      <c r="A199">
        <v>1904</v>
      </c>
      <c r="B199" t="s">
        <v>465</v>
      </c>
      <c r="C199" s="50">
        <v>42.5</v>
      </c>
    </row>
    <row r="200" spans="1:3" ht="18">
      <c r="A200">
        <v>1905</v>
      </c>
      <c r="B200" t="s">
        <v>466</v>
      </c>
      <c r="C200" s="50" t="s">
        <v>271</v>
      </c>
    </row>
    <row r="201" spans="1:3" ht="18">
      <c r="A201">
        <v>1906</v>
      </c>
      <c r="B201" t="s">
        <v>467</v>
      </c>
      <c r="C201" s="50">
        <v>81.58</v>
      </c>
    </row>
    <row r="202" spans="1:3" ht="18">
      <c r="A202">
        <v>1907</v>
      </c>
      <c r="B202" t="s">
        <v>468</v>
      </c>
      <c r="C202" s="50">
        <v>42.34</v>
      </c>
    </row>
    <row r="203" spans="1:3" ht="18">
      <c r="A203">
        <v>1909</v>
      </c>
      <c r="B203" t="s">
        <v>469</v>
      </c>
      <c r="C203" s="50" t="s">
        <v>271</v>
      </c>
    </row>
    <row r="204" spans="1:3" ht="18">
      <c r="A204">
        <v>2002</v>
      </c>
      <c r="B204" t="s">
        <v>470</v>
      </c>
      <c r="C204" s="50" t="s">
        <v>271</v>
      </c>
    </row>
    <row r="205" spans="1:3" ht="18">
      <c r="A205">
        <v>2006</v>
      </c>
      <c r="B205" t="s">
        <v>471</v>
      </c>
      <c r="C205" s="50">
        <v>12.25</v>
      </c>
    </row>
    <row r="206" spans="1:3" ht="18">
      <c r="A206">
        <v>2007</v>
      </c>
      <c r="B206" t="s">
        <v>472</v>
      </c>
      <c r="C206" s="50" t="s">
        <v>271</v>
      </c>
    </row>
    <row r="207" spans="1:3" ht="18">
      <c r="A207">
        <v>2008</v>
      </c>
      <c r="B207" t="s">
        <v>473</v>
      </c>
      <c r="C207" s="50">
        <v>9.67</v>
      </c>
    </row>
    <row r="208" spans="1:3" ht="18">
      <c r="A208">
        <v>2009</v>
      </c>
      <c r="B208" t="s">
        <v>474</v>
      </c>
      <c r="C208" s="50">
        <v>290.91000000000003</v>
      </c>
    </row>
    <row r="209" spans="1:3" ht="18">
      <c r="A209">
        <v>2010</v>
      </c>
      <c r="B209" t="s">
        <v>475</v>
      </c>
      <c r="C209" s="50">
        <v>16.55</v>
      </c>
    </row>
    <row r="210" spans="1:3" ht="18">
      <c r="A210">
        <v>2012</v>
      </c>
      <c r="B210" t="s">
        <v>476</v>
      </c>
      <c r="C210" s="50">
        <v>30.42</v>
      </c>
    </row>
    <row r="211" spans="1:3" ht="18">
      <c r="A211">
        <v>2013</v>
      </c>
      <c r="B211" t="s">
        <v>477</v>
      </c>
      <c r="C211" s="50">
        <v>23.43</v>
      </c>
    </row>
    <row r="212" spans="1:3" ht="18">
      <c r="A212">
        <v>2014</v>
      </c>
      <c r="B212" t="s">
        <v>478</v>
      </c>
      <c r="C212" s="50" t="s">
        <v>271</v>
      </c>
    </row>
    <row r="213" spans="1:3" ht="18">
      <c r="A213">
        <v>2015</v>
      </c>
      <c r="B213" t="s">
        <v>479</v>
      </c>
      <c r="C213" s="50">
        <v>16.489999999999998</v>
      </c>
    </row>
    <row r="214" spans="1:3" ht="18">
      <c r="A214">
        <v>2017</v>
      </c>
      <c r="B214" t="s">
        <v>480</v>
      </c>
      <c r="C214" s="50" t="s">
        <v>271</v>
      </c>
    </row>
    <row r="215" spans="1:3" ht="18">
      <c r="A215">
        <v>2020</v>
      </c>
      <c r="B215" t="s">
        <v>481</v>
      </c>
      <c r="C215" s="50">
        <v>10.050000000000001</v>
      </c>
    </row>
    <row r="216" spans="1:3" ht="18">
      <c r="A216">
        <v>2022</v>
      </c>
      <c r="B216" t="s">
        <v>482</v>
      </c>
      <c r="C216" s="50" t="s">
        <v>271</v>
      </c>
    </row>
    <row r="217" spans="1:3" ht="18">
      <c r="A217">
        <v>2023</v>
      </c>
      <c r="B217" t="s">
        <v>483</v>
      </c>
      <c r="C217" s="50" t="s">
        <v>271</v>
      </c>
    </row>
    <row r="218" spans="1:3" ht="18">
      <c r="A218">
        <v>2024</v>
      </c>
      <c r="B218" t="s">
        <v>484</v>
      </c>
      <c r="C218" s="50" t="s">
        <v>271</v>
      </c>
    </row>
    <row r="219" spans="1:3" ht="18">
      <c r="A219">
        <v>2025</v>
      </c>
      <c r="B219" t="s">
        <v>485</v>
      </c>
      <c r="C219" s="50">
        <v>4.55</v>
      </c>
    </row>
    <row r="220" spans="1:3" ht="18">
      <c r="A220">
        <v>2027</v>
      </c>
      <c r="B220" t="s">
        <v>486</v>
      </c>
      <c r="C220" s="50">
        <v>15.53</v>
      </c>
    </row>
    <row r="221" spans="1:3" ht="18">
      <c r="A221">
        <v>2028</v>
      </c>
      <c r="B221" t="s">
        <v>487</v>
      </c>
      <c r="C221" s="50">
        <v>23.03</v>
      </c>
    </row>
    <row r="222" spans="1:3" ht="18">
      <c r="A222">
        <v>2029</v>
      </c>
      <c r="B222" t="s">
        <v>488</v>
      </c>
      <c r="C222" s="50">
        <v>18.28</v>
      </c>
    </row>
    <row r="223" spans="1:3" ht="18">
      <c r="A223">
        <v>2030</v>
      </c>
      <c r="B223" t="s">
        <v>489</v>
      </c>
      <c r="C223" s="50">
        <v>63.71</v>
      </c>
    </row>
    <row r="224" spans="1:3" ht="18">
      <c r="A224">
        <v>2031</v>
      </c>
      <c r="B224" t="s">
        <v>490</v>
      </c>
      <c r="C224" s="50">
        <v>12.46</v>
      </c>
    </row>
    <row r="225" spans="1:3" ht="18">
      <c r="A225">
        <v>2032</v>
      </c>
      <c r="B225" t="s">
        <v>491</v>
      </c>
      <c r="C225" s="50" t="s">
        <v>271</v>
      </c>
    </row>
    <row r="226" spans="1:3" ht="18">
      <c r="A226">
        <v>2033</v>
      </c>
      <c r="B226" t="s">
        <v>492</v>
      </c>
      <c r="C226" s="50" t="s">
        <v>271</v>
      </c>
    </row>
    <row r="227" spans="1:3" ht="18">
      <c r="A227">
        <v>2034</v>
      </c>
      <c r="B227" t="s">
        <v>493</v>
      </c>
      <c r="C227" s="50" t="s">
        <v>271</v>
      </c>
    </row>
    <row r="228" spans="1:3" ht="18">
      <c r="A228">
        <v>2038</v>
      </c>
      <c r="B228" t="s">
        <v>494</v>
      </c>
      <c r="C228" s="50">
        <v>39.909999999999997</v>
      </c>
    </row>
    <row r="229" spans="1:3" ht="18">
      <c r="A229">
        <v>2049</v>
      </c>
      <c r="B229" t="s">
        <v>495</v>
      </c>
      <c r="C229" s="50">
        <v>38.46</v>
      </c>
    </row>
    <row r="230" spans="1:3" ht="18">
      <c r="A230">
        <v>2059</v>
      </c>
      <c r="B230" t="s">
        <v>496</v>
      </c>
      <c r="C230" s="50">
        <v>30.9</v>
      </c>
    </row>
    <row r="231" spans="1:3" ht="18">
      <c r="A231">
        <v>2062</v>
      </c>
      <c r="B231" t="s">
        <v>497</v>
      </c>
      <c r="C231" s="50">
        <v>21.96</v>
      </c>
    </row>
    <row r="232" spans="1:3" ht="18">
      <c r="A232">
        <v>2069</v>
      </c>
      <c r="B232" t="s">
        <v>498</v>
      </c>
      <c r="C232" s="50" t="s">
        <v>271</v>
      </c>
    </row>
    <row r="233" spans="1:3" ht="18">
      <c r="A233">
        <v>2101</v>
      </c>
      <c r="B233" t="s">
        <v>499</v>
      </c>
      <c r="C233" s="50" t="s">
        <v>271</v>
      </c>
    </row>
    <row r="234" spans="1:3" ht="18">
      <c r="A234">
        <v>2102</v>
      </c>
      <c r="B234" t="s">
        <v>500</v>
      </c>
      <c r="C234" s="50" t="s">
        <v>271</v>
      </c>
    </row>
    <row r="235" spans="1:3" ht="18">
      <c r="A235">
        <v>2103</v>
      </c>
      <c r="B235" t="s">
        <v>501</v>
      </c>
      <c r="C235" s="50">
        <v>44.63</v>
      </c>
    </row>
    <row r="236" spans="1:3" ht="18">
      <c r="A236">
        <v>2104</v>
      </c>
      <c r="B236" t="s">
        <v>502</v>
      </c>
      <c r="C236" s="50" t="s">
        <v>271</v>
      </c>
    </row>
    <row r="237" spans="1:3" ht="18">
      <c r="A237">
        <v>2105</v>
      </c>
      <c r="B237" t="s">
        <v>503</v>
      </c>
      <c r="C237" s="50">
        <v>22.23</v>
      </c>
    </row>
    <row r="238" spans="1:3" ht="18">
      <c r="A238">
        <v>2106</v>
      </c>
      <c r="B238" t="s">
        <v>504</v>
      </c>
      <c r="C238" s="50" t="s">
        <v>271</v>
      </c>
    </row>
    <row r="239" spans="1:3" ht="18">
      <c r="A239">
        <v>2107</v>
      </c>
      <c r="B239" t="s">
        <v>505</v>
      </c>
      <c r="C239" s="50">
        <v>14.08</v>
      </c>
    </row>
    <row r="240" spans="1:3" ht="18">
      <c r="A240">
        <v>2108</v>
      </c>
      <c r="B240" t="s">
        <v>506</v>
      </c>
      <c r="C240" s="50">
        <v>26.67</v>
      </c>
    </row>
    <row r="241" spans="1:3" ht="18">
      <c r="A241">
        <v>2109</v>
      </c>
      <c r="B241" t="s">
        <v>507</v>
      </c>
      <c r="C241" s="50">
        <v>13.01</v>
      </c>
    </row>
    <row r="242" spans="1:3" ht="18">
      <c r="A242">
        <v>2114</v>
      </c>
      <c r="B242" t="s">
        <v>508</v>
      </c>
      <c r="C242" s="50">
        <v>18.22</v>
      </c>
    </row>
    <row r="243" spans="1:3" ht="18">
      <c r="A243">
        <v>2115</v>
      </c>
      <c r="B243" t="s">
        <v>509</v>
      </c>
      <c r="C243" s="50">
        <v>14.58</v>
      </c>
    </row>
    <row r="244" spans="1:3" ht="18">
      <c r="A244">
        <v>2201</v>
      </c>
      <c r="B244" t="s">
        <v>510</v>
      </c>
      <c r="C244" s="50">
        <v>99.73</v>
      </c>
    </row>
    <row r="245" spans="1:3" ht="18">
      <c r="A245">
        <v>2204</v>
      </c>
      <c r="B245" t="s">
        <v>511</v>
      </c>
      <c r="C245" s="50">
        <v>50</v>
      </c>
    </row>
    <row r="246" spans="1:3" ht="18">
      <c r="A246">
        <v>2206</v>
      </c>
      <c r="B246" t="s">
        <v>512</v>
      </c>
      <c r="C246" s="50">
        <v>10.42</v>
      </c>
    </row>
    <row r="247" spans="1:3" ht="18">
      <c r="A247">
        <v>2207</v>
      </c>
      <c r="B247" t="s">
        <v>513</v>
      </c>
      <c r="C247" s="50">
        <v>42.48</v>
      </c>
    </row>
    <row r="248" spans="1:3" ht="18">
      <c r="A248">
        <v>2208</v>
      </c>
      <c r="B248" t="s">
        <v>514</v>
      </c>
      <c r="C248" s="50" t="s">
        <v>271</v>
      </c>
    </row>
    <row r="249" spans="1:3" ht="18">
      <c r="A249">
        <v>2211</v>
      </c>
      <c r="B249" t="s">
        <v>515</v>
      </c>
      <c r="C249" s="50">
        <v>11.5</v>
      </c>
    </row>
    <row r="250" spans="1:3" ht="18">
      <c r="A250">
        <v>2227</v>
      </c>
      <c r="B250" t="s">
        <v>516</v>
      </c>
      <c r="C250" s="50">
        <v>42.52</v>
      </c>
    </row>
    <row r="251" spans="1:3" ht="18">
      <c r="A251">
        <v>2228</v>
      </c>
      <c r="B251" t="s">
        <v>517</v>
      </c>
      <c r="C251" s="50">
        <v>15.51</v>
      </c>
    </row>
    <row r="252" spans="1:3" ht="18">
      <c r="A252">
        <v>2231</v>
      </c>
      <c r="B252" t="s">
        <v>518</v>
      </c>
      <c r="C252" s="50">
        <v>30.16</v>
      </c>
    </row>
    <row r="253" spans="1:3" ht="18">
      <c r="A253">
        <v>2233</v>
      </c>
      <c r="B253" t="s">
        <v>519</v>
      </c>
      <c r="C253" s="50">
        <v>17.010000000000002</v>
      </c>
    </row>
    <row r="254" spans="1:3" ht="18">
      <c r="A254">
        <v>2236</v>
      </c>
      <c r="B254" t="s">
        <v>520</v>
      </c>
      <c r="C254" s="50">
        <v>28.88</v>
      </c>
    </row>
    <row r="255" spans="1:3" ht="18">
      <c r="A255">
        <v>2239</v>
      </c>
      <c r="B255" t="s">
        <v>521</v>
      </c>
      <c r="C255" s="51">
        <v>33.619999999999997</v>
      </c>
    </row>
    <row r="256" spans="1:3" ht="18">
      <c r="A256">
        <v>2241</v>
      </c>
      <c r="B256" t="s">
        <v>522</v>
      </c>
      <c r="C256" s="50" t="s">
        <v>271</v>
      </c>
    </row>
    <row r="257" spans="1:3" ht="18">
      <c r="A257">
        <v>2243</v>
      </c>
      <c r="B257" t="s">
        <v>523</v>
      </c>
      <c r="C257" s="50" t="s">
        <v>271</v>
      </c>
    </row>
    <row r="258" spans="1:3" ht="18">
      <c r="A258">
        <v>2247</v>
      </c>
      <c r="B258" t="s">
        <v>524</v>
      </c>
      <c r="C258" s="50">
        <v>13.47</v>
      </c>
    </row>
    <row r="259" spans="1:3" ht="18">
      <c r="A259">
        <v>2250</v>
      </c>
      <c r="B259" t="s">
        <v>525</v>
      </c>
      <c r="C259" s="50">
        <v>22.74</v>
      </c>
    </row>
    <row r="260" spans="1:3" ht="18">
      <c r="A260">
        <v>2254</v>
      </c>
      <c r="B260" t="s">
        <v>2075</v>
      </c>
      <c r="C260" s="50" t="s">
        <v>271</v>
      </c>
    </row>
    <row r="261" spans="1:3" ht="18">
      <c r="A261">
        <v>2258</v>
      </c>
      <c r="B261" t="s">
        <v>2076</v>
      </c>
      <c r="C261" s="50" t="s">
        <v>271</v>
      </c>
    </row>
    <row r="262" spans="1:3" ht="18">
      <c r="A262">
        <v>2301</v>
      </c>
      <c r="B262" t="s">
        <v>526</v>
      </c>
      <c r="C262" s="50">
        <v>18.03</v>
      </c>
    </row>
    <row r="263" spans="1:3" ht="18">
      <c r="A263">
        <v>2302</v>
      </c>
      <c r="B263" t="s">
        <v>527</v>
      </c>
      <c r="C263" s="50">
        <v>28.38</v>
      </c>
    </row>
    <row r="264" spans="1:3" ht="18">
      <c r="A264">
        <v>2303</v>
      </c>
      <c r="B264" t="s">
        <v>528</v>
      </c>
      <c r="C264" s="50">
        <v>9.83</v>
      </c>
    </row>
    <row r="265" spans="1:3" ht="18">
      <c r="A265">
        <v>2305</v>
      </c>
      <c r="B265" t="s">
        <v>529</v>
      </c>
      <c r="C265" s="50" t="s">
        <v>271</v>
      </c>
    </row>
    <row r="266" spans="1:3" ht="18">
      <c r="A266">
        <v>2308</v>
      </c>
      <c r="B266" t="s">
        <v>530</v>
      </c>
      <c r="C266" s="50">
        <v>25.18</v>
      </c>
    </row>
    <row r="267" spans="1:3" ht="18">
      <c r="A267">
        <v>2312</v>
      </c>
      <c r="B267" t="s">
        <v>531</v>
      </c>
      <c r="C267" s="50">
        <v>33.159999999999997</v>
      </c>
    </row>
    <row r="268" spans="1:3" ht="18">
      <c r="A268">
        <v>2313</v>
      </c>
      <c r="B268" t="s">
        <v>532</v>
      </c>
      <c r="C268" s="50">
        <v>17.54</v>
      </c>
    </row>
    <row r="269" spans="1:3" ht="18">
      <c r="A269">
        <v>2314</v>
      </c>
      <c r="B269" t="s">
        <v>533</v>
      </c>
      <c r="C269" s="50" t="s">
        <v>271</v>
      </c>
    </row>
    <row r="270" spans="1:3" ht="18">
      <c r="A270">
        <v>2316</v>
      </c>
      <c r="B270" t="s">
        <v>534</v>
      </c>
      <c r="C270" s="50">
        <v>51.05</v>
      </c>
    </row>
    <row r="271" spans="1:3" ht="18">
      <c r="A271">
        <v>2317</v>
      </c>
      <c r="B271" t="s">
        <v>535</v>
      </c>
      <c r="C271" s="50">
        <v>11.24</v>
      </c>
    </row>
    <row r="272" spans="1:3" ht="18">
      <c r="A272">
        <v>2321</v>
      </c>
      <c r="B272" t="s">
        <v>536</v>
      </c>
      <c r="C272" s="50" t="s">
        <v>271</v>
      </c>
    </row>
    <row r="273" spans="1:3" ht="18">
      <c r="A273">
        <v>2323</v>
      </c>
      <c r="B273" t="s">
        <v>537</v>
      </c>
      <c r="C273" s="50">
        <v>13.86</v>
      </c>
    </row>
    <row r="274" spans="1:3" ht="18">
      <c r="A274">
        <v>2324</v>
      </c>
      <c r="B274" t="s">
        <v>538</v>
      </c>
      <c r="C274" s="50">
        <v>24.91</v>
      </c>
    </row>
    <row r="275" spans="1:3" ht="18">
      <c r="A275">
        <v>2327</v>
      </c>
      <c r="B275" t="s">
        <v>539</v>
      </c>
      <c r="C275" s="50">
        <v>14.83</v>
      </c>
    </row>
    <row r="276" spans="1:3" ht="18">
      <c r="A276">
        <v>2328</v>
      </c>
      <c r="B276" t="s">
        <v>540</v>
      </c>
      <c r="C276" s="50">
        <v>14.18</v>
      </c>
    </row>
    <row r="277" spans="1:3" ht="18">
      <c r="A277">
        <v>2329</v>
      </c>
      <c r="B277" t="s">
        <v>541</v>
      </c>
      <c r="C277" s="50">
        <v>26.59</v>
      </c>
    </row>
    <row r="278" spans="1:3" ht="18">
      <c r="A278">
        <v>2330</v>
      </c>
      <c r="B278" t="s">
        <v>542</v>
      </c>
      <c r="C278" s="50">
        <v>17.170000000000002</v>
      </c>
    </row>
    <row r="279" spans="1:3" ht="18">
      <c r="A279">
        <v>2331</v>
      </c>
      <c r="B279" t="s">
        <v>543</v>
      </c>
      <c r="C279" s="50">
        <v>26.47</v>
      </c>
    </row>
    <row r="280" spans="1:3" ht="18">
      <c r="A280">
        <v>2332</v>
      </c>
      <c r="B280" t="s">
        <v>544</v>
      </c>
      <c r="C280" s="50">
        <v>14.46</v>
      </c>
    </row>
    <row r="281" spans="1:3" ht="18">
      <c r="A281">
        <v>2337</v>
      </c>
      <c r="B281" t="s">
        <v>545</v>
      </c>
      <c r="C281" s="50" t="s">
        <v>271</v>
      </c>
    </row>
    <row r="282" spans="1:3" ht="18">
      <c r="A282">
        <v>2338</v>
      </c>
      <c r="B282" t="s">
        <v>546</v>
      </c>
      <c r="C282" s="50">
        <v>16.77</v>
      </c>
    </row>
    <row r="283" spans="1:3" ht="18">
      <c r="A283">
        <v>2340</v>
      </c>
      <c r="B283" t="s">
        <v>547</v>
      </c>
      <c r="C283" s="50">
        <v>68.260000000000005</v>
      </c>
    </row>
    <row r="284" spans="1:3" ht="18">
      <c r="A284">
        <v>2342</v>
      </c>
      <c r="B284" t="s">
        <v>548</v>
      </c>
      <c r="C284" s="50" t="s">
        <v>271</v>
      </c>
    </row>
    <row r="285" spans="1:3" ht="18">
      <c r="A285">
        <v>2344</v>
      </c>
      <c r="B285" t="s">
        <v>549</v>
      </c>
      <c r="C285" s="50" t="s">
        <v>271</v>
      </c>
    </row>
    <row r="286" spans="1:3" ht="18">
      <c r="A286">
        <v>2345</v>
      </c>
      <c r="B286" t="s">
        <v>550</v>
      </c>
      <c r="C286" s="50">
        <v>32.380000000000003</v>
      </c>
    </row>
    <row r="287" spans="1:3" ht="18">
      <c r="A287">
        <v>2347</v>
      </c>
      <c r="B287" t="s">
        <v>551</v>
      </c>
      <c r="C287" s="50">
        <v>15.43</v>
      </c>
    </row>
    <row r="288" spans="1:3" ht="18">
      <c r="A288">
        <v>2348</v>
      </c>
      <c r="B288" t="s">
        <v>552</v>
      </c>
      <c r="C288" s="50">
        <v>13.07</v>
      </c>
    </row>
    <row r="289" spans="1:3" ht="18">
      <c r="A289">
        <v>2349</v>
      </c>
      <c r="B289" t="s">
        <v>553</v>
      </c>
      <c r="C289" s="50" t="s">
        <v>271</v>
      </c>
    </row>
    <row r="290" spans="1:3" ht="18">
      <c r="A290">
        <v>2351</v>
      </c>
      <c r="B290" t="s">
        <v>554</v>
      </c>
      <c r="C290" s="50">
        <v>26.33</v>
      </c>
    </row>
    <row r="291" spans="1:3" ht="18">
      <c r="A291">
        <v>2352</v>
      </c>
      <c r="B291" t="s">
        <v>555</v>
      </c>
      <c r="C291" s="50">
        <v>32.21</v>
      </c>
    </row>
    <row r="292" spans="1:3" ht="18">
      <c r="A292">
        <v>2353</v>
      </c>
      <c r="B292" t="s">
        <v>556</v>
      </c>
      <c r="C292" s="50">
        <v>52.23</v>
      </c>
    </row>
    <row r="293" spans="1:3" ht="18">
      <c r="A293">
        <v>2354</v>
      </c>
      <c r="B293" t="s">
        <v>557</v>
      </c>
      <c r="C293" s="50">
        <v>18.63</v>
      </c>
    </row>
    <row r="294" spans="1:3" ht="18">
      <c r="A294">
        <v>2355</v>
      </c>
      <c r="B294" t="s">
        <v>558</v>
      </c>
      <c r="C294" s="50">
        <v>27.34</v>
      </c>
    </row>
    <row r="295" spans="1:3" ht="18">
      <c r="A295">
        <v>2356</v>
      </c>
      <c r="B295" t="s">
        <v>559</v>
      </c>
      <c r="C295" s="50">
        <v>34.29</v>
      </c>
    </row>
    <row r="296" spans="1:3" ht="18">
      <c r="A296">
        <v>2357</v>
      </c>
      <c r="B296" t="s">
        <v>560</v>
      </c>
      <c r="C296" s="50">
        <v>44.46</v>
      </c>
    </row>
    <row r="297" spans="1:3" ht="18">
      <c r="A297">
        <v>2358</v>
      </c>
      <c r="B297" t="s">
        <v>561</v>
      </c>
      <c r="C297" s="50" t="s">
        <v>271</v>
      </c>
    </row>
    <row r="298" spans="1:3" ht="18">
      <c r="A298">
        <v>2359</v>
      </c>
      <c r="B298" t="s">
        <v>562</v>
      </c>
      <c r="C298" s="50">
        <v>12.57</v>
      </c>
    </row>
    <row r="299" spans="1:3" ht="18">
      <c r="A299">
        <v>2360</v>
      </c>
      <c r="B299" t="s">
        <v>563</v>
      </c>
      <c r="C299" s="50">
        <v>22.33</v>
      </c>
    </row>
    <row r="300" spans="1:3" ht="18">
      <c r="A300">
        <v>2362</v>
      </c>
      <c r="B300" t="s">
        <v>564</v>
      </c>
      <c r="C300" s="50">
        <v>23.94</v>
      </c>
    </row>
    <row r="301" spans="1:3" ht="18">
      <c r="A301">
        <v>2363</v>
      </c>
      <c r="B301" t="s">
        <v>565</v>
      </c>
      <c r="C301" s="50">
        <v>58.46</v>
      </c>
    </row>
    <row r="302" spans="1:3" ht="18">
      <c r="A302">
        <v>2364</v>
      </c>
      <c r="B302" t="s">
        <v>566</v>
      </c>
      <c r="C302" s="50">
        <v>27.75</v>
      </c>
    </row>
    <row r="303" spans="1:3" ht="18">
      <c r="A303">
        <v>2365</v>
      </c>
      <c r="B303" t="s">
        <v>567</v>
      </c>
      <c r="C303" s="50">
        <v>48.71</v>
      </c>
    </row>
    <row r="304" spans="1:3" ht="18">
      <c r="A304">
        <v>2367</v>
      </c>
      <c r="B304" t="s">
        <v>568</v>
      </c>
      <c r="C304" s="50" t="s">
        <v>271</v>
      </c>
    </row>
    <row r="305" spans="1:3" ht="18">
      <c r="A305">
        <v>2368</v>
      </c>
      <c r="B305" t="s">
        <v>569</v>
      </c>
      <c r="C305" s="50">
        <v>31.59</v>
      </c>
    </row>
    <row r="306" spans="1:3" ht="18">
      <c r="A306">
        <v>2369</v>
      </c>
      <c r="B306" t="s">
        <v>570</v>
      </c>
      <c r="C306" s="50" t="s">
        <v>271</v>
      </c>
    </row>
    <row r="307" spans="1:3" ht="18">
      <c r="A307">
        <v>2371</v>
      </c>
      <c r="B307" t="s">
        <v>571</v>
      </c>
      <c r="C307" s="50">
        <v>51.22</v>
      </c>
    </row>
    <row r="308" spans="1:3" ht="18">
      <c r="A308">
        <v>2373</v>
      </c>
      <c r="B308" t="s">
        <v>572</v>
      </c>
      <c r="C308" s="50">
        <v>14.34</v>
      </c>
    </row>
    <row r="309" spans="1:3" ht="18">
      <c r="A309">
        <v>2374</v>
      </c>
      <c r="B309" t="s">
        <v>573</v>
      </c>
      <c r="C309" s="50">
        <v>40.619999999999997</v>
      </c>
    </row>
    <row r="310" spans="1:3" ht="18">
      <c r="A310">
        <v>2375</v>
      </c>
      <c r="B310" t="s">
        <v>574</v>
      </c>
      <c r="C310" s="50">
        <v>22.67</v>
      </c>
    </row>
    <row r="311" spans="1:3" ht="18">
      <c r="A311">
        <v>2376</v>
      </c>
      <c r="B311" t="s">
        <v>575</v>
      </c>
      <c r="C311" s="50">
        <v>35.9</v>
      </c>
    </row>
    <row r="312" spans="1:3" ht="18">
      <c r="A312">
        <v>2377</v>
      </c>
      <c r="B312" t="s">
        <v>576</v>
      </c>
      <c r="C312" s="50">
        <v>23.48</v>
      </c>
    </row>
    <row r="313" spans="1:3" ht="18">
      <c r="A313">
        <v>2379</v>
      </c>
      <c r="B313" t="s">
        <v>577</v>
      </c>
      <c r="C313" s="50">
        <v>26.55</v>
      </c>
    </row>
    <row r="314" spans="1:3" ht="18">
      <c r="A314">
        <v>2380</v>
      </c>
      <c r="B314" t="s">
        <v>578</v>
      </c>
      <c r="C314" s="50" t="s">
        <v>271</v>
      </c>
    </row>
    <row r="315" spans="1:3" ht="18">
      <c r="A315">
        <v>2382</v>
      </c>
      <c r="B315" t="s">
        <v>579</v>
      </c>
      <c r="C315" s="50">
        <v>22.54</v>
      </c>
    </row>
    <row r="316" spans="1:3" ht="18">
      <c r="A316">
        <v>2383</v>
      </c>
      <c r="B316" t="s">
        <v>580</v>
      </c>
      <c r="C316" s="50">
        <v>26.84</v>
      </c>
    </row>
    <row r="317" spans="1:3" ht="18">
      <c r="A317">
        <v>2385</v>
      </c>
      <c r="B317" t="s">
        <v>581</v>
      </c>
      <c r="C317" s="50">
        <v>17.82</v>
      </c>
    </row>
    <row r="318" spans="1:3" ht="18">
      <c r="A318">
        <v>2387</v>
      </c>
      <c r="B318" t="s">
        <v>582</v>
      </c>
      <c r="C318" s="50">
        <v>8.56</v>
      </c>
    </row>
    <row r="319" spans="1:3" ht="18">
      <c r="A319">
        <v>2388</v>
      </c>
      <c r="B319" t="s">
        <v>583</v>
      </c>
      <c r="C319" s="50">
        <v>680.43</v>
      </c>
    </row>
    <row r="320" spans="1:3" ht="18">
      <c r="A320">
        <v>2390</v>
      </c>
      <c r="B320" t="s">
        <v>584</v>
      </c>
      <c r="C320" s="50" t="s">
        <v>271</v>
      </c>
    </row>
    <row r="321" spans="1:3" ht="18">
      <c r="A321">
        <v>2392</v>
      </c>
      <c r="B321" t="s">
        <v>585</v>
      </c>
      <c r="C321" s="50">
        <v>16.48</v>
      </c>
    </row>
    <row r="322" spans="1:3" ht="18">
      <c r="A322">
        <v>2393</v>
      </c>
      <c r="B322" t="s">
        <v>586</v>
      </c>
      <c r="C322" s="50">
        <v>17.36</v>
      </c>
    </row>
    <row r="323" spans="1:3" ht="18">
      <c r="A323">
        <v>2395</v>
      </c>
      <c r="B323" t="s">
        <v>587</v>
      </c>
      <c r="C323" s="50">
        <v>28.77</v>
      </c>
    </row>
    <row r="324" spans="1:3" ht="18">
      <c r="A324">
        <v>2397</v>
      </c>
      <c r="B324" t="s">
        <v>588</v>
      </c>
      <c r="C324" s="50">
        <v>18.579999999999998</v>
      </c>
    </row>
    <row r="325" spans="1:3" ht="18">
      <c r="A325">
        <v>2399</v>
      </c>
      <c r="B325" t="s">
        <v>589</v>
      </c>
      <c r="C325" s="50" t="s">
        <v>271</v>
      </c>
    </row>
    <row r="326" spans="1:3" ht="18">
      <c r="A326">
        <v>2401</v>
      </c>
      <c r="B326" t="s">
        <v>590</v>
      </c>
      <c r="C326" s="50" t="s">
        <v>271</v>
      </c>
    </row>
    <row r="327" spans="1:3" ht="18">
      <c r="A327">
        <v>2402</v>
      </c>
      <c r="B327" t="s">
        <v>591</v>
      </c>
      <c r="C327" s="50">
        <v>22.88</v>
      </c>
    </row>
    <row r="328" spans="1:3" ht="18">
      <c r="A328">
        <v>2404</v>
      </c>
      <c r="B328" t="s">
        <v>592</v>
      </c>
      <c r="C328" s="50">
        <v>10.61</v>
      </c>
    </row>
    <row r="329" spans="1:3" ht="18">
      <c r="A329">
        <v>2405</v>
      </c>
      <c r="B329" t="s">
        <v>593</v>
      </c>
      <c r="C329" s="50" t="s">
        <v>271</v>
      </c>
    </row>
    <row r="330" spans="1:3" ht="18">
      <c r="A330">
        <v>2406</v>
      </c>
      <c r="B330" t="s">
        <v>594</v>
      </c>
      <c r="C330" s="50" t="s">
        <v>271</v>
      </c>
    </row>
    <row r="331" spans="1:3" ht="18">
      <c r="A331">
        <v>2408</v>
      </c>
      <c r="B331" t="s">
        <v>595</v>
      </c>
      <c r="C331" s="50" t="s">
        <v>271</v>
      </c>
    </row>
    <row r="332" spans="1:3" ht="18">
      <c r="A332">
        <v>2409</v>
      </c>
      <c r="B332" t="s">
        <v>596</v>
      </c>
      <c r="C332" s="50" t="s">
        <v>271</v>
      </c>
    </row>
    <row r="333" spans="1:3" ht="18">
      <c r="A333">
        <v>2412</v>
      </c>
      <c r="B333" t="s">
        <v>597</v>
      </c>
      <c r="C333" s="50">
        <v>25.1</v>
      </c>
    </row>
    <row r="334" spans="1:3" ht="18">
      <c r="A334">
        <v>2413</v>
      </c>
      <c r="B334" t="s">
        <v>598</v>
      </c>
      <c r="C334" s="50">
        <v>15.67</v>
      </c>
    </row>
    <row r="335" spans="1:3" ht="18">
      <c r="A335">
        <v>2414</v>
      </c>
      <c r="B335" t="s">
        <v>599</v>
      </c>
      <c r="C335" s="50">
        <v>15.15</v>
      </c>
    </row>
    <row r="336" spans="1:3" ht="18">
      <c r="A336">
        <v>2415</v>
      </c>
      <c r="B336" t="s">
        <v>600</v>
      </c>
      <c r="C336" s="50" t="s">
        <v>271</v>
      </c>
    </row>
    <row r="337" spans="1:3" ht="18">
      <c r="A337">
        <v>2417</v>
      </c>
      <c r="B337" t="s">
        <v>601</v>
      </c>
      <c r="C337" s="50" t="s">
        <v>271</v>
      </c>
    </row>
    <row r="338" spans="1:3" ht="18">
      <c r="A338">
        <v>2419</v>
      </c>
      <c r="B338" t="s">
        <v>602</v>
      </c>
      <c r="C338" s="50">
        <v>64.72</v>
      </c>
    </row>
    <row r="339" spans="1:3" ht="18">
      <c r="A339">
        <v>2420</v>
      </c>
      <c r="B339" t="s">
        <v>603</v>
      </c>
      <c r="C339" s="50">
        <v>12.94</v>
      </c>
    </row>
    <row r="340" spans="1:3" ht="18">
      <c r="A340">
        <v>2421</v>
      </c>
      <c r="B340" t="s">
        <v>604</v>
      </c>
      <c r="C340" s="50">
        <v>19.62</v>
      </c>
    </row>
    <row r="341" spans="1:3" ht="18">
      <c r="A341">
        <v>2423</v>
      </c>
      <c r="B341" t="s">
        <v>605</v>
      </c>
      <c r="C341" s="50">
        <v>14.21</v>
      </c>
    </row>
    <row r="342" spans="1:3" ht="18">
      <c r="A342">
        <v>2424</v>
      </c>
      <c r="B342" t="s">
        <v>606</v>
      </c>
      <c r="C342" s="50" t="s">
        <v>271</v>
      </c>
    </row>
    <row r="343" spans="1:3" ht="18">
      <c r="A343">
        <v>2425</v>
      </c>
      <c r="B343" t="s">
        <v>607</v>
      </c>
      <c r="C343" s="50">
        <v>25.4</v>
      </c>
    </row>
    <row r="344" spans="1:3" ht="18">
      <c r="A344">
        <v>2426</v>
      </c>
      <c r="B344" t="s">
        <v>608</v>
      </c>
      <c r="C344" s="50" t="s">
        <v>271</v>
      </c>
    </row>
    <row r="345" spans="1:3" ht="18">
      <c r="A345">
        <v>2427</v>
      </c>
      <c r="B345" t="s">
        <v>609</v>
      </c>
      <c r="C345" s="50">
        <v>23.17</v>
      </c>
    </row>
    <row r="346" spans="1:3" ht="18">
      <c r="A346">
        <v>2428</v>
      </c>
      <c r="B346" t="s">
        <v>610</v>
      </c>
      <c r="C346" s="50">
        <v>19.329999999999998</v>
      </c>
    </row>
    <row r="347" spans="1:3" ht="18">
      <c r="A347">
        <v>2429</v>
      </c>
      <c r="B347" t="s">
        <v>611</v>
      </c>
      <c r="C347" s="50" t="s">
        <v>271</v>
      </c>
    </row>
    <row r="348" spans="1:3" ht="18">
      <c r="A348">
        <v>2430</v>
      </c>
      <c r="B348" t="s">
        <v>612</v>
      </c>
      <c r="C348" s="50">
        <v>13.95</v>
      </c>
    </row>
    <row r="349" spans="1:3" ht="18">
      <c r="A349">
        <v>2431</v>
      </c>
      <c r="B349" t="s">
        <v>613</v>
      </c>
      <c r="C349" s="50" t="s">
        <v>271</v>
      </c>
    </row>
    <row r="350" spans="1:3" ht="18">
      <c r="A350">
        <v>2432</v>
      </c>
      <c r="B350" t="s">
        <v>2051</v>
      </c>
      <c r="C350" s="50">
        <v>20.62</v>
      </c>
    </row>
    <row r="351" spans="1:3" ht="18">
      <c r="A351">
        <v>2433</v>
      </c>
      <c r="B351" t="s">
        <v>614</v>
      </c>
      <c r="C351" s="50">
        <v>14.99</v>
      </c>
    </row>
    <row r="352" spans="1:3" ht="18">
      <c r="A352">
        <v>2434</v>
      </c>
      <c r="B352" t="s">
        <v>615</v>
      </c>
      <c r="C352" s="50" t="s">
        <v>271</v>
      </c>
    </row>
    <row r="353" spans="1:3" ht="18">
      <c r="A353">
        <v>2436</v>
      </c>
      <c r="B353" t="s">
        <v>616</v>
      </c>
      <c r="C353" s="50">
        <v>65.13</v>
      </c>
    </row>
    <row r="354" spans="1:3" ht="18">
      <c r="A354">
        <v>2438</v>
      </c>
      <c r="B354" t="s">
        <v>617</v>
      </c>
      <c r="C354" s="50" t="s">
        <v>271</v>
      </c>
    </row>
    <row r="355" spans="1:3" ht="18">
      <c r="A355">
        <v>2439</v>
      </c>
      <c r="B355" t="s">
        <v>618</v>
      </c>
      <c r="C355" s="50">
        <v>19.91</v>
      </c>
    </row>
    <row r="356" spans="1:3" ht="18">
      <c r="A356">
        <v>2440</v>
      </c>
      <c r="B356" t="s">
        <v>619</v>
      </c>
      <c r="C356" s="50" t="s">
        <v>271</v>
      </c>
    </row>
    <row r="357" spans="1:3" ht="18">
      <c r="A357">
        <v>2441</v>
      </c>
      <c r="B357" t="s">
        <v>620</v>
      </c>
      <c r="C357" s="50">
        <v>19.010000000000002</v>
      </c>
    </row>
    <row r="358" spans="1:3" ht="18">
      <c r="A358">
        <v>2442</v>
      </c>
      <c r="B358" t="s">
        <v>621</v>
      </c>
      <c r="C358" s="50">
        <v>24.95</v>
      </c>
    </row>
    <row r="359" spans="1:3" ht="18">
      <c r="A359">
        <v>2443</v>
      </c>
      <c r="B359" t="s">
        <v>622</v>
      </c>
      <c r="C359" s="50">
        <v>3.32</v>
      </c>
    </row>
    <row r="360" spans="1:3" ht="18">
      <c r="A360">
        <v>2444</v>
      </c>
      <c r="B360" t="s">
        <v>623</v>
      </c>
      <c r="C360" s="50">
        <v>30</v>
      </c>
    </row>
    <row r="361" spans="1:3" ht="18">
      <c r="A361">
        <v>2449</v>
      </c>
      <c r="B361" t="s">
        <v>624</v>
      </c>
      <c r="C361" s="50">
        <v>17.989999999999998</v>
      </c>
    </row>
    <row r="362" spans="1:3" ht="18">
      <c r="A362">
        <v>2450</v>
      </c>
      <c r="B362" t="s">
        <v>625</v>
      </c>
      <c r="C362" s="50">
        <v>13.68</v>
      </c>
    </row>
    <row r="363" spans="1:3" ht="18">
      <c r="A363">
        <v>2451</v>
      </c>
      <c r="B363" t="s">
        <v>626</v>
      </c>
      <c r="C363" s="50">
        <v>22.96</v>
      </c>
    </row>
    <row r="364" spans="1:3" ht="18">
      <c r="A364">
        <v>2453</v>
      </c>
      <c r="B364" t="s">
        <v>627</v>
      </c>
      <c r="C364" s="50">
        <v>19.34</v>
      </c>
    </row>
    <row r="365" spans="1:3" ht="18">
      <c r="A365">
        <v>2454</v>
      </c>
      <c r="B365" t="s">
        <v>628</v>
      </c>
      <c r="C365" s="50">
        <v>23.15</v>
      </c>
    </row>
    <row r="366" spans="1:3" ht="18">
      <c r="A366">
        <v>2455</v>
      </c>
      <c r="B366" t="s">
        <v>629</v>
      </c>
      <c r="C366" s="50">
        <v>99.07</v>
      </c>
    </row>
    <row r="367" spans="1:3" ht="18">
      <c r="A367">
        <v>2457</v>
      </c>
      <c r="B367" t="s">
        <v>630</v>
      </c>
      <c r="C367" s="50">
        <v>69.290000000000006</v>
      </c>
    </row>
    <row r="368" spans="1:3" ht="18">
      <c r="A368">
        <v>2458</v>
      </c>
      <c r="B368" t="s">
        <v>631</v>
      </c>
      <c r="C368" s="50">
        <v>28.66</v>
      </c>
    </row>
    <row r="369" spans="1:3" ht="18">
      <c r="A369">
        <v>2459</v>
      </c>
      <c r="B369" t="s">
        <v>632</v>
      </c>
      <c r="C369" s="51">
        <v>12.98</v>
      </c>
    </row>
    <row r="370" spans="1:3" ht="18">
      <c r="A370">
        <v>2460</v>
      </c>
      <c r="B370" t="s">
        <v>633</v>
      </c>
      <c r="C370" s="50" t="s">
        <v>271</v>
      </c>
    </row>
    <row r="371" spans="1:3" ht="18">
      <c r="A371">
        <v>2461</v>
      </c>
      <c r="B371" t="s">
        <v>634</v>
      </c>
      <c r="C371" s="50">
        <v>20.59</v>
      </c>
    </row>
    <row r="372" spans="1:3" ht="18">
      <c r="A372">
        <v>2462</v>
      </c>
      <c r="B372" t="s">
        <v>635</v>
      </c>
      <c r="C372" s="51">
        <v>15.3</v>
      </c>
    </row>
    <row r="373" spans="1:3" ht="18">
      <c r="A373">
        <v>2464</v>
      </c>
      <c r="B373" t="s">
        <v>636</v>
      </c>
      <c r="C373" s="50">
        <v>128.57</v>
      </c>
    </row>
    <row r="374" spans="1:3" ht="18">
      <c r="A374">
        <v>2465</v>
      </c>
      <c r="B374" t="s">
        <v>637</v>
      </c>
      <c r="C374" s="50" t="s">
        <v>271</v>
      </c>
    </row>
    <row r="375" spans="1:3" ht="18">
      <c r="A375">
        <v>2466</v>
      </c>
      <c r="B375" t="s">
        <v>638</v>
      </c>
      <c r="C375" s="50" t="s">
        <v>271</v>
      </c>
    </row>
    <row r="376" spans="1:3" ht="18">
      <c r="A376">
        <v>2467</v>
      </c>
      <c r="B376" t="s">
        <v>639</v>
      </c>
      <c r="C376" s="50">
        <v>18.899999999999999</v>
      </c>
    </row>
    <row r="377" spans="1:3" ht="18">
      <c r="A377">
        <v>2468</v>
      </c>
      <c r="B377" t="s">
        <v>640</v>
      </c>
      <c r="C377" s="50">
        <v>28.74</v>
      </c>
    </row>
    <row r="378" spans="1:3" ht="18">
      <c r="A378">
        <v>2471</v>
      </c>
      <c r="B378" t="s">
        <v>641</v>
      </c>
      <c r="C378" s="50">
        <v>14.81</v>
      </c>
    </row>
    <row r="379" spans="1:3" ht="18">
      <c r="A379">
        <v>2472</v>
      </c>
      <c r="B379" t="s">
        <v>642</v>
      </c>
      <c r="C379" s="50">
        <v>13.73</v>
      </c>
    </row>
    <row r="380" spans="1:3" ht="18">
      <c r="A380">
        <v>2474</v>
      </c>
      <c r="B380" t="s">
        <v>643</v>
      </c>
      <c r="C380" s="50">
        <v>13.02</v>
      </c>
    </row>
    <row r="381" spans="1:3" ht="18">
      <c r="A381">
        <v>2476</v>
      </c>
      <c r="B381" t="s">
        <v>644</v>
      </c>
      <c r="C381" s="50">
        <v>20.11</v>
      </c>
    </row>
    <row r="382" spans="1:3" ht="18">
      <c r="A382">
        <v>2477</v>
      </c>
      <c r="B382" t="s">
        <v>645</v>
      </c>
      <c r="C382" s="50" t="s">
        <v>271</v>
      </c>
    </row>
    <row r="383" spans="1:3" ht="18">
      <c r="A383">
        <v>2478</v>
      </c>
      <c r="B383" t="s">
        <v>646</v>
      </c>
      <c r="C383" s="50">
        <v>18.91</v>
      </c>
    </row>
    <row r="384" spans="1:3" ht="18">
      <c r="A384">
        <v>2480</v>
      </c>
      <c r="B384" t="s">
        <v>647</v>
      </c>
      <c r="C384" s="50">
        <v>16.309999999999999</v>
      </c>
    </row>
    <row r="385" spans="1:3" ht="18">
      <c r="A385">
        <v>2481</v>
      </c>
      <c r="B385" t="s">
        <v>648</v>
      </c>
      <c r="C385" s="50">
        <v>31.16</v>
      </c>
    </row>
    <row r="386" spans="1:3" ht="18">
      <c r="A386">
        <v>2482</v>
      </c>
      <c r="B386" t="s">
        <v>649</v>
      </c>
      <c r="C386" s="50">
        <v>12.41</v>
      </c>
    </row>
    <row r="387" spans="1:3" ht="18">
      <c r="A387">
        <v>2483</v>
      </c>
      <c r="B387" t="s">
        <v>650</v>
      </c>
      <c r="C387" s="50">
        <v>49.18</v>
      </c>
    </row>
    <row r="388" spans="1:3" ht="18">
      <c r="A388">
        <v>2484</v>
      </c>
      <c r="B388" t="s">
        <v>651</v>
      </c>
      <c r="C388" s="50">
        <v>15.37</v>
      </c>
    </row>
    <row r="389" spans="1:3" ht="18">
      <c r="A389">
        <v>2485</v>
      </c>
      <c r="B389" t="s">
        <v>652</v>
      </c>
      <c r="C389" s="50">
        <v>91.67</v>
      </c>
    </row>
    <row r="390" spans="1:3" ht="18">
      <c r="A390">
        <v>2486</v>
      </c>
      <c r="B390" t="s">
        <v>653</v>
      </c>
      <c r="C390" s="50">
        <v>74.290000000000006</v>
      </c>
    </row>
    <row r="391" spans="1:3" ht="18">
      <c r="A391">
        <v>2488</v>
      </c>
      <c r="B391" t="s">
        <v>654</v>
      </c>
      <c r="C391" s="50">
        <v>9.33</v>
      </c>
    </row>
    <row r="392" spans="1:3" ht="18">
      <c r="A392">
        <v>2489</v>
      </c>
      <c r="B392" t="s">
        <v>655</v>
      </c>
      <c r="C392" s="50" t="s">
        <v>271</v>
      </c>
    </row>
    <row r="393" spans="1:3" ht="18">
      <c r="A393">
        <v>2491</v>
      </c>
      <c r="B393" t="s">
        <v>656</v>
      </c>
      <c r="C393" s="50">
        <v>48.28</v>
      </c>
    </row>
    <row r="394" spans="1:3" ht="18">
      <c r="A394">
        <v>2492</v>
      </c>
      <c r="B394" t="s">
        <v>657</v>
      </c>
      <c r="C394" s="50">
        <v>35.24</v>
      </c>
    </row>
    <row r="395" spans="1:3" ht="18">
      <c r="A395">
        <v>2493</v>
      </c>
      <c r="B395" t="s">
        <v>658</v>
      </c>
      <c r="C395" s="50">
        <v>12.92</v>
      </c>
    </row>
    <row r="396" spans="1:3" ht="18">
      <c r="A396">
        <v>2495</v>
      </c>
      <c r="B396" t="s">
        <v>659</v>
      </c>
      <c r="C396" s="50">
        <v>18.850000000000001</v>
      </c>
    </row>
    <row r="397" spans="1:3" ht="18">
      <c r="A397">
        <v>2496</v>
      </c>
      <c r="B397" t="s">
        <v>660</v>
      </c>
      <c r="C397" s="50">
        <v>13.23</v>
      </c>
    </row>
    <row r="398" spans="1:3" ht="18">
      <c r="A398">
        <v>2497</v>
      </c>
      <c r="B398" t="s">
        <v>661</v>
      </c>
      <c r="C398" s="50">
        <v>29.28</v>
      </c>
    </row>
    <row r="399" spans="1:3" ht="18">
      <c r="A399">
        <v>2498</v>
      </c>
      <c r="B399" t="s">
        <v>662</v>
      </c>
      <c r="C399" s="50" t="s">
        <v>271</v>
      </c>
    </row>
    <row r="400" spans="1:3" ht="18">
      <c r="A400">
        <v>2501</v>
      </c>
      <c r="B400" t="s">
        <v>663</v>
      </c>
      <c r="C400" s="50">
        <v>11.13</v>
      </c>
    </row>
    <row r="401" spans="1:3" ht="18">
      <c r="A401">
        <v>2504</v>
      </c>
      <c r="B401" t="s">
        <v>664</v>
      </c>
      <c r="C401" s="50">
        <v>10.95</v>
      </c>
    </row>
    <row r="402" spans="1:3" ht="18">
      <c r="A402">
        <v>2505</v>
      </c>
      <c r="B402" t="s">
        <v>665</v>
      </c>
      <c r="C402" s="50">
        <v>81.03</v>
      </c>
    </row>
    <row r="403" spans="1:3" ht="18">
      <c r="A403">
        <v>2506</v>
      </c>
      <c r="B403" t="s">
        <v>666</v>
      </c>
      <c r="C403" s="50" t="s">
        <v>271</v>
      </c>
    </row>
    <row r="404" spans="1:3" ht="18">
      <c r="A404">
        <v>2509</v>
      </c>
      <c r="B404" t="s">
        <v>667</v>
      </c>
      <c r="C404" s="50" t="s">
        <v>271</v>
      </c>
    </row>
    <row r="405" spans="1:3" ht="18">
      <c r="A405">
        <v>2511</v>
      </c>
      <c r="B405" t="s">
        <v>668</v>
      </c>
      <c r="C405" s="50">
        <v>22.65</v>
      </c>
    </row>
    <row r="406" spans="1:3" ht="18">
      <c r="A406">
        <v>2514</v>
      </c>
      <c r="B406" t="s">
        <v>669</v>
      </c>
      <c r="C406" s="50">
        <v>11.61</v>
      </c>
    </row>
    <row r="407" spans="1:3" ht="18">
      <c r="A407">
        <v>2515</v>
      </c>
      <c r="B407" t="s">
        <v>670</v>
      </c>
      <c r="C407" s="50">
        <v>30.93</v>
      </c>
    </row>
    <row r="408" spans="1:3" ht="18">
      <c r="A408">
        <v>2516</v>
      </c>
      <c r="B408" t="s">
        <v>671</v>
      </c>
      <c r="C408" s="50" t="s">
        <v>271</v>
      </c>
    </row>
    <row r="409" spans="1:3" ht="18">
      <c r="A409">
        <v>2520</v>
      </c>
      <c r="B409" t="s">
        <v>672</v>
      </c>
      <c r="C409" s="50">
        <v>9.64</v>
      </c>
    </row>
    <row r="410" spans="1:3" ht="18">
      <c r="A410">
        <v>2524</v>
      </c>
      <c r="B410" t="s">
        <v>673</v>
      </c>
      <c r="C410" s="50">
        <v>14.19</v>
      </c>
    </row>
    <row r="411" spans="1:3" ht="18">
      <c r="A411">
        <v>2527</v>
      </c>
      <c r="B411" t="s">
        <v>674</v>
      </c>
      <c r="C411" s="50">
        <v>14.16</v>
      </c>
    </row>
    <row r="412" spans="1:3" ht="18">
      <c r="A412">
        <v>2528</v>
      </c>
      <c r="B412" t="s">
        <v>675</v>
      </c>
      <c r="C412" s="50">
        <v>37.549999999999997</v>
      </c>
    </row>
    <row r="413" spans="1:3" ht="18">
      <c r="A413">
        <v>2530</v>
      </c>
      <c r="B413" t="s">
        <v>676</v>
      </c>
      <c r="C413" s="50">
        <v>94.34</v>
      </c>
    </row>
    <row r="414" spans="1:3" ht="18">
      <c r="A414">
        <v>2534</v>
      </c>
      <c r="B414" t="s">
        <v>677</v>
      </c>
      <c r="C414" s="50">
        <v>6.51</v>
      </c>
    </row>
    <row r="415" spans="1:3" ht="18">
      <c r="A415">
        <v>2535</v>
      </c>
      <c r="B415" t="s">
        <v>678</v>
      </c>
      <c r="C415" s="50">
        <v>9</v>
      </c>
    </row>
    <row r="416" spans="1:3" ht="18">
      <c r="A416">
        <v>2536</v>
      </c>
      <c r="B416" t="s">
        <v>679</v>
      </c>
      <c r="C416" s="51" t="s">
        <v>271</v>
      </c>
    </row>
    <row r="417" spans="1:3" ht="18">
      <c r="A417">
        <v>2537</v>
      </c>
      <c r="B417" t="s">
        <v>680</v>
      </c>
      <c r="C417" s="50" t="s">
        <v>271</v>
      </c>
    </row>
    <row r="418" spans="1:3" ht="18">
      <c r="A418">
        <v>2538</v>
      </c>
      <c r="B418" t="s">
        <v>681</v>
      </c>
      <c r="C418" s="50">
        <v>14.67</v>
      </c>
    </row>
    <row r="419" spans="1:3" ht="18">
      <c r="A419">
        <v>2539</v>
      </c>
      <c r="B419" t="s">
        <v>682</v>
      </c>
      <c r="C419" s="50">
        <v>41.02</v>
      </c>
    </row>
    <row r="420" spans="1:3" ht="18">
      <c r="A420">
        <v>2540</v>
      </c>
      <c r="B420" t="s">
        <v>683</v>
      </c>
      <c r="C420" s="50">
        <v>33.32</v>
      </c>
    </row>
    <row r="421" spans="1:3" ht="18">
      <c r="A421">
        <v>2542</v>
      </c>
      <c r="B421" t="s">
        <v>684</v>
      </c>
      <c r="C421" s="50">
        <v>13.69</v>
      </c>
    </row>
    <row r="422" spans="1:3" ht="18">
      <c r="A422">
        <v>2543</v>
      </c>
      <c r="B422" t="s">
        <v>685</v>
      </c>
      <c r="C422" s="50">
        <v>18.32</v>
      </c>
    </row>
    <row r="423" spans="1:3" ht="18">
      <c r="A423">
        <v>2545</v>
      </c>
      <c r="B423" t="s">
        <v>686</v>
      </c>
      <c r="C423" s="50">
        <v>119.58</v>
      </c>
    </row>
    <row r="424" spans="1:3" ht="18">
      <c r="A424">
        <v>2546</v>
      </c>
      <c r="B424" t="s">
        <v>687</v>
      </c>
      <c r="C424" s="50">
        <v>8.27</v>
      </c>
    </row>
    <row r="425" spans="1:3" ht="18">
      <c r="A425">
        <v>2547</v>
      </c>
      <c r="B425" t="s">
        <v>688</v>
      </c>
      <c r="C425" s="50" t="s">
        <v>271</v>
      </c>
    </row>
    <row r="426" spans="1:3" ht="18">
      <c r="A426">
        <v>2548</v>
      </c>
      <c r="B426" t="s">
        <v>689</v>
      </c>
      <c r="C426" s="50">
        <v>12.98</v>
      </c>
    </row>
    <row r="427" spans="1:3" ht="18">
      <c r="A427">
        <v>2597</v>
      </c>
      <c r="B427" t="s">
        <v>690</v>
      </c>
      <c r="C427" s="50">
        <v>12.12</v>
      </c>
    </row>
    <row r="428" spans="1:3" ht="18">
      <c r="A428">
        <v>2601</v>
      </c>
      <c r="B428" t="s">
        <v>691</v>
      </c>
      <c r="C428" s="50" t="s">
        <v>271</v>
      </c>
    </row>
    <row r="429" spans="1:3" ht="18">
      <c r="A429">
        <v>2603</v>
      </c>
      <c r="B429" t="s">
        <v>692</v>
      </c>
      <c r="C429" s="50">
        <v>4.91</v>
      </c>
    </row>
    <row r="430" spans="1:3" ht="18">
      <c r="A430">
        <v>2605</v>
      </c>
      <c r="B430" t="s">
        <v>693</v>
      </c>
      <c r="C430" s="50">
        <v>25.87</v>
      </c>
    </row>
    <row r="431" spans="1:3" ht="18">
      <c r="A431">
        <v>2606</v>
      </c>
      <c r="B431" t="s">
        <v>694</v>
      </c>
      <c r="C431" s="50">
        <v>18.670000000000002</v>
      </c>
    </row>
    <row r="432" spans="1:3" ht="18">
      <c r="A432">
        <v>2607</v>
      </c>
      <c r="B432" t="s">
        <v>695</v>
      </c>
      <c r="C432" s="50">
        <v>11.49</v>
      </c>
    </row>
    <row r="433" spans="1:3" ht="18">
      <c r="A433">
        <v>2608</v>
      </c>
      <c r="B433" t="s">
        <v>696</v>
      </c>
      <c r="C433" s="50">
        <v>10.52</v>
      </c>
    </row>
    <row r="434" spans="1:3" ht="18">
      <c r="A434">
        <v>2609</v>
      </c>
      <c r="B434" t="s">
        <v>697</v>
      </c>
      <c r="C434" s="50">
        <v>8.61</v>
      </c>
    </row>
    <row r="435" spans="1:3" ht="18">
      <c r="A435">
        <v>2610</v>
      </c>
      <c r="B435" t="s">
        <v>698</v>
      </c>
      <c r="C435" s="50">
        <v>21.44</v>
      </c>
    </row>
    <row r="436" spans="1:3" ht="18">
      <c r="A436">
        <v>2611</v>
      </c>
      <c r="B436" t="s">
        <v>699</v>
      </c>
      <c r="C436" s="50">
        <v>11.14</v>
      </c>
    </row>
    <row r="437" spans="1:3" ht="18">
      <c r="A437">
        <v>2612</v>
      </c>
      <c r="B437" t="s">
        <v>700</v>
      </c>
      <c r="C437" s="50">
        <v>20.32</v>
      </c>
    </row>
    <row r="438" spans="1:3" ht="18">
      <c r="A438">
        <v>2613</v>
      </c>
      <c r="B438" t="s">
        <v>701</v>
      </c>
      <c r="C438" s="50">
        <v>43.77</v>
      </c>
    </row>
    <row r="439" spans="1:3" ht="18">
      <c r="A439">
        <v>2614</v>
      </c>
      <c r="B439" t="s">
        <v>702</v>
      </c>
      <c r="C439" s="50" t="s">
        <v>271</v>
      </c>
    </row>
    <row r="440" spans="1:3" ht="18">
      <c r="A440">
        <v>2615</v>
      </c>
      <c r="B440" t="s">
        <v>703</v>
      </c>
      <c r="C440" s="50" t="s">
        <v>271</v>
      </c>
    </row>
    <row r="441" spans="1:3" ht="18">
      <c r="A441">
        <v>2616</v>
      </c>
      <c r="B441" t="s">
        <v>704</v>
      </c>
      <c r="C441" s="50">
        <v>29.13</v>
      </c>
    </row>
    <row r="442" spans="1:3" ht="18">
      <c r="A442">
        <v>2617</v>
      </c>
      <c r="B442" t="s">
        <v>705</v>
      </c>
      <c r="C442" s="50">
        <v>7.6</v>
      </c>
    </row>
    <row r="443" spans="1:3" ht="18">
      <c r="A443">
        <v>2618</v>
      </c>
      <c r="B443" t="s">
        <v>706</v>
      </c>
      <c r="C443" s="50">
        <v>9.92</v>
      </c>
    </row>
    <row r="444" spans="1:3" ht="18">
      <c r="A444">
        <v>2630</v>
      </c>
      <c r="B444" t="s">
        <v>707</v>
      </c>
      <c r="C444" s="50">
        <v>267.86</v>
      </c>
    </row>
    <row r="445" spans="1:3" ht="18">
      <c r="A445">
        <v>2633</v>
      </c>
      <c r="B445" t="s">
        <v>708</v>
      </c>
      <c r="C445" s="50">
        <v>26.02</v>
      </c>
    </row>
    <row r="446" spans="1:3" ht="18">
      <c r="A446">
        <v>2634</v>
      </c>
      <c r="B446" t="s">
        <v>709</v>
      </c>
      <c r="C446" s="50">
        <v>22.81</v>
      </c>
    </row>
    <row r="447" spans="1:3" ht="18">
      <c r="A447">
        <v>2636</v>
      </c>
      <c r="B447" t="s">
        <v>710</v>
      </c>
      <c r="C447" s="50">
        <v>8.27</v>
      </c>
    </row>
    <row r="448" spans="1:3" ht="18">
      <c r="A448">
        <v>2637</v>
      </c>
      <c r="B448" t="s">
        <v>711</v>
      </c>
      <c r="C448" s="50">
        <v>13.3</v>
      </c>
    </row>
    <row r="449" spans="1:3" ht="18">
      <c r="A449">
        <v>2642</v>
      </c>
      <c r="B449" t="s">
        <v>712</v>
      </c>
      <c r="C449" s="50">
        <v>34.54</v>
      </c>
    </row>
    <row r="450" spans="1:3" ht="18">
      <c r="A450">
        <v>2645</v>
      </c>
      <c r="B450" t="s">
        <v>2077</v>
      </c>
      <c r="C450" s="50">
        <v>23.79</v>
      </c>
    </row>
    <row r="451" spans="1:3" ht="18">
      <c r="A451">
        <v>2701</v>
      </c>
      <c r="B451" t="s">
        <v>713</v>
      </c>
      <c r="C451" s="50">
        <v>28.26</v>
      </c>
    </row>
    <row r="452" spans="1:3" ht="18">
      <c r="A452">
        <v>2702</v>
      </c>
      <c r="B452" t="s">
        <v>714</v>
      </c>
      <c r="C452" s="50">
        <v>9.66</v>
      </c>
    </row>
    <row r="453" spans="1:3" ht="18">
      <c r="A453">
        <v>2704</v>
      </c>
      <c r="B453" t="s">
        <v>715</v>
      </c>
      <c r="C453" s="51">
        <v>11.04</v>
      </c>
    </row>
    <row r="454" spans="1:3" ht="18">
      <c r="A454">
        <v>2705</v>
      </c>
      <c r="B454" t="s">
        <v>716</v>
      </c>
      <c r="C454" s="51" t="s">
        <v>271</v>
      </c>
    </row>
    <row r="455" spans="1:3" ht="18">
      <c r="A455">
        <v>2706</v>
      </c>
      <c r="B455" t="s">
        <v>717</v>
      </c>
      <c r="C455" s="50">
        <v>30</v>
      </c>
    </row>
    <row r="456" spans="1:3" ht="18">
      <c r="A456">
        <v>2707</v>
      </c>
      <c r="B456" t="s">
        <v>718</v>
      </c>
      <c r="C456" s="50">
        <v>21.72</v>
      </c>
    </row>
    <row r="457" spans="1:3" ht="18">
      <c r="A457">
        <v>2712</v>
      </c>
      <c r="B457" t="s">
        <v>719</v>
      </c>
      <c r="C457" s="50">
        <v>58.17</v>
      </c>
    </row>
    <row r="458" spans="1:3" ht="18">
      <c r="A458">
        <v>2722</v>
      </c>
      <c r="B458" t="s">
        <v>720</v>
      </c>
      <c r="C458" s="50">
        <v>66.319999999999993</v>
      </c>
    </row>
    <row r="459" spans="1:3" ht="18">
      <c r="A459">
        <v>2723</v>
      </c>
      <c r="B459" t="s">
        <v>721</v>
      </c>
      <c r="C459" s="50">
        <v>21.01</v>
      </c>
    </row>
    <row r="460" spans="1:3" ht="18">
      <c r="A460">
        <v>2727</v>
      </c>
      <c r="B460" t="s">
        <v>722</v>
      </c>
      <c r="C460" s="50">
        <v>15.6</v>
      </c>
    </row>
    <row r="461" spans="1:3" ht="18">
      <c r="A461">
        <v>2731</v>
      </c>
      <c r="B461" t="s">
        <v>723</v>
      </c>
      <c r="C461" s="50">
        <v>27.89</v>
      </c>
    </row>
    <row r="462" spans="1:3" ht="18">
      <c r="A462">
        <v>2739</v>
      </c>
      <c r="B462" t="s">
        <v>724</v>
      </c>
      <c r="C462" s="50">
        <v>21.13</v>
      </c>
    </row>
    <row r="463" spans="1:3" ht="18">
      <c r="A463">
        <v>2748</v>
      </c>
      <c r="B463" t="s">
        <v>725</v>
      </c>
      <c r="C463" s="50">
        <v>29.09</v>
      </c>
    </row>
    <row r="464" spans="1:3" ht="18">
      <c r="A464">
        <v>2753</v>
      </c>
      <c r="B464" t="s">
        <v>726</v>
      </c>
      <c r="C464" s="50">
        <v>19.22</v>
      </c>
    </row>
    <row r="465" spans="1:3" ht="18">
      <c r="A465">
        <v>2801</v>
      </c>
      <c r="B465" t="s">
        <v>727</v>
      </c>
      <c r="C465" s="50">
        <v>15.3</v>
      </c>
    </row>
    <row r="466" spans="1:3" ht="18">
      <c r="A466">
        <v>2809</v>
      </c>
      <c r="B466" t="s">
        <v>728</v>
      </c>
      <c r="C466" s="50">
        <v>7.91</v>
      </c>
    </row>
    <row r="467" spans="1:3" ht="18">
      <c r="A467">
        <v>2812</v>
      </c>
      <c r="B467" t="s">
        <v>729</v>
      </c>
      <c r="C467" s="50">
        <v>13.14</v>
      </c>
    </row>
    <row r="468" spans="1:3" ht="18">
      <c r="A468">
        <v>2816</v>
      </c>
      <c r="B468" t="s">
        <v>730</v>
      </c>
      <c r="C468" s="50">
        <v>15.95</v>
      </c>
    </row>
    <row r="469" spans="1:3" ht="18">
      <c r="A469">
        <v>2820</v>
      </c>
      <c r="B469" t="s">
        <v>731</v>
      </c>
      <c r="C469" s="50">
        <v>16.78</v>
      </c>
    </row>
    <row r="470" spans="1:3" ht="18">
      <c r="A470">
        <v>2832</v>
      </c>
      <c r="B470" t="s">
        <v>732</v>
      </c>
      <c r="C470" s="50">
        <v>10.73</v>
      </c>
    </row>
    <row r="471" spans="1:3" ht="18">
      <c r="A471">
        <v>2834</v>
      </c>
      <c r="B471" t="s">
        <v>733</v>
      </c>
      <c r="C471" s="50">
        <v>9.86</v>
      </c>
    </row>
    <row r="472" spans="1:3" ht="18">
      <c r="A472">
        <v>2836</v>
      </c>
      <c r="B472" t="s">
        <v>734</v>
      </c>
      <c r="C472" s="50">
        <v>18.559999999999999</v>
      </c>
    </row>
    <row r="473" spans="1:3" ht="18">
      <c r="A473">
        <v>2838</v>
      </c>
      <c r="B473" t="s">
        <v>735</v>
      </c>
      <c r="C473" s="50">
        <v>11.9</v>
      </c>
    </row>
    <row r="474" spans="1:3" ht="18">
      <c r="A474">
        <v>2845</v>
      </c>
      <c r="B474" t="s">
        <v>736</v>
      </c>
      <c r="C474" s="50">
        <v>11.19</v>
      </c>
    </row>
    <row r="475" spans="1:3" ht="18">
      <c r="A475">
        <v>2849</v>
      </c>
      <c r="B475" t="s">
        <v>737</v>
      </c>
      <c r="C475" s="50">
        <v>134.55000000000001</v>
      </c>
    </row>
    <row r="476" spans="1:3" ht="18">
      <c r="A476">
        <v>2850</v>
      </c>
      <c r="B476" t="s">
        <v>738</v>
      </c>
      <c r="C476" s="50">
        <v>8.1</v>
      </c>
    </row>
    <row r="477" spans="1:3" ht="18">
      <c r="A477">
        <v>2851</v>
      </c>
      <c r="B477" t="s">
        <v>739</v>
      </c>
      <c r="C477" s="50">
        <v>10.77</v>
      </c>
    </row>
    <row r="478" spans="1:3" ht="18">
      <c r="A478">
        <v>2852</v>
      </c>
      <c r="B478" t="s">
        <v>740</v>
      </c>
      <c r="C478" s="50">
        <v>10.54</v>
      </c>
    </row>
    <row r="479" spans="1:3" ht="18">
      <c r="A479">
        <v>2855</v>
      </c>
      <c r="B479" t="s">
        <v>741</v>
      </c>
      <c r="C479" s="50">
        <v>10.74</v>
      </c>
    </row>
    <row r="480" spans="1:3" ht="18">
      <c r="A480">
        <v>2867</v>
      </c>
      <c r="B480" t="s">
        <v>742</v>
      </c>
      <c r="C480" s="50" t="s">
        <v>271</v>
      </c>
    </row>
    <row r="481" spans="1:3" ht="18">
      <c r="A481">
        <v>2880</v>
      </c>
      <c r="B481" t="s">
        <v>743</v>
      </c>
      <c r="C481" s="50">
        <v>15</v>
      </c>
    </row>
    <row r="482" spans="1:3" ht="18">
      <c r="A482">
        <v>2881</v>
      </c>
      <c r="B482" t="s">
        <v>744</v>
      </c>
      <c r="C482" s="50">
        <v>30.57</v>
      </c>
    </row>
    <row r="483" spans="1:3" ht="18">
      <c r="A483">
        <v>2882</v>
      </c>
      <c r="B483" t="s">
        <v>745</v>
      </c>
      <c r="C483" s="50">
        <v>17.329999999999998</v>
      </c>
    </row>
    <row r="484" spans="1:3" ht="18">
      <c r="A484">
        <v>2883</v>
      </c>
      <c r="B484" t="s">
        <v>746</v>
      </c>
      <c r="C484" s="50">
        <v>16.96</v>
      </c>
    </row>
    <row r="485" spans="1:3" ht="18">
      <c r="A485">
        <v>2884</v>
      </c>
      <c r="B485" t="s">
        <v>747</v>
      </c>
      <c r="C485" s="50">
        <v>20.16</v>
      </c>
    </row>
    <row r="486" spans="1:3" ht="18">
      <c r="A486">
        <v>2885</v>
      </c>
      <c r="B486" t="s">
        <v>748</v>
      </c>
      <c r="C486" s="50">
        <v>13.8</v>
      </c>
    </row>
    <row r="487" spans="1:3" ht="18">
      <c r="A487">
        <v>2886</v>
      </c>
      <c r="B487" t="s">
        <v>749</v>
      </c>
      <c r="C487" s="50">
        <v>17.350000000000001</v>
      </c>
    </row>
    <row r="488" spans="1:3" ht="18">
      <c r="A488">
        <v>2887</v>
      </c>
      <c r="B488" t="s">
        <v>750</v>
      </c>
      <c r="C488" s="50">
        <v>13.12</v>
      </c>
    </row>
    <row r="489" spans="1:3" ht="18">
      <c r="A489">
        <v>2888</v>
      </c>
      <c r="B489" t="s">
        <v>751</v>
      </c>
      <c r="C489" s="50" t="s">
        <v>271</v>
      </c>
    </row>
    <row r="490" spans="1:3" ht="18">
      <c r="A490">
        <v>2889</v>
      </c>
      <c r="B490" t="s">
        <v>752</v>
      </c>
      <c r="C490" s="50">
        <v>25</v>
      </c>
    </row>
    <row r="491" spans="1:3" ht="18">
      <c r="A491">
        <v>2890</v>
      </c>
      <c r="B491" t="s">
        <v>753</v>
      </c>
      <c r="C491" s="50">
        <v>13.05</v>
      </c>
    </row>
    <row r="492" spans="1:3" ht="18">
      <c r="A492">
        <v>2891</v>
      </c>
      <c r="B492" t="s">
        <v>754</v>
      </c>
      <c r="C492" s="50">
        <v>11.96</v>
      </c>
    </row>
    <row r="493" spans="1:3" ht="18">
      <c r="A493">
        <v>2892</v>
      </c>
      <c r="B493" t="s">
        <v>755</v>
      </c>
      <c r="C493" s="50">
        <v>16.12</v>
      </c>
    </row>
    <row r="494" spans="1:3" ht="18">
      <c r="A494">
        <v>2897</v>
      </c>
      <c r="B494" t="s">
        <v>756</v>
      </c>
      <c r="C494" s="50">
        <v>5.51</v>
      </c>
    </row>
    <row r="495" spans="1:3" ht="18">
      <c r="A495">
        <v>2901</v>
      </c>
      <c r="B495" t="s">
        <v>757</v>
      </c>
      <c r="C495" s="50">
        <v>78.819999999999993</v>
      </c>
    </row>
    <row r="496" spans="1:3" ht="18">
      <c r="A496">
        <v>2903</v>
      </c>
      <c r="B496" t="s">
        <v>758</v>
      </c>
      <c r="C496" s="50">
        <v>12.19</v>
      </c>
    </row>
    <row r="497" spans="1:3" ht="18">
      <c r="A497">
        <v>2904</v>
      </c>
      <c r="B497" t="s">
        <v>759</v>
      </c>
      <c r="C497" s="50">
        <v>17.39</v>
      </c>
    </row>
    <row r="498" spans="1:3" ht="18">
      <c r="A498">
        <v>2905</v>
      </c>
      <c r="B498" t="s">
        <v>760</v>
      </c>
      <c r="C498" s="50" t="s">
        <v>271</v>
      </c>
    </row>
    <row r="499" spans="1:3" ht="18">
      <c r="A499">
        <v>2906</v>
      </c>
      <c r="B499" t="s">
        <v>761</v>
      </c>
      <c r="C499" s="50">
        <v>52.71</v>
      </c>
    </row>
    <row r="500" spans="1:3" ht="18">
      <c r="A500">
        <v>2908</v>
      </c>
      <c r="B500" t="s">
        <v>762</v>
      </c>
      <c r="C500" s="50">
        <v>50</v>
      </c>
    </row>
    <row r="501" spans="1:3" ht="18">
      <c r="A501">
        <v>2910</v>
      </c>
      <c r="B501" t="s">
        <v>763</v>
      </c>
      <c r="C501" s="51">
        <v>27.82</v>
      </c>
    </row>
    <row r="502" spans="1:3" ht="18">
      <c r="A502">
        <v>2911</v>
      </c>
      <c r="B502" t="s">
        <v>764</v>
      </c>
      <c r="C502" s="50" t="s">
        <v>271</v>
      </c>
    </row>
    <row r="503" spans="1:3" ht="18">
      <c r="A503">
        <v>2912</v>
      </c>
      <c r="B503" t="s">
        <v>765</v>
      </c>
      <c r="C503" s="50">
        <v>27</v>
      </c>
    </row>
    <row r="504" spans="1:3" ht="18">
      <c r="A504">
        <v>2913</v>
      </c>
      <c r="B504" t="s">
        <v>766</v>
      </c>
      <c r="C504" s="50" t="s">
        <v>271</v>
      </c>
    </row>
    <row r="505" spans="1:3" ht="18">
      <c r="A505">
        <v>2915</v>
      </c>
      <c r="B505" t="s">
        <v>767</v>
      </c>
      <c r="C505" s="51">
        <v>11.84</v>
      </c>
    </row>
    <row r="506" spans="1:3" ht="18">
      <c r="A506">
        <v>2923</v>
      </c>
      <c r="B506" t="s">
        <v>768</v>
      </c>
      <c r="C506" s="51">
        <v>1440</v>
      </c>
    </row>
    <row r="507" spans="1:3" ht="18">
      <c r="A507">
        <v>2929</v>
      </c>
      <c r="B507" t="s">
        <v>769</v>
      </c>
      <c r="C507" s="50" t="s">
        <v>271</v>
      </c>
    </row>
    <row r="508" spans="1:3" ht="18">
      <c r="A508">
        <v>2939</v>
      </c>
      <c r="B508" t="s">
        <v>770</v>
      </c>
      <c r="C508" s="50" t="s">
        <v>271</v>
      </c>
    </row>
    <row r="509" spans="1:3" ht="18">
      <c r="A509">
        <v>2945</v>
      </c>
      <c r="B509" t="s">
        <v>771</v>
      </c>
      <c r="C509" s="50">
        <v>32.26</v>
      </c>
    </row>
    <row r="510" spans="1:3" ht="18">
      <c r="A510">
        <v>3002</v>
      </c>
      <c r="B510" t="s">
        <v>772</v>
      </c>
      <c r="C510" s="50">
        <v>80.88</v>
      </c>
    </row>
    <row r="511" spans="1:3" ht="18">
      <c r="A511">
        <v>3003</v>
      </c>
      <c r="B511" t="s">
        <v>773</v>
      </c>
      <c r="C511" s="50">
        <v>19.97</v>
      </c>
    </row>
    <row r="512" spans="1:3" ht="18">
      <c r="A512">
        <v>3004</v>
      </c>
      <c r="B512" t="s">
        <v>774</v>
      </c>
      <c r="C512" s="50">
        <v>17.850000000000001</v>
      </c>
    </row>
    <row r="513" spans="1:3" ht="18">
      <c r="A513">
        <v>3005</v>
      </c>
      <c r="B513" t="s">
        <v>775</v>
      </c>
      <c r="C513" s="50">
        <v>17.13</v>
      </c>
    </row>
    <row r="514" spans="1:3" ht="18">
      <c r="A514">
        <v>3006</v>
      </c>
      <c r="B514" t="s">
        <v>776</v>
      </c>
      <c r="C514" s="50" t="s">
        <v>271</v>
      </c>
    </row>
    <row r="515" spans="1:3" ht="18">
      <c r="A515">
        <v>3008</v>
      </c>
      <c r="B515" t="s">
        <v>777</v>
      </c>
      <c r="C515" s="50">
        <v>22.58</v>
      </c>
    </row>
    <row r="516" spans="1:3" ht="18">
      <c r="A516">
        <v>3010</v>
      </c>
      <c r="B516" t="s">
        <v>778</v>
      </c>
      <c r="C516" s="50">
        <v>11.56</v>
      </c>
    </row>
    <row r="517" spans="1:3" ht="18">
      <c r="A517">
        <v>3011</v>
      </c>
      <c r="B517" t="s">
        <v>779</v>
      </c>
      <c r="C517" s="50" t="s">
        <v>271</v>
      </c>
    </row>
    <row r="518" spans="1:3" ht="18">
      <c r="A518">
        <v>3013</v>
      </c>
      <c r="B518" t="s">
        <v>780</v>
      </c>
      <c r="C518" s="50">
        <v>40.090000000000003</v>
      </c>
    </row>
    <row r="519" spans="1:3" ht="18">
      <c r="A519">
        <v>3014</v>
      </c>
      <c r="B519" t="s">
        <v>781</v>
      </c>
      <c r="C519" s="50">
        <v>16.63</v>
      </c>
    </row>
    <row r="520" spans="1:3" ht="18">
      <c r="A520">
        <v>3015</v>
      </c>
      <c r="B520" t="s">
        <v>782</v>
      </c>
      <c r="C520" s="50">
        <v>13.79</v>
      </c>
    </row>
    <row r="521" spans="1:3" ht="18">
      <c r="A521">
        <v>3016</v>
      </c>
      <c r="B521" t="s">
        <v>783</v>
      </c>
      <c r="C521" s="50">
        <v>87.04</v>
      </c>
    </row>
    <row r="522" spans="1:3" ht="18">
      <c r="A522">
        <v>3017</v>
      </c>
      <c r="B522" t="s">
        <v>784</v>
      </c>
      <c r="C522" s="50">
        <v>27.36</v>
      </c>
    </row>
    <row r="523" spans="1:3" ht="18">
      <c r="A523">
        <v>3018</v>
      </c>
      <c r="B523" t="s">
        <v>2052</v>
      </c>
      <c r="C523" s="50" t="s">
        <v>271</v>
      </c>
    </row>
    <row r="524" spans="1:3" ht="18">
      <c r="A524">
        <v>3019</v>
      </c>
      <c r="B524" t="s">
        <v>785</v>
      </c>
      <c r="C524" s="50">
        <v>32.200000000000003</v>
      </c>
    </row>
    <row r="525" spans="1:3" ht="18">
      <c r="A525">
        <v>3021</v>
      </c>
      <c r="B525" t="s">
        <v>786</v>
      </c>
      <c r="C525" s="50">
        <v>15.38</v>
      </c>
    </row>
    <row r="526" spans="1:3" ht="18">
      <c r="A526">
        <v>3022</v>
      </c>
      <c r="B526" t="s">
        <v>787</v>
      </c>
      <c r="C526" s="50">
        <v>9.7899999999999991</v>
      </c>
    </row>
    <row r="527" spans="1:3" ht="18">
      <c r="A527">
        <v>3023</v>
      </c>
      <c r="B527" t="s">
        <v>788</v>
      </c>
      <c r="C527" s="50">
        <v>21.82</v>
      </c>
    </row>
    <row r="528" spans="1:3" ht="18">
      <c r="A528">
        <v>3024</v>
      </c>
      <c r="B528" t="s">
        <v>789</v>
      </c>
      <c r="C528" s="50">
        <v>48.21</v>
      </c>
    </row>
    <row r="529" spans="1:3" ht="18">
      <c r="A529">
        <v>3025</v>
      </c>
      <c r="B529" t="s">
        <v>790</v>
      </c>
      <c r="C529" s="50">
        <v>24.43</v>
      </c>
    </row>
    <row r="530" spans="1:3" ht="18">
      <c r="A530">
        <v>3026</v>
      </c>
      <c r="B530" t="s">
        <v>791</v>
      </c>
      <c r="C530" s="50">
        <v>16.579999999999998</v>
      </c>
    </row>
    <row r="531" spans="1:3" ht="18">
      <c r="A531">
        <v>3027</v>
      </c>
      <c r="B531" t="s">
        <v>792</v>
      </c>
      <c r="C531" s="50">
        <v>42.33</v>
      </c>
    </row>
    <row r="532" spans="1:3" ht="18">
      <c r="A532">
        <v>3028</v>
      </c>
      <c r="B532" t="s">
        <v>793</v>
      </c>
      <c r="C532" s="50">
        <v>14.07</v>
      </c>
    </row>
    <row r="533" spans="1:3" ht="18">
      <c r="A533">
        <v>3029</v>
      </c>
      <c r="B533" t="s">
        <v>794</v>
      </c>
      <c r="C533" s="50">
        <v>15.32</v>
      </c>
    </row>
    <row r="534" spans="1:3" ht="18">
      <c r="A534">
        <v>3030</v>
      </c>
      <c r="B534" t="s">
        <v>795</v>
      </c>
      <c r="C534" s="50">
        <v>14.22</v>
      </c>
    </row>
    <row r="535" spans="1:3" ht="18">
      <c r="A535">
        <v>3031</v>
      </c>
      <c r="B535" t="s">
        <v>796</v>
      </c>
      <c r="C535" s="50">
        <v>19.89</v>
      </c>
    </row>
    <row r="536" spans="1:3" ht="18">
      <c r="A536">
        <v>3032</v>
      </c>
      <c r="B536" t="s">
        <v>797</v>
      </c>
      <c r="C536" s="50">
        <v>13.72</v>
      </c>
    </row>
    <row r="537" spans="1:3" ht="18">
      <c r="A537">
        <v>3033</v>
      </c>
      <c r="B537" t="s">
        <v>798</v>
      </c>
      <c r="C537" s="50">
        <v>14.74</v>
      </c>
    </row>
    <row r="538" spans="1:3" ht="18">
      <c r="A538">
        <v>3034</v>
      </c>
      <c r="B538" t="s">
        <v>799</v>
      </c>
      <c r="C538" s="50">
        <v>14.28</v>
      </c>
    </row>
    <row r="539" spans="1:3" ht="18">
      <c r="A539">
        <v>3035</v>
      </c>
      <c r="B539" t="s">
        <v>800</v>
      </c>
      <c r="C539" s="50">
        <v>49.45</v>
      </c>
    </row>
    <row r="540" spans="1:3" ht="18">
      <c r="A540">
        <v>3036</v>
      </c>
      <c r="B540" t="s">
        <v>801</v>
      </c>
      <c r="C540" s="50">
        <v>27.92</v>
      </c>
    </row>
    <row r="541" spans="1:3" ht="18">
      <c r="A541">
        <v>3037</v>
      </c>
      <c r="B541" t="s">
        <v>802</v>
      </c>
      <c r="C541" s="50">
        <v>16.329999999999998</v>
      </c>
    </row>
    <row r="542" spans="1:3" ht="18">
      <c r="A542">
        <v>3038</v>
      </c>
      <c r="B542" t="s">
        <v>803</v>
      </c>
      <c r="C542" s="50">
        <v>10.52</v>
      </c>
    </row>
    <row r="543" spans="1:3" ht="18">
      <c r="A543">
        <v>3040</v>
      </c>
      <c r="B543" t="s">
        <v>804</v>
      </c>
      <c r="C543" s="50">
        <v>32.61</v>
      </c>
    </row>
    <row r="544" spans="1:3" ht="18">
      <c r="A544">
        <v>3041</v>
      </c>
      <c r="B544" t="s">
        <v>805</v>
      </c>
      <c r="C544" s="50" t="s">
        <v>271</v>
      </c>
    </row>
    <row r="545" spans="1:3" ht="18">
      <c r="A545">
        <v>3042</v>
      </c>
      <c r="B545" t="s">
        <v>806</v>
      </c>
      <c r="C545" s="50">
        <v>17.48</v>
      </c>
    </row>
    <row r="546" spans="1:3" ht="18">
      <c r="A546">
        <v>3043</v>
      </c>
      <c r="B546" t="s">
        <v>807</v>
      </c>
      <c r="C546" s="50">
        <v>18.100000000000001</v>
      </c>
    </row>
    <row r="547" spans="1:3" ht="18">
      <c r="A547">
        <v>3044</v>
      </c>
      <c r="B547" t="s">
        <v>808</v>
      </c>
      <c r="C547" s="50">
        <v>17.36</v>
      </c>
    </row>
    <row r="548" spans="1:3" ht="18">
      <c r="A548">
        <v>3045</v>
      </c>
      <c r="B548" t="s">
        <v>809</v>
      </c>
      <c r="C548" s="50">
        <v>24.9</v>
      </c>
    </row>
    <row r="549" spans="1:3" ht="18">
      <c r="A549">
        <v>3046</v>
      </c>
      <c r="B549" t="s">
        <v>810</v>
      </c>
      <c r="C549" s="50">
        <v>21.13</v>
      </c>
    </row>
    <row r="550" spans="1:3" ht="18">
      <c r="A550">
        <v>3047</v>
      </c>
      <c r="B550" t="s">
        <v>811</v>
      </c>
      <c r="C550" s="50">
        <v>84.47</v>
      </c>
    </row>
    <row r="551" spans="1:3" ht="18">
      <c r="A551">
        <v>3048</v>
      </c>
      <c r="B551" t="s">
        <v>812</v>
      </c>
      <c r="C551" s="50">
        <v>176.79</v>
      </c>
    </row>
    <row r="552" spans="1:3" ht="18">
      <c r="A552">
        <v>3049</v>
      </c>
      <c r="B552" t="s">
        <v>813</v>
      </c>
      <c r="C552" s="50" t="s">
        <v>271</v>
      </c>
    </row>
    <row r="553" spans="1:3" ht="18">
      <c r="A553">
        <v>3050</v>
      </c>
      <c r="B553" t="s">
        <v>814</v>
      </c>
      <c r="C553" s="50">
        <v>18.739999999999998</v>
      </c>
    </row>
    <row r="554" spans="1:3" ht="18">
      <c r="A554">
        <v>3051</v>
      </c>
      <c r="B554" t="s">
        <v>815</v>
      </c>
      <c r="C554" s="50">
        <v>62.59</v>
      </c>
    </row>
    <row r="555" spans="1:3" ht="18">
      <c r="A555">
        <v>3052</v>
      </c>
      <c r="B555" t="s">
        <v>816</v>
      </c>
      <c r="C555" s="50">
        <v>11.12</v>
      </c>
    </row>
    <row r="556" spans="1:3" ht="18">
      <c r="A556">
        <v>3054</v>
      </c>
      <c r="B556" t="s">
        <v>817</v>
      </c>
      <c r="C556" s="50" t="s">
        <v>271</v>
      </c>
    </row>
    <row r="557" spans="1:3" ht="18">
      <c r="A557">
        <v>3055</v>
      </c>
      <c r="B557" t="s">
        <v>818</v>
      </c>
      <c r="C557" s="50">
        <v>19.5</v>
      </c>
    </row>
    <row r="558" spans="1:3" ht="18">
      <c r="A558">
        <v>3056</v>
      </c>
      <c r="B558" t="s">
        <v>819</v>
      </c>
      <c r="C558" s="50">
        <v>8.7799999999999994</v>
      </c>
    </row>
    <row r="559" spans="1:3" ht="18">
      <c r="A559">
        <v>3057</v>
      </c>
      <c r="B559" t="s">
        <v>820</v>
      </c>
      <c r="C559" s="50" t="s">
        <v>271</v>
      </c>
    </row>
    <row r="560" spans="1:3" ht="18">
      <c r="A560">
        <v>3058</v>
      </c>
      <c r="B560" t="s">
        <v>821</v>
      </c>
      <c r="C560" s="50">
        <v>104.74</v>
      </c>
    </row>
    <row r="561" spans="1:3" ht="18">
      <c r="A561">
        <v>3059</v>
      </c>
      <c r="B561" t="s">
        <v>822</v>
      </c>
      <c r="C561" s="50">
        <v>27.26</v>
      </c>
    </row>
    <row r="562" spans="1:3" ht="18">
      <c r="A562">
        <v>3060</v>
      </c>
      <c r="B562" t="s">
        <v>823</v>
      </c>
      <c r="C562" s="50" t="s">
        <v>271</v>
      </c>
    </row>
    <row r="563" spans="1:3" ht="18">
      <c r="A563">
        <v>3062</v>
      </c>
      <c r="B563" t="s">
        <v>824</v>
      </c>
      <c r="C563" s="50" t="s">
        <v>271</v>
      </c>
    </row>
    <row r="564" spans="1:3" ht="18">
      <c r="A564">
        <v>3090</v>
      </c>
      <c r="B564" t="s">
        <v>825</v>
      </c>
      <c r="C564" s="50">
        <v>16.739999999999998</v>
      </c>
    </row>
    <row r="565" spans="1:3" ht="18">
      <c r="A565">
        <v>3092</v>
      </c>
      <c r="B565" t="s">
        <v>826</v>
      </c>
      <c r="C565" s="50" t="s">
        <v>271</v>
      </c>
    </row>
    <row r="566" spans="1:3" ht="18">
      <c r="A566">
        <v>3094</v>
      </c>
      <c r="B566" t="s">
        <v>827</v>
      </c>
      <c r="C566" s="50">
        <v>58.26</v>
      </c>
    </row>
    <row r="567" spans="1:3" ht="18">
      <c r="A567">
        <v>3130</v>
      </c>
      <c r="B567" t="s">
        <v>828</v>
      </c>
      <c r="C567" s="50">
        <v>15.94</v>
      </c>
    </row>
    <row r="568" spans="1:3" ht="18">
      <c r="A568">
        <v>3138</v>
      </c>
      <c r="B568" t="s">
        <v>829</v>
      </c>
      <c r="C568" s="50">
        <v>21.73</v>
      </c>
    </row>
    <row r="569" spans="1:3" ht="18">
      <c r="A569">
        <v>3149</v>
      </c>
      <c r="B569" t="s">
        <v>830</v>
      </c>
      <c r="C569" s="50" t="s">
        <v>271</v>
      </c>
    </row>
    <row r="570" spans="1:3" ht="18">
      <c r="A570">
        <v>3164</v>
      </c>
      <c r="B570" t="s">
        <v>831</v>
      </c>
      <c r="C570" s="50">
        <v>44.11</v>
      </c>
    </row>
    <row r="571" spans="1:3" ht="18">
      <c r="A571">
        <v>3167</v>
      </c>
      <c r="B571" t="s">
        <v>832</v>
      </c>
      <c r="C571" s="50" t="s">
        <v>271</v>
      </c>
    </row>
    <row r="572" spans="1:3" ht="18">
      <c r="A572">
        <v>3189</v>
      </c>
      <c r="B572" t="s">
        <v>833</v>
      </c>
      <c r="C572" s="50">
        <v>51.66</v>
      </c>
    </row>
    <row r="573" spans="1:3" ht="18">
      <c r="A573">
        <v>3209</v>
      </c>
      <c r="B573" t="s">
        <v>834</v>
      </c>
      <c r="C573" s="50">
        <v>13.3</v>
      </c>
    </row>
    <row r="574" spans="1:3" ht="18">
      <c r="A574">
        <v>3229</v>
      </c>
      <c r="B574" t="s">
        <v>835</v>
      </c>
      <c r="C574" s="50" t="s">
        <v>271</v>
      </c>
    </row>
    <row r="575" spans="1:3" ht="18">
      <c r="A575">
        <v>3231</v>
      </c>
      <c r="B575" t="s">
        <v>836</v>
      </c>
      <c r="C575" s="50">
        <v>23.15</v>
      </c>
    </row>
    <row r="576" spans="1:3" ht="18">
      <c r="A576">
        <v>3257</v>
      </c>
      <c r="B576" t="s">
        <v>837</v>
      </c>
      <c r="C576" s="50">
        <v>29.92</v>
      </c>
    </row>
    <row r="577" spans="1:3" ht="18">
      <c r="A577">
        <v>3266</v>
      </c>
      <c r="B577" t="s">
        <v>838</v>
      </c>
      <c r="C577" s="50">
        <v>16.71</v>
      </c>
    </row>
    <row r="578" spans="1:3" ht="18">
      <c r="A578">
        <v>3296</v>
      </c>
      <c r="B578" t="s">
        <v>839</v>
      </c>
      <c r="C578" s="50" t="s">
        <v>271</v>
      </c>
    </row>
    <row r="579" spans="1:3" ht="18">
      <c r="A579">
        <v>3305</v>
      </c>
      <c r="B579" t="s">
        <v>840</v>
      </c>
      <c r="C579" s="50">
        <v>57.28</v>
      </c>
    </row>
    <row r="580" spans="1:3" ht="18">
      <c r="A580">
        <v>3308</v>
      </c>
      <c r="B580" t="s">
        <v>841</v>
      </c>
      <c r="C580" s="50">
        <v>5.01</v>
      </c>
    </row>
    <row r="581" spans="1:3" ht="18">
      <c r="A581">
        <v>3311</v>
      </c>
      <c r="B581" t="s">
        <v>842</v>
      </c>
      <c r="C581" s="50">
        <v>24.15</v>
      </c>
    </row>
    <row r="582" spans="1:3" ht="18">
      <c r="A582">
        <v>3312</v>
      </c>
      <c r="B582" t="s">
        <v>843</v>
      </c>
      <c r="C582" s="50">
        <v>9.58</v>
      </c>
    </row>
    <row r="583" spans="1:3" ht="18">
      <c r="A583">
        <v>3321</v>
      </c>
      <c r="B583" t="s">
        <v>844</v>
      </c>
      <c r="C583" s="50" t="s">
        <v>271</v>
      </c>
    </row>
    <row r="584" spans="1:3" ht="18">
      <c r="A584">
        <v>3338</v>
      </c>
      <c r="B584" t="s">
        <v>845</v>
      </c>
      <c r="C584" s="50">
        <v>26.25</v>
      </c>
    </row>
    <row r="585" spans="1:3" ht="18">
      <c r="A585">
        <v>3346</v>
      </c>
      <c r="B585" t="s">
        <v>846</v>
      </c>
      <c r="C585" s="50">
        <v>19.52</v>
      </c>
    </row>
    <row r="586" spans="1:3" ht="18">
      <c r="A586">
        <v>3356</v>
      </c>
      <c r="B586" t="s">
        <v>847</v>
      </c>
      <c r="C586" s="50">
        <v>16.07</v>
      </c>
    </row>
    <row r="587" spans="1:3" ht="18">
      <c r="A587">
        <v>3376</v>
      </c>
      <c r="B587" t="s">
        <v>848</v>
      </c>
      <c r="C587" s="50">
        <v>29.55</v>
      </c>
    </row>
    <row r="588" spans="1:3" ht="18">
      <c r="A588">
        <v>3380</v>
      </c>
      <c r="B588" t="s">
        <v>849</v>
      </c>
      <c r="C588" s="50">
        <v>28.38</v>
      </c>
    </row>
    <row r="589" spans="1:3" ht="18">
      <c r="A589">
        <v>3406</v>
      </c>
      <c r="B589" t="s">
        <v>850</v>
      </c>
      <c r="C589" s="50">
        <v>17.16</v>
      </c>
    </row>
    <row r="590" spans="1:3" ht="18">
      <c r="A590">
        <v>3413</v>
      </c>
      <c r="B590" t="s">
        <v>851</v>
      </c>
      <c r="C590" s="50">
        <v>10.75</v>
      </c>
    </row>
    <row r="591" spans="1:3" ht="18">
      <c r="A591">
        <v>3416</v>
      </c>
      <c r="B591" t="s">
        <v>852</v>
      </c>
      <c r="C591" s="50">
        <v>17.809999999999999</v>
      </c>
    </row>
    <row r="592" spans="1:3" ht="18">
      <c r="A592">
        <v>3419</v>
      </c>
      <c r="B592" t="s">
        <v>853</v>
      </c>
      <c r="C592" s="50" t="s">
        <v>271</v>
      </c>
    </row>
    <row r="593" spans="1:3" ht="18">
      <c r="A593">
        <v>3432</v>
      </c>
      <c r="B593" t="s">
        <v>854</v>
      </c>
      <c r="C593" s="50" t="s">
        <v>271</v>
      </c>
    </row>
    <row r="594" spans="1:3" ht="18">
      <c r="A594">
        <v>3437</v>
      </c>
      <c r="B594" t="s">
        <v>855</v>
      </c>
      <c r="C594" s="50" t="s">
        <v>271</v>
      </c>
    </row>
    <row r="595" spans="1:3" ht="18">
      <c r="A595">
        <v>3443</v>
      </c>
      <c r="B595" t="s">
        <v>856</v>
      </c>
      <c r="C595" s="50">
        <v>56.29</v>
      </c>
    </row>
    <row r="596" spans="1:3" ht="18">
      <c r="A596">
        <v>3447</v>
      </c>
      <c r="B596" t="s">
        <v>857</v>
      </c>
      <c r="C596" s="50">
        <v>21.76</v>
      </c>
    </row>
    <row r="597" spans="1:3" ht="18">
      <c r="A597">
        <v>3450</v>
      </c>
      <c r="B597" t="s">
        <v>858</v>
      </c>
      <c r="C597" s="50" t="s">
        <v>271</v>
      </c>
    </row>
    <row r="598" spans="1:3" ht="18">
      <c r="A598">
        <v>3454</v>
      </c>
      <c r="B598" t="s">
        <v>859</v>
      </c>
      <c r="C598" s="50">
        <v>21.76</v>
      </c>
    </row>
    <row r="599" spans="1:3" ht="18">
      <c r="A599">
        <v>3481</v>
      </c>
      <c r="B599" t="s">
        <v>860</v>
      </c>
      <c r="C599" s="50" t="s">
        <v>271</v>
      </c>
    </row>
    <row r="600" spans="1:3" ht="18">
      <c r="A600">
        <v>3494</v>
      </c>
      <c r="B600" t="s">
        <v>861</v>
      </c>
      <c r="C600" s="50" t="s">
        <v>271</v>
      </c>
    </row>
    <row r="601" spans="1:3" ht="18">
      <c r="A601">
        <v>3501</v>
      </c>
      <c r="B601" t="s">
        <v>862</v>
      </c>
      <c r="C601" s="50">
        <v>11.51</v>
      </c>
    </row>
    <row r="602" spans="1:3" ht="18">
      <c r="A602">
        <v>3504</v>
      </c>
      <c r="B602" t="s">
        <v>863</v>
      </c>
      <c r="C602" s="50" t="s">
        <v>271</v>
      </c>
    </row>
    <row r="603" spans="1:3" ht="18">
      <c r="A603">
        <v>3515</v>
      </c>
      <c r="B603" t="s">
        <v>864</v>
      </c>
      <c r="C603" s="50">
        <v>50.79</v>
      </c>
    </row>
    <row r="604" spans="1:3" ht="18">
      <c r="A604">
        <v>3518</v>
      </c>
      <c r="B604" t="s">
        <v>865</v>
      </c>
      <c r="C604" s="50">
        <v>72</v>
      </c>
    </row>
    <row r="605" spans="1:3" ht="18">
      <c r="A605">
        <v>3528</v>
      </c>
      <c r="B605" t="s">
        <v>866</v>
      </c>
      <c r="C605" s="50">
        <v>19.11</v>
      </c>
    </row>
    <row r="606" spans="1:3" ht="18">
      <c r="A606">
        <v>3530</v>
      </c>
      <c r="B606" t="s">
        <v>867</v>
      </c>
      <c r="C606" s="50" t="s">
        <v>271</v>
      </c>
    </row>
    <row r="607" spans="1:3" ht="18">
      <c r="A607">
        <v>3532</v>
      </c>
      <c r="B607" t="s">
        <v>868</v>
      </c>
      <c r="C607" s="50">
        <v>17.12</v>
      </c>
    </row>
    <row r="608" spans="1:3" ht="18">
      <c r="A608">
        <v>3533</v>
      </c>
      <c r="B608" t="s">
        <v>869</v>
      </c>
      <c r="C608" s="50">
        <v>20.59</v>
      </c>
    </row>
    <row r="609" spans="1:3" ht="18">
      <c r="A609">
        <v>3535</v>
      </c>
      <c r="B609" t="s">
        <v>870</v>
      </c>
      <c r="C609" s="50">
        <v>59.68</v>
      </c>
    </row>
    <row r="610" spans="1:3" ht="18">
      <c r="A610">
        <v>3543</v>
      </c>
      <c r="B610" t="s">
        <v>872</v>
      </c>
      <c r="C610" s="50">
        <v>34.64</v>
      </c>
    </row>
    <row r="611" spans="1:3" ht="18">
      <c r="A611">
        <v>3545</v>
      </c>
      <c r="B611" t="s">
        <v>873</v>
      </c>
      <c r="C611" s="50">
        <v>77.05</v>
      </c>
    </row>
    <row r="612" spans="1:3" ht="18">
      <c r="A612">
        <v>3550</v>
      </c>
      <c r="B612" t="s">
        <v>874</v>
      </c>
      <c r="C612" s="50" t="s">
        <v>271</v>
      </c>
    </row>
    <row r="613" spans="1:3" ht="18">
      <c r="A613">
        <v>3557</v>
      </c>
      <c r="B613" t="s">
        <v>875</v>
      </c>
      <c r="C613" s="50">
        <v>10.83</v>
      </c>
    </row>
    <row r="614" spans="1:3" ht="18">
      <c r="A614">
        <v>3563</v>
      </c>
      <c r="B614" t="s">
        <v>876</v>
      </c>
      <c r="C614" s="50">
        <v>22.76</v>
      </c>
    </row>
    <row r="615" spans="1:3" ht="18">
      <c r="A615">
        <v>3576</v>
      </c>
      <c r="B615" t="s">
        <v>877</v>
      </c>
      <c r="C615" s="51" t="s">
        <v>271</v>
      </c>
    </row>
    <row r="616" spans="1:3" ht="18">
      <c r="A616">
        <v>3583</v>
      </c>
      <c r="B616" t="s">
        <v>878</v>
      </c>
      <c r="C616" s="50">
        <v>28.12</v>
      </c>
    </row>
    <row r="617" spans="1:3" ht="18">
      <c r="A617">
        <v>3588</v>
      </c>
      <c r="B617" t="s">
        <v>879</v>
      </c>
      <c r="C617" s="50" t="s">
        <v>271</v>
      </c>
    </row>
    <row r="618" spans="1:3" ht="18">
      <c r="A618">
        <v>3591</v>
      </c>
      <c r="B618" t="s">
        <v>880</v>
      </c>
      <c r="C618" s="50">
        <v>244</v>
      </c>
    </row>
    <row r="619" spans="1:3" ht="18">
      <c r="A619">
        <v>3592</v>
      </c>
      <c r="B619" t="s">
        <v>881</v>
      </c>
      <c r="C619" s="50">
        <v>21.33</v>
      </c>
    </row>
    <row r="620" spans="1:3" ht="18">
      <c r="A620">
        <v>3593</v>
      </c>
      <c r="B620" t="s">
        <v>882</v>
      </c>
      <c r="C620" s="50" t="s">
        <v>271</v>
      </c>
    </row>
    <row r="621" spans="1:3" ht="18">
      <c r="A621">
        <v>3596</v>
      </c>
      <c r="B621" t="s">
        <v>883</v>
      </c>
      <c r="C621" s="50">
        <v>15.76</v>
      </c>
    </row>
    <row r="622" spans="1:3" ht="18">
      <c r="A622">
        <v>3605</v>
      </c>
      <c r="B622" t="s">
        <v>884</v>
      </c>
      <c r="C622" s="50" t="s">
        <v>271</v>
      </c>
    </row>
    <row r="623" spans="1:3" ht="18">
      <c r="A623">
        <v>3607</v>
      </c>
      <c r="B623" t="s">
        <v>885</v>
      </c>
      <c r="C623" s="50" t="s">
        <v>271</v>
      </c>
    </row>
    <row r="624" spans="1:3" ht="18">
      <c r="A624">
        <v>3617</v>
      </c>
      <c r="B624" t="s">
        <v>886</v>
      </c>
      <c r="C624" s="50">
        <v>13.08</v>
      </c>
    </row>
    <row r="625" spans="1:3" ht="18">
      <c r="A625">
        <v>3622</v>
      </c>
      <c r="B625" t="s">
        <v>887</v>
      </c>
      <c r="C625" s="50">
        <v>14.32</v>
      </c>
    </row>
    <row r="626" spans="1:3" ht="18">
      <c r="A626">
        <v>3645</v>
      </c>
      <c r="B626" t="s">
        <v>888</v>
      </c>
      <c r="C626" s="50" t="s">
        <v>271</v>
      </c>
    </row>
    <row r="627" spans="1:3" ht="18">
      <c r="A627">
        <v>3652</v>
      </c>
      <c r="B627" t="s">
        <v>889</v>
      </c>
      <c r="C627" s="50">
        <v>44.85</v>
      </c>
    </row>
    <row r="628" spans="1:3" ht="18">
      <c r="A628">
        <v>3653</v>
      </c>
      <c r="B628" t="s">
        <v>890</v>
      </c>
      <c r="C628" s="50">
        <v>43.06</v>
      </c>
    </row>
    <row r="629" spans="1:3" ht="18">
      <c r="A629">
        <v>3661</v>
      </c>
      <c r="B629" t="s">
        <v>891</v>
      </c>
      <c r="C629" s="50">
        <v>89.21</v>
      </c>
    </row>
    <row r="630" spans="1:3" ht="18">
      <c r="A630">
        <v>3665</v>
      </c>
      <c r="B630" t="s">
        <v>892</v>
      </c>
      <c r="C630" s="50">
        <v>15.96</v>
      </c>
    </row>
    <row r="631" spans="1:3" ht="18">
      <c r="A631">
        <v>3669</v>
      </c>
      <c r="B631" t="s">
        <v>893</v>
      </c>
      <c r="C631" s="50">
        <v>19.309999999999999</v>
      </c>
    </row>
    <row r="632" spans="1:3" ht="18">
      <c r="A632">
        <v>3673</v>
      </c>
      <c r="B632" t="s">
        <v>894</v>
      </c>
      <c r="C632" s="50">
        <v>64.64</v>
      </c>
    </row>
    <row r="633" spans="1:3" ht="18">
      <c r="A633">
        <v>3679</v>
      </c>
      <c r="B633" t="s">
        <v>895</v>
      </c>
      <c r="C633" s="50">
        <v>13.07</v>
      </c>
    </row>
    <row r="634" spans="1:3" ht="18">
      <c r="A634">
        <v>3686</v>
      </c>
      <c r="B634" t="s">
        <v>897</v>
      </c>
      <c r="C634" s="50" t="s">
        <v>271</v>
      </c>
    </row>
    <row r="635" spans="1:3" ht="18">
      <c r="A635">
        <v>3694</v>
      </c>
      <c r="B635" t="s">
        <v>898</v>
      </c>
      <c r="C635" s="50">
        <v>20.56</v>
      </c>
    </row>
    <row r="636" spans="1:3" ht="18">
      <c r="A636">
        <v>3701</v>
      </c>
      <c r="B636" t="s">
        <v>899</v>
      </c>
      <c r="C636" s="50">
        <v>28.41</v>
      </c>
    </row>
    <row r="637" spans="1:3" ht="18">
      <c r="A637">
        <v>3702</v>
      </c>
      <c r="B637" t="s">
        <v>900</v>
      </c>
      <c r="C637" s="50">
        <v>25.5</v>
      </c>
    </row>
    <row r="638" spans="1:3" ht="18">
      <c r="A638">
        <v>3703</v>
      </c>
      <c r="B638" t="s">
        <v>901</v>
      </c>
      <c r="C638" s="50">
        <v>15.41</v>
      </c>
    </row>
    <row r="639" spans="1:3" ht="18">
      <c r="A639">
        <v>3704</v>
      </c>
      <c r="B639" t="s">
        <v>902</v>
      </c>
      <c r="C639" s="50">
        <v>13.4</v>
      </c>
    </row>
    <row r="640" spans="1:3" ht="18">
      <c r="A640">
        <v>3705</v>
      </c>
      <c r="B640" t="s">
        <v>903</v>
      </c>
      <c r="C640" s="50">
        <v>17.61</v>
      </c>
    </row>
    <row r="641" spans="1:3" ht="18">
      <c r="A641">
        <v>3706</v>
      </c>
      <c r="B641" t="s">
        <v>904</v>
      </c>
      <c r="C641" s="50">
        <v>46.89</v>
      </c>
    </row>
    <row r="642" spans="1:3" ht="18">
      <c r="A642">
        <v>3708</v>
      </c>
      <c r="B642" t="s">
        <v>905</v>
      </c>
      <c r="C642" s="50">
        <v>6.98</v>
      </c>
    </row>
    <row r="643" spans="1:3" ht="18">
      <c r="A643">
        <v>3711</v>
      </c>
      <c r="B643" t="s">
        <v>906</v>
      </c>
      <c r="C643" s="50">
        <v>15.27</v>
      </c>
    </row>
    <row r="644" spans="1:3" ht="18">
      <c r="A644">
        <v>3712</v>
      </c>
      <c r="B644" t="s">
        <v>907</v>
      </c>
      <c r="C644" s="50">
        <v>25.03</v>
      </c>
    </row>
    <row r="645" spans="1:3" ht="18">
      <c r="A645">
        <v>3714</v>
      </c>
      <c r="B645" t="s">
        <v>908</v>
      </c>
      <c r="C645" s="50" t="s">
        <v>271</v>
      </c>
    </row>
    <row r="646" spans="1:3" ht="18">
      <c r="A646">
        <v>3715</v>
      </c>
      <c r="B646" t="s">
        <v>909</v>
      </c>
      <c r="C646" s="50">
        <v>28.64</v>
      </c>
    </row>
    <row r="647" spans="1:3" ht="18">
      <c r="A647">
        <v>4104</v>
      </c>
      <c r="B647" t="s">
        <v>910</v>
      </c>
      <c r="C647" s="50">
        <v>19.22</v>
      </c>
    </row>
    <row r="648" spans="1:3" ht="18">
      <c r="A648">
        <v>4106</v>
      </c>
      <c r="B648" t="s">
        <v>911</v>
      </c>
      <c r="C648" s="50">
        <v>20.07</v>
      </c>
    </row>
    <row r="649" spans="1:3" ht="18">
      <c r="A649">
        <v>4108</v>
      </c>
      <c r="B649" t="s">
        <v>912</v>
      </c>
      <c r="C649" s="50" t="s">
        <v>271</v>
      </c>
    </row>
    <row r="650" spans="1:3" ht="18">
      <c r="A650">
        <v>4119</v>
      </c>
      <c r="B650" t="s">
        <v>913</v>
      </c>
      <c r="C650" s="50">
        <v>27.58</v>
      </c>
    </row>
    <row r="651" spans="1:3" ht="18">
      <c r="A651">
        <v>4133</v>
      </c>
      <c r="B651" t="s">
        <v>914</v>
      </c>
      <c r="C651" s="50">
        <v>47.43</v>
      </c>
    </row>
    <row r="652" spans="1:3" ht="18">
      <c r="A652">
        <v>4137</v>
      </c>
      <c r="B652" t="s">
        <v>915</v>
      </c>
      <c r="C652" s="50">
        <v>16.579999999999998</v>
      </c>
    </row>
    <row r="653" spans="1:3" ht="18">
      <c r="A653">
        <v>4142</v>
      </c>
      <c r="B653" t="s">
        <v>916</v>
      </c>
      <c r="C653" s="50" t="s">
        <v>271</v>
      </c>
    </row>
    <row r="654" spans="1:3" ht="18">
      <c r="A654">
        <v>4148</v>
      </c>
      <c r="B654" t="s">
        <v>917</v>
      </c>
      <c r="C654" s="50">
        <v>16.23</v>
      </c>
    </row>
    <row r="655" spans="1:3" ht="18">
      <c r="A655">
        <v>4155</v>
      </c>
      <c r="B655" t="s">
        <v>918</v>
      </c>
      <c r="C655" s="50">
        <v>125.5</v>
      </c>
    </row>
    <row r="656" spans="1:3" ht="18">
      <c r="A656">
        <v>4164</v>
      </c>
      <c r="B656" t="s">
        <v>919</v>
      </c>
      <c r="C656" s="50">
        <v>33.57</v>
      </c>
    </row>
    <row r="657" spans="1:3" ht="18">
      <c r="A657">
        <v>4190</v>
      </c>
      <c r="B657" t="s">
        <v>920</v>
      </c>
      <c r="C657" s="50" t="s">
        <v>271</v>
      </c>
    </row>
    <row r="658" spans="1:3" ht="18">
      <c r="A658">
        <v>4306</v>
      </c>
      <c r="B658" t="s">
        <v>921</v>
      </c>
      <c r="C658" s="50">
        <v>13.31</v>
      </c>
    </row>
    <row r="659" spans="1:3" ht="18">
      <c r="A659">
        <v>4414</v>
      </c>
      <c r="B659" t="s">
        <v>2053</v>
      </c>
      <c r="C659" s="50" t="s">
        <v>271</v>
      </c>
    </row>
    <row r="660" spans="1:3" ht="18">
      <c r="A660">
        <v>4426</v>
      </c>
      <c r="B660" t="s">
        <v>922</v>
      </c>
      <c r="C660" s="50">
        <v>94.57</v>
      </c>
    </row>
    <row r="661" spans="1:3" ht="18">
      <c r="A661">
        <v>4438</v>
      </c>
      <c r="B661" t="s">
        <v>923</v>
      </c>
      <c r="C661" s="50">
        <v>15.16</v>
      </c>
    </row>
    <row r="662" spans="1:3" ht="18">
      <c r="A662">
        <v>4439</v>
      </c>
      <c r="B662" t="s">
        <v>924</v>
      </c>
      <c r="C662" s="50">
        <v>10.77</v>
      </c>
    </row>
    <row r="663" spans="1:3" ht="18">
      <c r="A663">
        <v>4440</v>
      </c>
      <c r="B663" t="s">
        <v>925</v>
      </c>
      <c r="C663" s="50">
        <v>27.87</v>
      </c>
    </row>
    <row r="664" spans="1:3" ht="18">
      <c r="A664">
        <v>4526</v>
      </c>
      <c r="B664" t="s">
        <v>926</v>
      </c>
      <c r="C664" s="50" t="s">
        <v>271</v>
      </c>
    </row>
    <row r="665" spans="1:3" ht="18">
      <c r="A665">
        <v>4532</v>
      </c>
      <c r="B665" t="s">
        <v>927</v>
      </c>
      <c r="C665" s="50">
        <v>15.25</v>
      </c>
    </row>
    <row r="666" spans="1:3" ht="18">
      <c r="A666">
        <v>4536</v>
      </c>
      <c r="B666" t="s">
        <v>928</v>
      </c>
      <c r="C666" s="50">
        <v>10.25</v>
      </c>
    </row>
    <row r="667" spans="1:3" ht="18">
      <c r="A667">
        <v>4540</v>
      </c>
      <c r="B667" t="s">
        <v>929</v>
      </c>
      <c r="C667" s="50">
        <v>49.69</v>
      </c>
    </row>
    <row r="668" spans="1:3" ht="18">
      <c r="A668">
        <v>4545</v>
      </c>
      <c r="B668" t="s">
        <v>930</v>
      </c>
      <c r="C668" s="50">
        <v>20.98</v>
      </c>
    </row>
    <row r="669" spans="1:3" ht="18">
      <c r="A669">
        <v>4551</v>
      </c>
      <c r="B669" t="s">
        <v>931</v>
      </c>
      <c r="C669" s="50">
        <v>19.350000000000001</v>
      </c>
    </row>
    <row r="670" spans="1:3" ht="18">
      <c r="A670">
        <v>4552</v>
      </c>
      <c r="B670" t="s">
        <v>932</v>
      </c>
      <c r="C670" s="50">
        <v>9.08</v>
      </c>
    </row>
    <row r="671" spans="1:3" ht="18">
      <c r="A671">
        <v>4555</v>
      </c>
      <c r="B671" t="s">
        <v>933</v>
      </c>
      <c r="C671" s="50">
        <v>288.10000000000002</v>
      </c>
    </row>
    <row r="672" spans="1:3" ht="18">
      <c r="A672">
        <v>4557</v>
      </c>
      <c r="B672" t="s">
        <v>934</v>
      </c>
      <c r="C672" s="50">
        <v>13</v>
      </c>
    </row>
    <row r="673" spans="1:3" ht="18">
      <c r="A673">
        <v>4560</v>
      </c>
      <c r="B673" t="s">
        <v>935</v>
      </c>
      <c r="C673" s="50">
        <v>24.3</v>
      </c>
    </row>
    <row r="674" spans="1:3" ht="18">
      <c r="A674">
        <v>4562</v>
      </c>
      <c r="B674" t="s">
        <v>936</v>
      </c>
      <c r="C674" s="50" t="s">
        <v>271</v>
      </c>
    </row>
    <row r="675" spans="1:3" ht="18">
      <c r="A675">
        <v>4564</v>
      </c>
      <c r="B675" t="s">
        <v>937</v>
      </c>
      <c r="C675" s="50" t="s">
        <v>271</v>
      </c>
    </row>
    <row r="676" spans="1:3" ht="18">
      <c r="A676">
        <v>4566</v>
      </c>
      <c r="B676" t="s">
        <v>938</v>
      </c>
      <c r="C676" s="50">
        <v>15.91</v>
      </c>
    </row>
    <row r="677" spans="1:3" ht="18">
      <c r="A677">
        <v>4569</v>
      </c>
      <c r="B677" t="s">
        <v>2078</v>
      </c>
      <c r="C677" s="50">
        <v>9.84</v>
      </c>
    </row>
    <row r="678" spans="1:3" ht="18">
      <c r="A678">
        <v>4571</v>
      </c>
      <c r="B678" t="s">
        <v>939</v>
      </c>
      <c r="C678" s="50">
        <v>17.32</v>
      </c>
    </row>
    <row r="679" spans="1:3" ht="18">
      <c r="A679">
        <v>4572</v>
      </c>
      <c r="B679" t="s">
        <v>940</v>
      </c>
      <c r="C679" s="50">
        <v>30.85</v>
      </c>
    </row>
    <row r="680" spans="1:3" ht="18">
      <c r="A680">
        <v>4576</v>
      </c>
      <c r="B680" t="s">
        <v>941</v>
      </c>
      <c r="C680" s="50">
        <v>159.30000000000001</v>
      </c>
    </row>
    <row r="681" spans="1:3" ht="18">
      <c r="A681">
        <v>4581</v>
      </c>
      <c r="B681" t="s">
        <v>942</v>
      </c>
      <c r="C681" s="50">
        <v>12.17</v>
      </c>
    </row>
    <row r="682" spans="1:3" ht="18">
      <c r="A682">
        <v>4583</v>
      </c>
      <c r="B682" t="s">
        <v>943</v>
      </c>
      <c r="C682" s="50">
        <v>17.05</v>
      </c>
    </row>
    <row r="683" spans="1:3" ht="18">
      <c r="A683">
        <v>4720</v>
      </c>
      <c r="B683" t="s">
        <v>944</v>
      </c>
      <c r="C683" s="50">
        <v>22.33</v>
      </c>
    </row>
    <row r="684" spans="1:3" ht="18">
      <c r="A684">
        <v>4722</v>
      </c>
      <c r="B684" t="s">
        <v>945</v>
      </c>
      <c r="C684" s="50">
        <v>32.89</v>
      </c>
    </row>
    <row r="685" spans="1:3" ht="18">
      <c r="A685">
        <v>4736</v>
      </c>
      <c r="B685" t="s">
        <v>1564</v>
      </c>
      <c r="C685" s="50">
        <v>12.16</v>
      </c>
    </row>
    <row r="686" spans="1:3" ht="18">
      <c r="A686">
        <v>4737</v>
      </c>
      <c r="B686" t="s">
        <v>946</v>
      </c>
      <c r="C686" s="50">
        <v>202.16</v>
      </c>
    </row>
    <row r="687" spans="1:3" ht="18">
      <c r="A687">
        <v>4739</v>
      </c>
      <c r="B687" t="s">
        <v>947</v>
      </c>
      <c r="C687" s="50" t="s">
        <v>271</v>
      </c>
    </row>
    <row r="688" spans="1:3" ht="18">
      <c r="A688">
        <v>4746</v>
      </c>
      <c r="B688" t="s">
        <v>948</v>
      </c>
      <c r="C688" s="50">
        <v>45.54</v>
      </c>
    </row>
    <row r="689" spans="1:3" ht="18">
      <c r="A689">
        <v>4755</v>
      </c>
      <c r="B689" t="s">
        <v>949</v>
      </c>
      <c r="C689" s="50">
        <v>31.93</v>
      </c>
    </row>
    <row r="690" spans="1:3" ht="18">
      <c r="A690">
        <v>4763</v>
      </c>
      <c r="B690" t="s">
        <v>950</v>
      </c>
      <c r="C690" s="50">
        <v>16.649999999999999</v>
      </c>
    </row>
    <row r="691" spans="1:3" ht="18">
      <c r="A691">
        <v>4764</v>
      </c>
      <c r="B691" t="s">
        <v>951</v>
      </c>
      <c r="C691" s="50" t="s">
        <v>271</v>
      </c>
    </row>
    <row r="692" spans="1:3" ht="18">
      <c r="A692">
        <v>4766</v>
      </c>
      <c r="B692" t="s">
        <v>952</v>
      </c>
      <c r="C692" s="50">
        <v>15.93</v>
      </c>
    </row>
    <row r="693" spans="1:3" ht="18">
      <c r="A693">
        <v>4770</v>
      </c>
      <c r="B693" t="s">
        <v>953</v>
      </c>
      <c r="C693" s="50">
        <v>14.39</v>
      </c>
    </row>
    <row r="694" spans="1:3" ht="18">
      <c r="A694">
        <v>4807</v>
      </c>
      <c r="B694" t="s">
        <v>954</v>
      </c>
      <c r="C694" s="50" t="s">
        <v>271</v>
      </c>
    </row>
    <row r="695" spans="1:3" ht="18">
      <c r="A695">
        <v>4904</v>
      </c>
      <c r="B695" t="s">
        <v>955</v>
      </c>
      <c r="C695" s="50">
        <v>23.89</v>
      </c>
    </row>
    <row r="696" spans="1:3" ht="18">
      <c r="A696">
        <v>4906</v>
      </c>
      <c r="B696" t="s">
        <v>956</v>
      </c>
      <c r="C696" s="50">
        <v>13.17</v>
      </c>
    </row>
    <row r="697" spans="1:3" ht="18">
      <c r="A697">
        <v>4912</v>
      </c>
      <c r="B697" t="s">
        <v>957</v>
      </c>
      <c r="C697" s="50">
        <v>29.53</v>
      </c>
    </row>
    <row r="698" spans="1:3" ht="18">
      <c r="A698">
        <v>4915</v>
      </c>
      <c r="B698" t="s">
        <v>958</v>
      </c>
      <c r="C698" s="50">
        <v>12.09</v>
      </c>
    </row>
    <row r="699" spans="1:3" ht="18">
      <c r="A699">
        <v>4916</v>
      </c>
      <c r="B699" t="s">
        <v>959</v>
      </c>
      <c r="C699" s="50">
        <v>19.59</v>
      </c>
    </row>
    <row r="700" spans="1:3" ht="18">
      <c r="A700">
        <v>4919</v>
      </c>
      <c r="B700" t="s">
        <v>960</v>
      </c>
      <c r="C700" s="50">
        <v>24.57</v>
      </c>
    </row>
    <row r="701" spans="1:3" ht="18">
      <c r="A701">
        <v>4927</v>
      </c>
      <c r="B701" t="s">
        <v>961</v>
      </c>
      <c r="C701" s="50" t="s">
        <v>271</v>
      </c>
    </row>
    <row r="702" spans="1:3" ht="18">
      <c r="A702">
        <v>4930</v>
      </c>
      <c r="B702" t="s">
        <v>962</v>
      </c>
      <c r="C702" s="50">
        <v>9.57</v>
      </c>
    </row>
    <row r="703" spans="1:3" ht="18">
      <c r="A703">
        <v>4934</v>
      </c>
      <c r="B703" t="s">
        <v>963</v>
      </c>
      <c r="C703" s="50">
        <v>15.99</v>
      </c>
    </row>
    <row r="704" spans="1:3" ht="18">
      <c r="A704">
        <v>4935</v>
      </c>
      <c r="B704" t="s">
        <v>964</v>
      </c>
      <c r="C704" s="50">
        <v>12.64</v>
      </c>
    </row>
    <row r="705" spans="1:3" ht="18">
      <c r="A705">
        <v>4938</v>
      </c>
      <c r="B705" t="s">
        <v>965</v>
      </c>
      <c r="C705" s="50">
        <v>14.75</v>
      </c>
    </row>
    <row r="706" spans="1:3" ht="18">
      <c r="A706">
        <v>4942</v>
      </c>
      <c r="B706" t="s">
        <v>966</v>
      </c>
      <c r="C706" s="50">
        <v>11.1</v>
      </c>
    </row>
    <row r="707" spans="1:3" ht="18">
      <c r="A707">
        <v>4943</v>
      </c>
      <c r="B707" t="s">
        <v>967</v>
      </c>
      <c r="C707" s="50" t="s">
        <v>271</v>
      </c>
    </row>
    <row r="708" spans="1:3" ht="18">
      <c r="A708">
        <v>4952</v>
      </c>
      <c r="B708" t="s">
        <v>968</v>
      </c>
      <c r="C708" s="50">
        <v>33.89</v>
      </c>
    </row>
    <row r="709" spans="1:3" ht="18">
      <c r="A709">
        <v>4956</v>
      </c>
      <c r="B709" t="s">
        <v>969</v>
      </c>
      <c r="C709" s="50" t="s">
        <v>271</v>
      </c>
    </row>
    <row r="710" spans="1:3" ht="18">
      <c r="A710">
        <v>4958</v>
      </c>
      <c r="B710" t="s">
        <v>970</v>
      </c>
      <c r="C710" s="50">
        <v>13.94</v>
      </c>
    </row>
    <row r="711" spans="1:3" ht="18">
      <c r="A711">
        <v>4960</v>
      </c>
      <c r="B711" t="s">
        <v>971</v>
      </c>
      <c r="C711" s="50" t="s">
        <v>271</v>
      </c>
    </row>
    <row r="712" spans="1:3" ht="18">
      <c r="A712">
        <v>4961</v>
      </c>
      <c r="B712" t="s">
        <v>972</v>
      </c>
      <c r="C712" s="50">
        <v>15.88</v>
      </c>
    </row>
    <row r="713" spans="1:3" ht="18">
      <c r="A713">
        <v>4967</v>
      </c>
      <c r="B713" t="s">
        <v>973</v>
      </c>
      <c r="C713" s="50">
        <v>55.09</v>
      </c>
    </row>
    <row r="714" spans="1:3" ht="18">
      <c r="A714">
        <v>4968</v>
      </c>
      <c r="B714" t="s">
        <v>974</v>
      </c>
      <c r="C714" s="50" t="s">
        <v>271</v>
      </c>
    </row>
    <row r="715" spans="1:3" ht="18">
      <c r="A715">
        <v>4976</v>
      </c>
      <c r="B715" t="s">
        <v>975</v>
      </c>
      <c r="C715" s="50" t="s">
        <v>271</v>
      </c>
    </row>
    <row r="716" spans="1:3" ht="18">
      <c r="A716">
        <v>4977</v>
      </c>
      <c r="B716" t="s">
        <v>976</v>
      </c>
      <c r="C716" s="50">
        <v>11.03</v>
      </c>
    </row>
    <row r="717" spans="1:3" ht="18">
      <c r="A717">
        <v>4989</v>
      </c>
      <c r="B717" t="s">
        <v>977</v>
      </c>
      <c r="C717" s="50" t="s">
        <v>271</v>
      </c>
    </row>
    <row r="718" spans="1:3" ht="18">
      <c r="A718">
        <v>4994</v>
      </c>
      <c r="B718" t="s">
        <v>978</v>
      </c>
      <c r="C718" s="50">
        <v>29.42</v>
      </c>
    </row>
    <row r="719" spans="1:3" ht="18">
      <c r="A719">
        <v>4999</v>
      </c>
      <c r="B719" t="s">
        <v>979</v>
      </c>
      <c r="C719" s="50">
        <v>507.14</v>
      </c>
    </row>
    <row r="720" spans="1:3" ht="18">
      <c r="A720">
        <v>5007</v>
      </c>
      <c r="B720" t="s">
        <v>980</v>
      </c>
      <c r="C720" s="50">
        <v>16.75</v>
      </c>
    </row>
    <row r="721" spans="1:3" ht="18">
      <c r="A721">
        <v>5203</v>
      </c>
      <c r="B721" t="s">
        <v>981</v>
      </c>
      <c r="C721" s="50">
        <v>47.12</v>
      </c>
    </row>
    <row r="722" spans="1:3" ht="18">
      <c r="A722">
        <v>5215</v>
      </c>
      <c r="B722" t="s">
        <v>982</v>
      </c>
      <c r="C722" s="50">
        <v>21.85</v>
      </c>
    </row>
    <row r="723" spans="1:3" ht="18">
      <c r="A723">
        <v>5222</v>
      </c>
      <c r="B723" t="s">
        <v>983</v>
      </c>
      <c r="C723" s="50">
        <v>30.09</v>
      </c>
    </row>
    <row r="724" spans="1:3" ht="18">
      <c r="A724">
        <v>5225</v>
      </c>
      <c r="B724" t="s">
        <v>984</v>
      </c>
      <c r="C724" s="50">
        <v>8.74</v>
      </c>
    </row>
    <row r="725" spans="1:3" ht="18">
      <c r="A725">
        <v>5234</v>
      </c>
      <c r="B725" t="s">
        <v>985</v>
      </c>
      <c r="C725" s="50">
        <v>20.309999999999999</v>
      </c>
    </row>
    <row r="726" spans="1:3" ht="18">
      <c r="A726">
        <v>5243</v>
      </c>
      <c r="B726" t="s">
        <v>986</v>
      </c>
      <c r="C726" s="50">
        <v>14.13</v>
      </c>
    </row>
    <row r="727" spans="1:3" ht="18">
      <c r="A727">
        <v>5244</v>
      </c>
      <c r="B727" t="s">
        <v>987</v>
      </c>
      <c r="C727" s="50">
        <v>17.100000000000001</v>
      </c>
    </row>
    <row r="728" spans="1:3" ht="18">
      <c r="A728">
        <v>5258</v>
      </c>
      <c r="B728" t="s">
        <v>988</v>
      </c>
      <c r="C728" s="50">
        <v>13.54</v>
      </c>
    </row>
    <row r="729" spans="1:3" ht="18">
      <c r="A729">
        <v>5269</v>
      </c>
      <c r="B729" t="s">
        <v>989</v>
      </c>
      <c r="C729" s="50">
        <v>67.37</v>
      </c>
    </row>
    <row r="730" spans="1:3" ht="18">
      <c r="A730">
        <v>5283</v>
      </c>
      <c r="B730" t="s">
        <v>990</v>
      </c>
      <c r="C730" s="50">
        <v>13.73</v>
      </c>
    </row>
    <row r="731" spans="1:3" ht="18">
      <c r="A731">
        <v>5284</v>
      </c>
      <c r="B731" t="s">
        <v>991</v>
      </c>
      <c r="C731" s="50">
        <v>12.33</v>
      </c>
    </row>
    <row r="732" spans="1:3" ht="18">
      <c r="A732">
        <v>5285</v>
      </c>
      <c r="B732" t="s">
        <v>992</v>
      </c>
      <c r="C732" s="50">
        <v>40.22</v>
      </c>
    </row>
    <row r="733" spans="1:3" ht="18">
      <c r="A733">
        <v>5288</v>
      </c>
      <c r="B733" t="s">
        <v>993</v>
      </c>
      <c r="C733" s="50">
        <v>11.76</v>
      </c>
    </row>
    <row r="734" spans="1:3" ht="18">
      <c r="A734">
        <v>5292</v>
      </c>
      <c r="B734" t="s">
        <v>2079</v>
      </c>
      <c r="C734" s="50">
        <v>13.79</v>
      </c>
    </row>
    <row r="735" spans="1:3" ht="18">
      <c r="A735">
        <v>5306</v>
      </c>
      <c r="B735" t="s">
        <v>994</v>
      </c>
      <c r="C735" s="50">
        <v>18.010000000000002</v>
      </c>
    </row>
    <row r="736" spans="1:3" ht="18">
      <c r="A736">
        <v>5388</v>
      </c>
      <c r="B736" t="s">
        <v>995</v>
      </c>
      <c r="C736" s="51">
        <v>15.59</v>
      </c>
    </row>
    <row r="737" spans="1:3" ht="18">
      <c r="A737">
        <v>5434</v>
      </c>
      <c r="B737" t="s">
        <v>996</v>
      </c>
      <c r="C737" s="50">
        <v>12.45</v>
      </c>
    </row>
    <row r="738" spans="1:3" ht="18">
      <c r="A738">
        <v>5469</v>
      </c>
      <c r="B738" t="s">
        <v>997</v>
      </c>
      <c r="C738" s="50">
        <v>10.09</v>
      </c>
    </row>
    <row r="739" spans="1:3" ht="18">
      <c r="A739">
        <v>5471</v>
      </c>
      <c r="B739" t="s">
        <v>998</v>
      </c>
      <c r="C739" s="50">
        <v>58.57</v>
      </c>
    </row>
    <row r="740" spans="1:3" ht="18">
      <c r="A740">
        <v>5484</v>
      </c>
      <c r="B740" t="s">
        <v>999</v>
      </c>
      <c r="C740" s="50" t="s">
        <v>271</v>
      </c>
    </row>
    <row r="741" spans="1:3" ht="18">
      <c r="A741">
        <v>5515</v>
      </c>
      <c r="B741" t="s">
        <v>1000</v>
      </c>
      <c r="C741" s="50">
        <v>13.69</v>
      </c>
    </row>
    <row r="742" spans="1:3" ht="18">
      <c r="A742">
        <v>5519</v>
      </c>
      <c r="B742" t="s">
        <v>1001</v>
      </c>
      <c r="C742" s="50">
        <v>12.65</v>
      </c>
    </row>
    <row r="743" spans="1:3" ht="18">
      <c r="A743">
        <v>5521</v>
      </c>
      <c r="B743" t="s">
        <v>1002</v>
      </c>
      <c r="C743" s="50">
        <v>91.88</v>
      </c>
    </row>
    <row r="744" spans="1:3" ht="18">
      <c r="A744">
        <v>5522</v>
      </c>
      <c r="B744" t="s">
        <v>1003</v>
      </c>
      <c r="C744" s="50">
        <v>13.46</v>
      </c>
    </row>
    <row r="745" spans="1:3" ht="18">
      <c r="A745">
        <v>5525</v>
      </c>
      <c r="B745" t="s">
        <v>1004</v>
      </c>
      <c r="C745" s="50">
        <v>9.2899999999999991</v>
      </c>
    </row>
    <row r="746" spans="1:3" ht="18">
      <c r="A746">
        <v>5531</v>
      </c>
      <c r="B746" t="s">
        <v>1005</v>
      </c>
      <c r="C746" s="50" t="s">
        <v>271</v>
      </c>
    </row>
    <row r="747" spans="1:3" ht="18">
      <c r="A747">
        <v>5533</v>
      </c>
      <c r="B747" t="s">
        <v>1006</v>
      </c>
      <c r="C747" s="50">
        <v>8.49</v>
      </c>
    </row>
    <row r="748" spans="1:3" ht="18">
      <c r="A748">
        <v>5534</v>
      </c>
      <c r="B748" t="s">
        <v>1007</v>
      </c>
      <c r="C748" s="50">
        <v>16.73</v>
      </c>
    </row>
    <row r="749" spans="1:3" ht="18">
      <c r="A749">
        <v>5538</v>
      </c>
      <c r="B749" t="s">
        <v>1008</v>
      </c>
      <c r="C749" s="50">
        <v>16.11</v>
      </c>
    </row>
    <row r="750" spans="1:3" ht="18">
      <c r="A750">
        <v>5546</v>
      </c>
      <c r="B750" t="s">
        <v>1009</v>
      </c>
      <c r="C750" s="50" t="s">
        <v>271</v>
      </c>
    </row>
    <row r="751" spans="1:3" ht="18">
      <c r="A751">
        <v>5607</v>
      </c>
      <c r="B751" t="s">
        <v>1010</v>
      </c>
      <c r="C751" s="50">
        <v>15.53</v>
      </c>
    </row>
    <row r="752" spans="1:3" ht="18">
      <c r="A752">
        <v>5608</v>
      </c>
      <c r="B752" t="s">
        <v>1011</v>
      </c>
      <c r="C752" s="50" t="s">
        <v>271</v>
      </c>
    </row>
    <row r="753" spans="1:3" ht="18">
      <c r="A753">
        <v>5706</v>
      </c>
      <c r="B753" t="s">
        <v>1012</v>
      </c>
      <c r="C753" s="50">
        <v>48.36</v>
      </c>
    </row>
    <row r="754" spans="1:3" ht="18">
      <c r="A754">
        <v>5871</v>
      </c>
      <c r="B754" t="s">
        <v>1013</v>
      </c>
      <c r="C754" s="51">
        <v>13.39</v>
      </c>
    </row>
    <row r="755" spans="1:3" ht="18">
      <c r="A755">
        <v>5876</v>
      </c>
      <c r="B755" t="s">
        <v>1014</v>
      </c>
      <c r="C755" s="50">
        <v>13.64</v>
      </c>
    </row>
    <row r="756" spans="1:3" ht="18">
      <c r="A756">
        <v>5880</v>
      </c>
      <c r="B756" t="s">
        <v>1015</v>
      </c>
      <c r="C756" s="50">
        <v>19.63</v>
      </c>
    </row>
    <row r="757" spans="1:3" ht="18">
      <c r="A757">
        <v>5906</v>
      </c>
      <c r="B757" t="s">
        <v>1016</v>
      </c>
      <c r="C757" s="50">
        <v>18.45</v>
      </c>
    </row>
    <row r="758" spans="1:3" ht="18">
      <c r="A758">
        <v>5907</v>
      </c>
      <c r="B758" t="s">
        <v>1017</v>
      </c>
      <c r="C758" s="50" t="s">
        <v>271</v>
      </c>
    </row>
    <row r="759" spans="1:3" ht="18">
      <c r="A759">
        <v>6005</v>
      </c>
      <c r="B759" t="s">
        <v>1018</v>
      </c>
      <c r="C759" s="50">
        <v>9.24</v>
      </c>
    </row>
    <row r="760" spans="1:3" ht="18">
      <c r="A760">
        <v>6024</v>
      </c>
      <c r="B760" t="s">
        <v>1019</v>
      </c>
      <c r="C760" s="50">
        <v>10.67</v>
      </c>
    </row>
    <row r="761" spans="1:3" ht="18">
      <c r="A761">
        <v>6108</v>
      </c>
      <c r="B761" t="s">
        <v>1020</v>
      </c>
      <c r="C761" s="50">
        <v>53.5</v>
      </c>
    </row>
    <row r="762" spans="1:3" ht="18">
      <c r="A762">
        <v>6112</v>
      </c>
      <c r="B762" t="s">
        <v>1021</v>
      </c>
      <c r="C762" s="50">
        <v>21.58</v>
      </c>
    </row>
    <row r="763" spans="1:3" ht="18">
      <c r="A763">
        <v>6115</v>
      </c>
      <c r="B763" t="s">
        <v>1022</v>
      </c>
      <c r="C763" s="50">
        <v>14.38</v>
      </c>
    </row>
    <row r="764" spans="1:3" ht="18">
      <c r="A764">
        <v>6116</v>
      </c>
      <c r="B764" t="s">
        <v>1023</v>
      </c>
      <c r="C764" s="50" t="s">
        <v>271</v>
      </c>
    </row>
    <row r="765" spans="1:3" ht="18">
      <c r="A765">
        <v>6117</v>
      </c>
      <c r="B765" t="s">
        <v>1024</v>
      </c>
      <c r="C765" s="51">
        <v>1278.33</v>
      </c>
    </row>
    <row r="766" spans="1:3" ht="18">
      <c r="A766">
        <v>6120</v>
      </c>
      <c r="B766" t="s">
        <v>1025</v>
      </c>
      <c r="C766" s="50">
        <v>35.26</v>
      </c>
    </row>
    <row r="767" spans="1:3" ht="18">
      <c r="A767">
        <v>6128</v>
      </c>
      <c r="B767" t="s">
        <v>1026</v>
      </c>
      <c r="C767" s="50">
        <v>9.8000000000000007</v>
      </c>
    </row>
    <row r="768" spans="1:3" ht="18">
      <c r="A768">
        <v>6133</v>
      </c>
      <c r="B768" t="s">
        <v>1027</v>
      </c>
      <c r="C768" s="50">
        <v>48.18</v>
      </c>
    </row>
    <row r="769" spans="1:3" ht="18">
      <c r="A769">
        <v>6136</v>
      </c>
      <c r="B769" t="s">
        <v>1028</v>
      </c>
      <c r="C769" s="51">
        <v>22.91</v>
      </c>
    </row>
    <row r="770" spans="1:3" ht="18">
      <c r="A770">
        <v>6139</v>
      </c>
      <c r="B770" t="s">
        <v>1029</v>
      </c>
      <c r="C770" s="50">
        <v>18.420000000000002</v>
      </c>
    </row>
    <row r="771" spans="1:3" ht="18">
      <c r="A771">
        <v>6141</v>
      </c>
      <c r="B771" t="s">
        <v>1030</v>
      </c>
      <c r="C771" s="50" t="s">
        <v>271</v>
      </c>
    </row>
    <row r="772" spans="1:3" ht="18">
      <c r="A772">
        <v>6142</v>
      </c>
      <c r="B772" t="s">
        <v>1031</v>
      </c>
      <c r="C772" s="50">
        <v>91.36</v>
      </c>
    </row>
    <row r="773" spans="1:3" ht="18">
      <c r="A773">
        <v>6152</v>
      </c>
      <c r="B773" t="s">
        <v>1032</v>
      </c>
      <c r="C773" s="50">
        <v>219</v>
      </c>
    </row>
    <row r="774" spans="1:3" ht="18">
      <c r="A774">
        <v>6153</v>
      </c>
      <c r="B774" t="s">
        <v>1033</v>
      </c>
      <c r="C774" s="50" t="s">
        <v>271</v>
      </c>
    </row>
    <row r="775" spans="1:3" ht="18">
      <c r="A775">
        <v>6155</v>
      </c>
      <c r="B775" t="s">
        <v>1034</v>
      </c>
      <c r="C775" s="50">
        <v>23.75</v>
      </c>
    </row>
    <row r="776" spans="1:3" ht="18">
      <c r="A776">
        <v>6164</v>
      </c>
      <c r="B776" t="s">
        <v>1035</v>
      </c>
      <c r="C776" s="50">
        <v>70.28</v>
      </c>
    </row>
    <row r="777" spans="1:3" ht="18">
      <c r="A777">
        <v>6165</v>
      </c>
      <c r="B777" t="s">
        <v>1036</v>
      </c>
      <c r="C777" s="50" t="s">
        <v>271</v>
      </c>
    </row>
    <row r="778" spans="1:3" ht="18">
      <c r="A778">
        <v>6166</v>
      </c>
      <c r="B778" t="s">
        <v>1037</v>
      </c>
      <c r="C778" s="50">
        <v>39.43</v>
      </c>
    </row>
    <row r="779" spans="1:3" ht="18">
      <c r="A779">
        <v>6168</v>
      </c>
      <c r="B779" t="s">
        <v>1038</v>
      </c>
      <c r="C779" s="50">
        <v>36.1</v>
      </c>
    </row>
    <row r="780" spans="1:3" ht="18">
      <c r="A780">
        <v>6176</v>
      </c>
      <c r="B780" t="s">
        <v>1039</v>
      </c>
      <c r="C780" s="50">
        <v>10.28</v>
      </c>
    </row>
    <row r="781" spans="1:3" ht="18">
      <c r="A781">
        <v>6177</v>
      </c>
      <c r="B781" t="s">
        <v>1040</v>
      </c>
      <c r="C781" s="50">
        <v>35.93</v>
      </c>
    </row>
    <row r="782" spans="1:3" ht="18">
      <c r="A782">
        <v>6183</v>
      </c>
      <c r="B782" t="s">
        <v>1041</v>
      </c>
      <c r="C782" s="50">
        <v>22.53</v>
      </c>
    </row>
    <row r="783" spans="1:3" ht="18">
      <c r="A783">
        <v>6184</v>
      </c>
      <c r="B783" t="s">
        <v>1042</v>
      </c>
      <c r="C783" s="50">
        <v>14.66</v>
      </c>
    </row>
    <row r="784" spans="1:3" ht="18">
      <c r="A784">
        <v>6189</v>
      </c>
      <c r="B784" t="s">
        <v>1043</v>
      </c>
      <c r="C784" s="50">
        <v>14</v>
      </c>
    </row>
    <row r="785" spans="1:3" ht="18">
      <c r="A785">
        <v>6191</v>
      </c>
      <c r="B785" t="s">
        <v>1044</v>
      </c>
      <c r="C785" s="50">
        <v>10.25</v>
      </c>
    </row>
    <row r="786" spans="1:3" ht="18">
      <c r="A786">
        <v>6192</v>
      </c>
      <c r="B786" t="s">
        <v>1045</v>
      </c>
      <c r="C786" s="50">
        <v>10.1</v>
      </c>
    </row>
    <row r="787" spans="1:3" ht="18">
      <c r="A787">
        <v>6196</v>
      </c>
      <c r="B787" t="s">
        <v>1046</v>
      </c>
      <c r="C787" s="50">
        <v>11.77</v>
      </c>
    </row>
    <row r="788" spans="1:3" ht="18">
      <c r="A788">
        <v>6197</v>
      </c>
      <c r="B788" t="s">
        <v>1047</v>
      </c>
      <c r="C788" s="50">
        <v>19.829999999999998</v>
      </c>
    </row>
    <row r="789" spans="1:3" ht="18">
      <c r="A789">
        <v>6201</v>
      </c>
      <c r="B789" t="s">
        <v>1048</v>
      </c>
      <c r="C789" s="50">
        <v>12.48</v>
      </c>
    </row>
    <row r="790" spans="1:3" ht="18">
      <c r="A790">
        <v>6202</v>
      </c>
      <c r="B790" t="s">
        <v>1049</v>
      </c>
      <c r="C790" s="50">
        <v>104.22</v>
      </c>
    </row>
    <row r="791" spans="1:3" ht="18">
      <c r="A791">
        <v>6205</v>
      </c>
      <c r="B791" t="s">
        <v>1050</v>
      </c>
      <c r="C791" s="50">
        <v>25.82</v>
      </c>
    </row>
    <row r="792" spans="1:3" ht="18">
      <c r="A792">
        <v>6206</v>
      </c>
      <c r="B792" t="s">
        <v>1051</v>
      </c>
      <c r="C792" s="51">
        <v>23.58</v>
      </c>
    </row>
    <row r="793" spans="1:3" ht="18">
      <c r="A793">
        <v>6209</v>
      </c>
      <c r="B793" t="s">
        <v>1052</v>
      </c>
      <c r="C793" s="50">
        <v>250.91</v>
      </c>
    </row>
    <row r="794" spans="1:3" ht="18">
      <c r="A794">
        <v>6213</v>
      </c>
      <c r="B794" t="s">
        <v>1053</v>
      </c>
      <c r="C794" s="50">
        <v>44.87</v>
      </c>
    </row>
    <row r="795" spans="1:3" ht="18">
      <c r="A795">
        <v>6214</v>
      </c>
      <c r="B795" t="s">
        <v>1054</v>
      </c>
      <c r="C795" s="50">
        <v>18.420000000000002</v>
      </c>
    </row>
    <row r="796" spans="1:3" ht="18">
      <c r="A796">
        <v>6215</v>
      </c>
      <c r="B796" t="s">
        <v>1055</v>
      </c>
      <c r="C796" s="50">
        <v>20.82</v>
      </c>
    </row>
    <row r="797" spans="1:3" ht="18">
      <c r="A797">
        <v>6216</v>
      </c>
      <c r="B797" t="s">
        <v>1056</v>
      </c>
      <c r="C797" s="50">
        <v>22.85</v>
      </c>
    </row>
    <row r="798" spans="1:3" ht="18">
      <c r="A798">
        <v>6224</v>
      </c>
      <c r="B798" t="s">
        <v>1057</v>
      </c>
      <c r="C798" s="50">
        <v>46.45</v>
      </c>
    </row>
    <row r="799" spans="1:3" ht="18">
      <c r="A799">
        <v>6225</v>
      </c>
      <c r="B799" t="s">
        <v>1058</v>
      </c>
      <c r="C799" s="50" t="s">
        <v>271</v>
      </c>
    </row>
    <row r="800" spans="1:3" ht="18">
      <c r="A800">
        <v>6226</v>
      </c>
      <c r="B800" t="s">
        <v>1059</v>
      </c>
      <c r="C800" s="50" t="s">
        <v>271</v>
      </c>
    </row>
    <row r="801" spans="1:3" ht="18">
      <c r="A801">
        <v>6230</v>
      </c>
      <c r="B801" t="s">
        <v>1060</v>
      </c>
      <c r="C801" s="50">
        <v>16.3</v>
      </c>
    </row>
    <row r="802" spans="1:3" ht="18">
      <c r="A802">
        <v>6235</v>
      </c>
      <c r="B802" t="s">
        <v>1061</v>
      </c>
      <c r="C802" s="50">
        <v>29.36</v>
      </c>
    </row>
    <row r="803" spans="1:3" ht="18">
      <c r="A803">
        <v>6239</v>
      </c>
      <c r="B803" t="s">
        <v>1062</v>
      </c>
      <c r="C803" s="50">
        <v>19.53</v>
      </c>
    </row>
    <row r="804" spans="1:3" ht="18">
      <c r="A804">
        <v>6243</v>
      </c>
      <c r="B804" t="s">
        <v>1063</v>
      </c>
      <c r="C804" s="50">
        <v>42.87</v>
      </c>
    </row>
    <row r="805" spans="1:3" ht="18">
      <c r="A805">
        <v>6257</v>
      </c>
      <c r="B805" t="s">
        <v>1064</v>
      </c>
      <c r="C805" s="50">
        <v>17.34</v>
      </c>
    </row>
    <row r="806" spans="1:3" ht="18">
      <c r="A806">
        <v>6269</v>
      </c>
      <c r="B806" t="s">
        <v>1065</v>
      </c>
      <c r="C806" s="50">
        <v>14.38</v>
      </c>
    </row>
    <row r="807" spans="1:3" ht="18">
      <c r="A807">
        <v>6271</v>
      </c>
      <c r="B807" t="s">
        <v>1066</v>
      </c>
      <c r="C807" s="50">
        <v>29.22</v>
      </c>
    </row>
    <row r="808" spans="1:3" ht="18">
      <c r="A808">
        <v>6277</v>
      </c>
      <c r="B808" t="s">
        <v>1067</v>
      </c>
      <c r="C808" s="50">
        <v>14.65</v>
      </c>
    </row>
    <row r="809" spans="1:3" ht="18">
      <c r="A809">
        <v>6278</v>
      </c>
      <c r="B809" t="s">
        <v>1068</v>
      </c>
      <c r="C809" s="50">
        <v>10.199999999999999</v>
      </c>
    </row>
    <row r="810" spans="1:3" ht="18">
      <c r="A810">
        <v>6281</v>
      </c>
      <c r="B810" t="s">
        <v>1069</v>
      </c>
      <c r="C810" s="50">
        <v>15.98</v>
      </c>
    </row>
    <row r="811" spans="1:3" ht="18">
      <c r="A811">
        <v>6282</v>
      </c>
      <c r="B811" t="s">
        <v>1070</v>
      </c>
      <c r="C811" s="50" t="s">
        <v>271</v>
      </c>
    </row>
    <row r="812" spans="1:3" ht="18">
      <c r="A812">
        <v>6283</v>
      </c>
      <c r="B812" t="s">
        <v>1071</v>
      </c>
      <c r="C812" s="50" t="s">
        <v>271</v>
      </c>
    </row>
    <row r="813" spans="1:3" ht="18">
      <c r="A813">
        <v>6285</v>
      </c>
      <c r="B813" t="s">
        <v>1072</v>
      </c>
      <c r="C813" s="50">
        <v>17.010000000000002</v>
      </c>
    </row>
    <row r="814" spans="1:3" ht="18">
      <c r="A814">
        <v>6288</v>
      </c>
      <c r="B814" t="s">
        <v>1073</v>
      </c>
      <c r="C814" s="50" t="s">
        <v>271</v>
      </c>
    </row>
    <row r="815" spans="1:3" ht="18">
      <c r="A815">
        <v>6405</v>
      </c>
      <c r="B815" t="s">
        <v>1074</v>
      </c>
      <c r="C815" s="50" t="s">
        <v>271</v>
      </c>
    </row>
    <row r="816" spans="1:3" ht="18">
      <c r="A816">
        <v>6409</v>
      </c>
      <c r="B816" t="s">
        <v>1075</v>
      </c>
      <c r="C816" s="50">
        <v>39.03</v>
      </c>
    </row>
    <row r="817" spans="1:3" ht="18">
      <c r="A817">
        <v>6412</v>
      </c>
      <c r="B817" t="s">
        <v>1076</v>
      </c>
      <c r="C817" s="51">
        <v>18.95</v>
      </c>
    </row>
    <row r="818" spans="1:3" ht="18">
      <c r="A818">
        <v>6414</v>
      </c>
      <c r="B818" t="s">
        <v>1077</v>
      </c>
      <c r="C818" s="50">
        <v>8.86</v>
      </c>
    </row>
    <row r="819" spans="1:3" ht="18">
      <c r="A819">
        <v>6415</v>
      </c>
      <c r="B819" t="s">
        <v>1078</v>
      </c>
      <c r="C819" s="50">
        <v>126.9</v>
      </c>
    </row>
    <row r="820" spans="1:3" ht="18">
      <c r="A820">
        <v>6416</v>
      </c>
      <c r="B820" t="s">
        <v>1079</v>
      </c>
      <c r="C820" s="50">
        <v>20.34</v>
      </c>
    </row>
    <row r="821" spans="1:3" ht="18">
      <c r="A821">
        <v>6426</v>
      </c>
      <c r="B821" t="s">
        <v>1080</v>
      </c>
      <c r="C821" s="50" t="s">
        <v>271</v>
      </c>
    </row>
    <row r="822" spans="1:3" ht="18">
      <c r="A822">
        <v>6431</v>
      </c>
      <c r="B822" t="s">
        <v>1081</v>
      </c>
      <c r="C822" s="50" t="s">
        <v>271</v>
      </c>
    </row>
    <row r="823" spans="1:3" ht="18">
      <c r="A823">
        <v>6438</v>
      </c>
      <c r="B823" t="s">
        <v>1082</v>
      </c>
      <c r="C823" s="50">
        <v>11.86</v>
      </c>
    </row>
    <row r="824" spans="1:3" ht="18">
      <c r="A824">
        <v>6442</v>
      </c>
      <c r="B824" t="s">
        <v>1083</v>
      </c>
      <c r="C824" s="50">
        <v>30.83</v>
      </c>
    </row>
    <row r="825" spans="1:3" ht="18">
      <c r="A825">
        <v>6443</v>
      </c>
      <c r="B825" t="s">
        <v>1084</v>
      </c>
      <c r="C825" s="50">
        <v>27.13</v>
      </c>
    </row>
    <row r="826" spans="1:3" ht="18">
      <c r="A826">
        <v>6449</v>
      </c>
      <c r="B826" t="s">
        <v>1085</v>
      </c>
      <c r="C826" s="50">
        <v>20.14</v>
      </c>
    </row>
    <row r="827" spans="1:3" ht="18">
      <c r="A827">
        <v>6451</v>
      </c>
      <c r="B827" t="s">
        <v>1086</v>
      </c>
      <c r="C827" s="50">
        <v>59.44</v>
      </c>
    </row>
    <row r="828" spans="1:3" ht="18">
      <c r="A828">
        <v>6456</v>
      </c>
      <c r="B828" t="s">
        <v>1087</v>
      </c>
      <c r="C828" s="50" t="s">
        <v>271</v>
      </c>
    </row>
    <row r="829" spans="1:3" ht="18">
      <c r="A829">
        <v>6464</v>
      </c>
      <c r="B829" t="s">
        <v>1088</v>
      </c>
      <c r="C829" s="50">
        <v>12.46</v>
      </c>
    </row>
    <row r="830" spans="1:3" ht="18">
      <c r="A830">
        <v>6472</v>
      </c>
      <c r="B830" t="s">
        <v>1832</v>
      </c>
      <c r="C830" s="50">
        <v>22.5</v>
      </c>
    </row>
    <row r="831" spans="1:3" ht="18">
      <c r="A831">
        <v>6477</v>
      </c>
      <c r="B831" t="s">
        <v>1089</v>
      </c>
      <c r="C831" s="50">
        <v>16.61</v>
      </c>
    </row>
    <row r="832" spans="1:3" ht="18">
      <c r="A832">
        <v>6491</v>
      </c>
      <c r="B832" t="s">
        <v>1090</v>
      </c>
      <c r="C832" s="50">
        <v>20.61</v>
      </c>
    </row>
    <row r="833" spans="1:3" ht="18">
      <c r="A833">
        <v>6504</v>
      </c>
      <c r="B833" t="s">
        <v>1091</v>
      </c>
      <c r="C833" s="50">
        <v>58.35</v>
      </c>
    </row>
    <row r="834" spans="1:3" ht="18">
      <c r="A834">
        <v>6505</v>
      </c>
      <c r="B834" t="s">
        <v>1092</v>
      </c>
      <c r="C834" s="50">
        <v>72.7</v>
      </c>
    </row>
    <row r="835" spans="1:3" ht="18">
      <c r="A835">
        <v>6515</v>
      </c>
      <c r="B835" t="s">
        <v>1093</v>
      </c>
      <c r="C835" s="50">
        <v>36.04</v>
      </c>
    </row>
    <row r="836" spans="1:3" ht="18">
      <c r="A836">
        <v>6525</v>
      </c>
      <c r="B836" t="s">
        <v>1094</v>
      </c>
      <c r="C836" s="50">
        <v>15.55</v>
      </c>
    </row>
    <row r="837" spans="1:3" ht="18">
      <c r="A837">
        <v>6526</v>
      </c>
      <c r="B837" t="s">
        <v>2080</v>
      </c>
      <c r="C837" s="50">
        <v>86.51</v>
      </c>
    </row>
    <row r="838" spans="1:3" ht="18">
      <c r="A838">
        <v>6531</v>
      </c>
      <c r="B838" t="s">
        <v>1095</v>
      </c>
      <c r="C838" s="50">
        <v>66.62</v>
      </c>
    </row>
    <row r="839" spans="1:3" ht="18">
      <c r="A839">
        <v>6533</v>
      </c>
      <c r="B839" t="s">
        <v>1096</v>
      </c>
      <c r="C839" s="50" t="s">
        <v>271</v>
      </c>
    </row>
    <row r="840" spans="1:3" ht="18">
      <c r="A840">
        <v>6534</v>
      </c>
      <c r="B840" t="s">
        <v>2081</v>
      </c>
      <c r="C840" s="50">
        <v>17.579999999999998</v>
      </c>
    </row>
    <row r="841" spans="1:3" ht="18">
      <c r="A841">
        <v>6541</v>
      </c>
      <c r="B841" t="s">
        <v>1097</v>
      </c>
      <c r="C841" s="50" t="s">
        <v>271</v>
      </c>
    </row>
    <row r="842" spans="1:3" ht="18">
      <c r="A842">
        <v>6550</v>
      </c>
      <c r="B842" t="s">
        <v>1098</v>
      </c>
      <c r="C842" s="50" t="s">
        <v>271</v>
      </c>
    </row>
    <row r="843" spans="1:3" ht="18">
      <c r="A843">
        <v>6552</v>
      </c>
      <c r="B843" t="s">
        <v>1099</v>
      </c>
      <c r="C843" s="50" t="s">
        <v>271</v>
      </c>
    </row>
    <row r="844" spans="1:3" ht="18">
      <c r="A844">
        <v>6558</v>
      </c>
      <c r="B844" t="s">
        <v>1100</v>
      </c>
      <c r="C844" s="50" t="s">
        <v>271</v>
      </c>
    </row>
    <row r="845" spans="1:3" ht="18">
      <c r="A845">
        <v>6573</v>
      </c>
      <c r="B845" t="s">
        <v>1101</v>
      </c>
      <c r="C845" s="50" t="s">
        <v>271</v>
      </c>
    </row>
    <row r="846" spans="1:3" ht="18">
      <c r="A846">
        <v>6579</v>
      </c>
      <c r="B846" t="s">
        <v>1102</v>
      </c>
      <c r="C846" s="51">
        <v>19.77</v>
      </c>
    </row>
    <row r="847" spans="1:3" ht="18">
      <c r="A847">
        <v>6581</v>
      </c>
      <c r="B847" t="s">
        <v>1103</v>
      </c>
      <c r="C847" s="50">
        <v>18.809999999999999</v>
      </c>
    </row>
    <row r="848" spans="1:3" ht="18">
      <c r="A848">
        <v>6582</v>
      </c>
      <c r="B848" t="s">
        <v>1104</v>
      </c>
      <c r="C848" s="50" t="s">
        <v>271</v>
      </c>
    </row>
    <row r="849" spans="1:3" ht="18">
      <c r="A849">
        <v>6585</v>
      </c>
      <c r="B849" t="s">
        <v>1105</v>
      </c>
      <c r="C849" s="50">
        <v>27.42</v>
      </c>
    </row>
    <row r="850" spans="1:3" ht="18">
      <c r="A850">
        <v>6591</v>
      </c>
      <c r="B850" t="s">
        <v>1106</v>
      </c>
      <c r="C850" s="50">
        <v>13.29</v>
      </c>
    </row>
    <row r="851" spans="1:3" ht="18">
      <c r="A851">
        <v>6592</v>
      </c>
      <c r="B851" t="s">
        <v>1107</v>
      </c>
      <c r="C851" s="50">
        <v>22.94</v>
      </c>
    </row>
    <row r="852" spans="1:3" ht="18">
      <c r="A852">
        <v>6598</v>
      </c>
      <c r="B852" t="s">
        <v>1108</v>
      </c>
      <c r="C852" s="50" t="s">
        <v>271</v>
      </c>
    </row>
    <row r="853" spans="1:3" ht="18">
      <c r="A853">
        <v>6605</v>
      </c>
      <c r="B853" t="s">
        <v>1109</v>
      </c>
      <c r="C853" s="50">
        <v>11.72</v>
      </c>
    </row>
    <row r="854" spans="1:3" ht="18">
      <c r="A854">
        <v>6606</v>
      </c>
      <c r="B854" t="s">
        <v>2082</v>
      </c>
      <c r="C854" s="50">
        <v>23.08</v>
      </c>
    </row>
    <row r="855" spans="1:3" ht="18">
      <c r="A855">
        <v>6625</v>
      </c>
      <c r="B855" t="s">
        <v>1110</v>
      </c>
      <c r="C855" s="50">
        <v>16.559999999999999</v>
      </c>
    </row>
    <row r="856" spans="1:3" ht="18">
      <c r="A856">
        <v>6641</v>
      </c>
      <c r="B856" t="s">
        <v>1111</v>
      </c>
      <c r="C856" s="50">
        <v>23.62</v>
      </c>
    </row>
    <row r="857" spans="1:3" ht="18">
      <c r="A857">
        <v>6645</v>
      </c>
      <c r="B857" t="s">
        <v>2083</v>
      </c>
      <c r="C857" s="50" t="s">
        <v>271</v>
      </c>
    </row>
    <row r="858" spans="1:3" ht="18">
      <c r="A858">
        <v>6655</v>
      </c>
      <c r="B858" t="s">
        <v>1112</v>
      </c>
      <c r="C858" s="50">
        <v>34.94</v>
      </c>
    </row>
    <row r="859" spans="1:3" ht="18">
      <c r="A859">
        <v>6657</v>
      </c>
      <c r="B859" t="s">
        <v>2084</v>
      </c>
      <c r="C859" s="50" t="s">
        <v>271</v>
      </c>
    </row>
    <row r="860" spans="1:3" ht="18">
      <c r="A860">
        <v>6658</v>
      </c>
      <c r="B860" t="s">
        <v>2085</v>
      </c>
      <c r="C860" s="50">
        <v>17.16</v>
      </c>
    </row>
    <row r="861" spans="1:3" ht="18">
      <c r="A861">
        <v>6666</v>
      </c>
      <c r="B861" t="s">
        <v>1113</v>
      </c>
      <c r="C861" s="50">
        <v>45.14</v>
      </c>
    </row>
    <row r="862" spans="1:3" ht="18">
      <c r="A862">
        <v>6668</v>
      </c>
      <c r="B862" t="s">
        <v>1114</v>
      </c>
      <c r="C862" s="50" t="s">
        <v>271</v>
      </c>
    </row>
    <row r="863" spans="1:3" ht="18">
      <c r="A863">
        <v>6669</v>
      </c>
      <c r="B863" t="s">
        <v>1115</v>
      </c>
      <c r="C863" s="50">
        <v>25.57</v>
      </c>
    </row>
    <row r="864" spans="1:3" ht="18">
      <c r="A864">
        <v>6670</v>
      </c>
      <c r="B864" t="s">
        <v>1116</v>
      </c>
      <c r="C864" s="50">
        <v>9.75</v>
      </c>
    </row>
    <row r="865" spans="1:3" ht="18">
      <c r="A865">
        <v>6671</v>
      </c>
      <c r="B865" t="s">
        <v>1117</v>
      </c>
      <c r="C865" s="50">
        <v>13.7</v>
      </c>
    </row>
    <row r="866" spans="1:3" ht="18">
      <c r="A866">
        <v>6672</v>
      </c>
      <c r="B866" t="s">
        <v>1118</v>
      </c>
      <c r="C866" s="50">
        <v>14.81</v>
      </c>
    </row>
    <row r="867" spans="1:3" ht="18">
      <c r="A867">
        <v>6674</v>
      </c>
      <c r="B867" t="s">
        <v>1119</v>
      </c>
      <c r="C867" s="50" t="s">
        <v>271</v>
      </c>
    </row>
    <row r="868" spans="1:3" ht="18">
      <c r="A868">
        <v>6689</v>
      </c>
      <c r="B868" t="s">
        <v>1120</v>
      </c>
      <c r="C868" s="50">
        <v>60.41</v>
      </c>
    </row>
    <row r="869" spans="1:3" ht="18">
      <c r="A869">
        <v>6691</v>
      </c>
      <c r="B869" t="s">
        <v>1121</v>
      </c>
      <c r="C869" s="50">
        <v>15.14</v>
      </c>
    </row>
    <row r="870" spans="1:3" ht="18">
      <c r="A870">
        <v>6695</v>
      </c>
      <c r="B870" t="s">
        <v>1122</v>
      </c>
      <c r="C870" s="50" t="s">
        <v>271</v>
      </c>
    </row>
    <row r="871" spans="1:3" ht="18">
      <c r="A871">
        <v>6698</v>
      </c>
      <c r="B871" t="s">
        <v>1123</v>
      </c>
      <c r="C871" s="50" t="s">
        <v>271</v>
      </c>
    </row>
    <row r="872" spans="1:3" ht="18">
      <c r="A872">
        <v>6706</v>
      </c>
      <c r="B872" t="s">
        <v>1124</v>
      </c>
      <c r="C872" s="50" t="s">
        <v>271</v>
      </c>
    </row>
    <row r="873" spans="1:3" ht="18">
      <c r="A873">
        <v>6715</v>
      </c>
      <c r="B873" t="s">
        <v>1125</v>
      </c>
      <c r="C873" s="50">
        <v>23.45</v>
      </c>
    </row>
    <row r="874" spans="1:3" ht="18">
      <c r="A874">
        <v>6719</v>
      </c>
      <c r="B874" t="s">
        <v>1126</v>
      </c>
      <c r="C874" s="50">
        <v>448.57</v>
      </c>
    </row>
    <row r="875" spans="1:3" ht="18">
      <c r="A875">
        <v>6742</v>
      </c>
      <c r="B875" t="s">
        <v>2086</v>
      </c>
      <c r="C875" s="50">
        <v>16.760000000000002</v>
      </c>
    </row>
    <row r="876" spans="1:3" ht="18">
      <c r="A876">
        <v>6743</v>
      </c>
      <c r="B876" t="s">
        <v>1127</v>
      </c>
      <c r="C876" s="50" t="s">
        <v>271</v>
      </c>
    </row>
    <row r="877" spans="1:3" ht="18">
      <c r="A877">
        <v>6753</v>
      </c>
      <c r="B877" t="s">
        <v>2087</v>
      </c>
      <c r="C877" s="50">
        <v>19.98</v>
      </c>
    </row>
    <row r="878" spans="1:3" ht="18">
      <c r="A878">
        <v>6754</v>
      </c>
      <c r="B878" t="s">
        <v>1128</v>
      </c>
      <c r="C878" s="50">
        <v>11.44</v>
      </c>
    </row>
    <row r="879" spans="1:3" ht="18">
      <c r="A879">
        <v>6756</v>
      </c>
      <c r="B879" t="s">
        <v>1129</v>
      </c>
      <c r="C879" s="50">
        <v>89</v>
      </c>
    </row>
    <row r="880" spans="1:3" ht="18">
      <c r="A880">
        <v>6757</v>
      </c>
      <c r="B880" t="s">
        <v>2088</v>
      </c>
      <c r="C880" s="50">
        <v>15.85</v>
      </c>
    </row>
    <row r="881" spans="1:3" ht="18">
      <c r="A881">
        <v>6768</v>
      </c>
      <c r="B881" t="s">
        <v>1130</v>
      </c>
      <c r="C881" s="50">
        <v>18.079999999999998</v>
      </c>
    </row>
    <row r="882" spans="1:3" ht="18">
      <c r="A882">
        <v>6770</v>
      </c>
      <c r="B882" t="s">
        <v>1131</v>
      </c>
      <c r="C882" s="50">
        <v>49.92</v>
      </c>
    </row>
    <row r="883" spans="1:3" ht="18">
      <c r="A883">
        <v>6776</v>
      </c>
      <c r="B883" t="s">
        <v>1132</v>
      </c>
      <c r="C883" s="51">
        <v>11.21</v>
      </c>
    </row>
    <row r="884" spans="1:3" ht="18">
      <c r="A884">
        <v>6781</v>
      </c>
      <c r="B884" t="s">
        <v>1133</v>
      </c>
      <c r="C884" s="50">
        <v>28.98</v>
      </c>
    </row>
    <row r="885" spans="1:3" ht="18">
      <c r="A885">
        <v>6782</v>
      </c>
      <c r="B885" t="s">
        <v>1134</v>
      </c>
      <c r="C885" s="50">
        <v>42.8</v>
      </c>
    </row>
    <row r="886" spans="1:3" ht="18">
      <c r="A886">
        <v>6789</v>
      </c>
      <c r="B886" t="s">
        <v>1135</v>
      </c>
      <c r="C886" s="50">
        <v>156.21</v>
      </c>
    </row>
    <row r="887" spans="1:3" ht="18">
      <c r="A887">
        <v>6790</v>
      </c>
      <c r="B887" t="s">
        <v>1136</v>
      </c>
      <c r="C887" s="50">
        <v>14.77</v>
      </c>
    </row>
    <row r="888" spans="1:3" ht="18">
      <c r="A888">
        <v>6792</v>
      </c>
      <c r="B888" t="s">
        <v>1137</v>
      </c>
      <c r="C888" s="50">
        <v>17.29</v>
      </c>
    </row>
    <row r="889" spans="1:3" ht="18">
      <c r="A889">
        <v>6796</v>
      </c>
      <c r="B889" t="s">
        <v>1138</v>
      </c>
      <c r="C889" s="50">
        <v>50.46</v>
      </c>
    </row>
    <row r="890" spans="1:3" ht="18">
      <c r="A890">
        <v>6799</v>
      </c>
      <c r="B890" t="s">
        <v>1139</v>
      </c>
      <c r="C890" s="50">
        <v>36.549999999999997</v>
      </c>
    </row>
    <row r="891" spans="1:3" ht="18">
      <c r="A891">
        <v>6805</v>
      </c>
      <c r="B891" t="s">
        <v>2089</v>
      </c>
      <c r="C891" s="50">
        <v>44.07</v>
      </c>
    </row>
    <row r="892" spans="1:3" ht="18">
      <c r="A892">
        <v>6806</v>
      </c>
      <c r="B892" t="s">
        <v>1140</v>
      </c>
      <c r="C892" s="50">
        <v>63.77</v>
      </c>
    </row>
    <row r="893" spans="1:3" ht="18">
      <c r="A893">
        <v>6807</v>
      </c>
      <c r="B893" t="s">
        <v>1141</v>
      </c>
      <c r="C893" s="50">
        <v>9.1300000000000008</v>
      </c>
    </row>
    <row r="894" spans="1:3" ht="18">
      <c r="A894">
        <v>6830</v>
      </c>
      <c r="B894" t="s">
        <v>1142</v>
      </c>
      <c r="C894" s="50">
        <v>22.18</v>
      </c>
    </row>
    <row r="895" spans="1:3" ht="18">
      <c r="A895">
        <v>6834</v>
      </c>
      <c r="B895" t="s">
        <v>1143</v>
      </c>
      <c r="C895" s="50" t="s">
        <v>271</v>
      </c>
    </row>
    <row r="896" spans="1:3" ht="18">
      <c r="A896">
        <v>6835</v>
      </c>
      <c r="B896" t="s">
        <v>1144</v>
      </c>
      <c r="C896" s="50">
        <v>17.45</v>
      </c>
    </row>
    <row r="897" spans="1:3" ht="18">
      <c r="A897">
        <v>6854</v>
      </c>
      <c r="B897" t="s">
        <v>1145</v>
      </c>
      <c r="C897" s="50" t="s">
        <v>271</v>
      </c>
    </row>
    <row r="898" spans="1:3" ht="18">
      <c r="A898">
        <v>6861</v>
      </c>
      <c r="B898" t="s">
        <v>2090</v>
      </c>
      <c r="C898" s="50">
        <v>24.94</v>
      </c>
    </row>
    <row r="899" spans="1:3" ht="18">
      <c r="A899">
        <v>6863</v>
      </c>
      <c r="B899" t="s">
        <v>2091</v>
      </c>
      <c r="C899" s="50">
        <v>31.69</v>
      </c>
    </row>
    <row r="900" spans="1:3" ht="18">
      <c r="A900">
        <v>6869</v>
      </c>
      <c r="B900" t="s">
        <v>2092</v>
      </c>
      <c r="C900" s="50">
        <v>10.220000000000001</v>
      </c>
    </row>
    <row r="901" spans="1:3" ht="18">
      <c r="A901">
        <v>6873</v>
      </c>
      <c r="B901" t="s">
        <v>2093</v>
      </c>
      <c r="C901" s="50">
        <v>17.329999999999998</v>
      </c>
    </row>
    <row r="902" spans="1:3" ht="18">
      <c r="A902">
        <v>6901</v>
      </c>
      <c r="B902" t="s">
        <v>2094</v>
      </c>
      <c r="C902" s="50" t="s">
        <v>271</v>
      </c>
    </row>
    <row r="903" spans="1:3" ht="18">
      <c r="A903">
        <v>6902</v>
      </c>
      <c r="B903" t="s">
        <v>2095</v>
      </c>
      <c r="C903" s="50" t="s">
        <v>271</v>
      </c>
    </row>
    <row r="904" spans="1:3" ht="18">
      <c r="A904">
        <v>6916</v>
      </c>
      <c r="B904" t="s">
        <v>2096</v>
      </c>
      <c r="C904" s="50">
        <v>7.44</v>
      </c>
    </row>
    <row r="905" spans="1:3" ht="18">
      <c r="A905">
        <v>6933</v>
      </c>
      <c r="B905" t="s">
        <v>2097</v>
      </c>
      <c r="C905" s="50">
        <v>46.37</v>
      </c>
    </row>
    <row r="906" spans="1:3" ht="18">
      <c r="A906">
        <v>6937</v>
      </c>
      <c r="B906" t="s">
        <v>2098</v>
      </c>
      <c r="C906" s="50">
        <v>42.9</v>
      </c>
    </row>
    <row r="907" spans="1:3" ht="18">
      <c r="A907">
        <v>8011</v>
      </c>
      <c r="B907" t="s">
        <v>1146</v>
      </c>
      <c r="C907" s="50" t="s">
        <v>271</v>
      </c>
    </row>
    <row r="908" spans="1:3" ht="18">
      <c r="A908">
        <v>8016</v>
      </c>
      <c r="B908" t="s">
        <v>1147</v>
      </c>
      <c r="C908" s="50">
        <v>18.5</v>
      </c>
    </row>
    <row r="909" spans="1:3" ht="18">
      <c r="A909">
        <v>8021</v>
      </c>
      <c r="B909" t="s">
        <v>1148</v>
      </c>
      <c r="C909" s="50" t="s">
        <v>271</v>
      </c>
    </row>
    <row r="910" spans="1:3" ht="18">
      <c r="A910">
        <v>8028</v>
      </c>
      <c r="B910" t="s">
        <v>1149</v>
      </c>
      <c r="C910" s="50">
        <v>22.55</v>
      </c>
    </row>
    <row r="911" spans="1:3" ht="18">
      <c r="A911">
        <v>8033</v>
      </c>
      <c r="B911" t="s">
        <v>1150</v>
      </c>
      <c r="C911" s="50" t="s">
        <v>271</v>
      </c>
    </row>
    <row r="912" spans="1:3" ht="18">
      <c r="A912">
        <v>8039</v>
      </c>
      <c r="B912" t="s">
        <v>1151</v>
      </c>
      <c r="C912" s="50">
        <v>26.95</v>
      </c>
    </row>
    <row r="913" spans="1:3" ht="18">
      <c r="A913">
        <v>8046</v>
      </c>
      <c r="B913" t="s">
        <v>1152</v>
      </c>
      <c r="C913" s="50">
        <v>16.05</v>
      </c>
    </row>
    <row r="914" spans="1:3" ht="18">
      <c r="A914">
        <v>8070</v>
      </c>
      <c r="B914" t="s">
        <v>1153</v>
      </c>
      <c r="C914" s="50">
        <v>14.66</v>
      </c>
    </row>
    <row r="915" spans="1:3" ht="18">
      <c r="A915">
        <v>8072</v>
      </c>
      <c r="B915" t="s">
        <v>1154</v>
      </c>
      <c r="C915" s="50">
        <v>33.94</v>
      </c>
    </row>
    <row r="916" spans="1:3" ht="18">
      <c r="A916">
        <v>8081</v>
      </c>
      <c r="B916" t="s">
        <v>1155</v>
      </c>
      <c r="C916" s="50">
        <v>16.78</v>
      </c>
    </row>
    <row r="917" spans="1:3" ht="18">
      <c r="A917">
        <v>8101</v>
      </c>
      <c r="B917" t="s">
        <v>1156</v>
      </c>
      <c r="C917" s="50" t="s">
        <v>271</v>
      </c>
    </row>
    <row r="918" spans="1:3" ht="18">
      <c r="A918">
        <v>8103</v>
      </c>
      <c r="B918" t="s">
        <v>1157</v>
      </c>
      <c r="C918" s="50">
        <v>15.96</v>
      </c>
    </row>
    <row r="919" spans="1:3" ht="18">
      <c r="A919">
        <v>8104</v>
      </c>
      <c r="B919" t="s">
        <v>1158</v>
      </c>
      <c r="C919" s="50" t="s">
        <v>271</v>
      </c>
    </row>
    <row r="920" spans="1:3" ht="18">
      <c r="A920">
        <v>8105</v>
      </c>
      <c r="B920" t="s">
        <v>1159</v>
      </c>
      <c r="C920" s="50">
        <v>21.69</v>
      </c>
    </row>
    <row r="921" spans="1:3" ht="18">
      <c r="A921">
        <v>8110</v>
      </c>
      <c r="B921" t="s">
        <v>1160</v>
      </c>
      <c r="C921" s="50" t="s">
        <v>271</v>
      </c>
    </row>
    <row r="922" spans="1:3" ht="18">
      <c r="A922">
        <v>8112</v>
      </c>
      <c r="B922" t="s">
        <v>1161</v>
      </c>
      <c r="C922" s="50">
        <v>20.51</v>
      </c>
    </row>
    <row r="923" spans="1:3" ht="18">
      <c r="A923">
        <v>8114</v>
      </c>
      <c r="B923" t="s">
        <v>1162</v>
      </c>
      <c r="C923" s="50">
        <v>20.36</v>
      </c>
    </row>
    <row r="924" spans="1:3" ht="18">
      <c r="A924">
        <v>8131</v>
      </c>
      <c r="B924" t="s">
        <v>1163</v>
      </c>
      <c r="C924" s="50">
        <v>21.91</v>
      </c>
    </row>
    <row r="925" spans="1:3" ht="18">
      <c r="A925">
        <v>8150</v>
      </c>
      <c r="B925" t="s">
        <v>1164</v>
      </c>
      <c r="C925" s="50">
        <v>19.649999999999999</v>
      </c>
    </row>
    <row r="926" spans="1:3" ht="18">
      <c r="A926">
        <v>8163</v>
      </c>
      <c r="B926" t="s">
        <v>1165</v>
      </c>
      <c r="C926" s="50">
        <v>8.69</v>
      </c>
    </row>
    <row r="927" spans="1:3" ht="18">
      <c r="A927">
        <v>8201</v>
      </c>
      <c r="B927" t="s">
        <v>1166</v>
      </c>
      <c r="C927" s="50" t="s">
        <v>271</v>
      </c>
    </row>
    <row r="928" spans="1:3" ht="18">
      <c r="A928">
        <v>8210</v>
      </c>
      <c r="B928" t="s">
        <v>1167</v>
      </c>
      <c r="C928" s="50">
        <v>47.88</v>
      </c>
    </row>
    <row r="929" spans="1:3" ht="18">
      <c r="A929">
        <v>8213</v>
      </c>
      <c r="B929" t="s">
        <v>1168</v>
      </c>
      <c r="C929" s="50">
        <v>10.83</v>
      </c>
    </row>
    <row r="930" spans="1:3" ht="18">
      <c r="A930">
        <v>8215</v>
      </c>
      <c r="B930" t="s">
        <v>1169</v>
      </c>
      <c r="C930" s="50">
        <v>18.93</v>
      </c>
    </row>
    <row r="931" spans="1:3" ht="18">
      <c r="A931">
        <v>8222</v>
      </c>
      <c r="B931" t="s">
        <v>1170</v>
      </c>
      <c r="C931" s="50">
        <v>60.51</v>
      </c>
    </row>
    <row r="932" spans="1:3" ht="18">
      <c r="A932">
        <v>8249</v>
      </c>
      <c r="B932" t="s">
        <v>1171</v>
      </c>
      <c r="C932" s="50">
        <v>16.48</v>
      </c>
    </row>
    <row r="933" spans="1:3" ht="18">
      <c r="A933">
        <v>8261</v>
      </c>
      <c r="B933" t="s">
        <v>1172</v>
      </c>
      <c r="C933" s="50">
        <v>33.200000000000003</v>
      </c>
    </row>
    <row r="934" spans="1:3" ht="18">
      <c r="A934">
        <v>8271</v>
      </c>
      <c r="B934" t="s">
        <v>1173</v>
      </c>
      <c r="C934" s="50">
        <v>14.74</v>
      </c>
    </row>
    <row r="935" spans="1:3" ht="18">
      <c r="A935">
        <v>8341</v>
      </c>
      <c r="B935" t="s">
        <v>1174</v>
      </c>
      <c r="C935" s="50">
        <v>31.25</v>
      </c>
    </row>
    <row r="936" spans="1:3" ht="18">
      <c r="A936">
        <v>8367</v>
      </c>
      <c r="B936" t="s">
        <v>1175</v>
      </c>
      <c r="C936" s="50">
        <v>15.63</v>
      </c>
    </row>
    <row r="937" spans="1:3" ht="18">
      <c r="A937">
        <v>8374</v>
      </c>
      <c r="B937" t="s">
        <v>1176</v>
      </c>
      <c r="C937" s="50" t="s">
        <v>271</v>
      </c>
    </row>
    <row r="938" spans="1:3" ht="18">
      <c r="A938">
        <v>8404</v>
      </c>
      <c r="B938" t="s">
        <v>1177</v>
      </c>
      <c r="C938" s="50" t="s">
        <v>271</v>
      </c>
    </row>
    <row r="939" spans="1:3" ht="18">
      <c r="A939">
        <v>8411</v>
      </c>
      <c r="B939" t="s">
        <v>1178</v>
      </c>
      <c r="C939" s="50">
        <v>46.06</v>
      </c>
    </row>
    <row r="940" spans="1:3" ht="18">
      <c r="A940">
        <v>8422</v>
      </c>
      <c r="B940" t="s">
        <v>1179</v>
      </c>
      <c r="C940" s="50">
        <v>17</v>
      </c>
    </row>
    <row r="941" spans="1:3" ht="18">
      <c r="A941">
        <v>8429</v>
      </c>
      <c r="B941" t="s">
        <v>1180</v>
      </c>
      <c r="C941" s="50" t="s">
        <v>271</v>
      </c>
    </row>
    <row r="942" spans="1:3" ht="18">
      <c r="A942">
        <v>8438</v>
      </c>
      <c r="B942" t="s">
        <v>1181</v>
      </c>
      <c r="C942" s="50">
        <v>28.48</v>
      </c>
    </row>
    <row r="943" spans="1:3" ht="18">
      <c r="A943">
        <v>8442</v>
      </c>
      <c r="B943" t="s">
        <v>1182</v>
      </c>
      <c r="C943" s="50">
        <v>10.01</v>
      </c>
    </row>
    <row r="944" spans="1:3" ht="18">
      <c r="A944">
        <v>8443</v>
      </c>
      <c r="B944" t="s">
        <v>1183</v>
      </c>
      <c r="C944" s="50" t="s">
        <v>271</v>
      </c>
    </row>
    <row r="945" spans="1:3" ht="18">
      <c r="A945">
        <v>8454</v>
      </c>
      <c r="B945" t="s">
        <v>1184</v>
      </c>
      <c r="C945" s="50">
        <v>34.93</v>
      </c>
    </row>
    <row r="946" spans="1:3" ht="18">
      <c r="A946">
        <v>8462</v>
      </c>
      <c r="B946" t="s">
        <v>1185</v>
      </c>
      <c r="C946" s="50">
        <v>164</v>
      </c>
    </row>
    <row r="947" spans="1:3" ht="18">
      <c r="A947">
        <v>8463</v>
      </c>
      <c r="B947" t="s">
        <v>1186</v>
      </c>
      <c r="C947" s="50">
        <v>31.58</v>
      </c>
    </row>
    <row r="948" spans="1:3" ht="18">
      <c r="A948">
        <v>8464</v>
      </c>
      <c r="B948" t="s">
        <v>1187</v>
      </c>
      <c r="C948" s="50">
        <v>18.670000000000002</v>
      </c>
    </row>
    <row r="949" spans="1:3" ht="18">
      <c r="A949">
        <v>8466</v>
      </c>
      <c r="B949" t="s">
        <v>1188</v>
      </c>
      <c r="C949" s="50" t="s">
        <v>271</v>
      </c>
    </row>
    <row r="950" spans="1:3" ht="18">
      <c r="A950">
        <v>8467</v>
      </c>
      <c r="B950" t="s">
        <v>1189</v>
      </c>
      <c r="C950" s="50">
        <v>22.02</v>
      </c>
    </row>
    <row r="951" spans="1:3" ht="18">
      <c r="A951">
        <v>8473</v>
      </c>
      <c r="B951" t="s">
        <v>1190</v>
      </c>
      <c r="C951" s="50" t="s">
        <v>271</v>
      </c>
    </row>
    <row r="952" spans="1:3" ht="18">
      <c r="A952">
        <v>8476</v>
      </c>
      <c r="B952" t="s">
        <v>2019</v>
      </c>
      <c r="C952" s="50">
        <v>6.15</v>
      </c>
    </row>
    <row r="953" spans="1:3" ht="18">
      <c r="A953">
        <v>8478</v>
      </c>
      <c r="B953" t="s">
        <v>1191</v>
      </c>
      <c r="C953" s="50">
        <v>17.18</v>
      </c>
    </row>
    <row r="954" spans="1:3" ht="18">
      <c r="A954">
        <v>8481</v>
      </c>
      <c r="B954" t="s">
        <v>1192</v>
      </c>
      <c r="C954" s="50">
        <v>24.69</v>
      </c>
    </row>
    <row r="955" spans="1:3" ht="18">
      <c r="A955">
        <v>8482</v>
      </c>
      <c r="B955" t="s">
        <v>1193</v>
      </c>
      <c r="C955" s="50">
        <v>16.55</v>
      </c>
    </row>
    <row r="956" spans="1:3" ht="18">
      <c r="A956">
        <v>8488</v>
      </c>
      <c r="B956" t="s">
        <v>1194</v>
      </c>
      <c r="C956" s="50" t="s">
        <v>271</v>
      </c>
    </row>
    <row r="957" spans="1:3" ht="18">
      <c r="A957">
        <v>8499</v>
      </c>
      <c r="B957" t="s">
        <v>1195</v>
      </c>
      <c r="C957" s="50">
        <v>9.49</v>
      </c>
    </row>
    <row r="958" spans="1:3" ht="18">
      <c r="A958">
        <v>8926</v>
      </c>
      <c r="B958" t="s">
        <v>1196</v>
      </c>
      <c r="C958" s="50">
        <v>17.649999999999999</v>
      </c>
    </row>
    <row r="959" spans="1:3" ht="18">
      <c r="A959">
        <v>8940</v>
      </c>
      <c r="B959" t="s">
        <v>1197</v>
      </c>
      <c r="C959" s="50">
        <v>20.79</v>
      </c>
    </row>
    <row r="960" spans="1:3" ht="18">
      <c r="A960">
        <v>8996</v>
      </c>
      <c r="B960" t="s">
        <v>1198</v>
      </c>
      <c r="C960" s="50">
        <v>31.1</v>
      </c>
    </row>
    <row r="961" spans="1:3" ht="18">
      <c r="A961">
        <v>9802</v>
      </c>
      <c r="B961" t="s">
        <v>1199</v>
      </c>
      <c r="C961" s="50">
        <v>12.48</v>
      </c>
    </row>
    <row r="962" spans="1:3" ht="18">
      <c r="A962">
        <v>9902</v>
      </c>
      <c r="B962" t="s">
        <v>1200</v>
      </c>
      <c r="C962" s="50">
        <v>61.43</v>
      </c>
    </row>
    <row r="963" spans="1:3" ht="18">
      <c r="A963">
        <v>9904</v>
      </c>
      <c r="B963" t="s">
        <v>1201</v>
      </c>
      <c r="C963" s="50">
        <v>11.66</v>
      </c>
    </row>
    <row r="964" spans="1:3" ht="18">
      <c r="A964">
        <v>9905</v>
      </c>
      <c r="B964" t="s">
        <v>1202</v>
      </c>
      <c r="C964" s="50">
        <v>16.239999999999998</v>
      </c>
    </row>
    <row r="965" spans="1:3" ht="18">
      <c r="A965">
        <v>9906</v>
      </c>
      <c r="B965" t="s">
        <v>1203</v>
      </c>
      <c r="C965" s="50">
        <v>8.48</v>
      </c>
    </row>
    <row r="966" spans="1:3" ht="18">
      <c r="A966">
        <v>9907</v>
      </c>
      <c r="B966" t="s">
        <v>1204</v>
      </c>
      <c r="C966" s="50">
        <v>34.36</v>
      </c>
    </row>
    <row r="967" spans="1:3" ht="18">
      <c r="A967">
        <v>9908</v>
      </c>
      <c r="B967" t="s">
        <v>1205</v>
      </c>
      <c r="C967" s="50">
        <v>14.8</v>
      </c>
    </row>
    <row r="968" spans="1:3" ht="18">
      <c r="A968">
        <v>9910</v>
      </c>
      <c r="B968" t="s">
        <v>1206</v>
      </c>
      <c r="C968" s="50">
        <v>32.35</v>
      </c>
    </row>
    <row r="969" spans="1:3" ht="18">
      <c r="A969">
        <v>9911</v>
      </c>
      <c r="B969" t="s">
        <v>1207</v>
      </c>
      <c r="C969" s="50">
        <v>15.34</v>
      </c>
    </row>
    <row r="970" spans="1:3" ht="18">
      <c r="A970">
        <v>9912</v>
      </c>
      <c r="B970" t="s">
        <v>1208</v>
      </c>
      <c r="C970" s="50" t="s">
        <v>271</v>
      </c>
    </row>
    <row r="971" spans="1:3" ht="18">
      <c r="A971">
        <v>9914</v>
      </c>
      <c r="B971" t="s">
        <v>1209</v>
      </c>
      <c r="C971" s="50">
        <v>23.73</v>
      </c>
    </row>
    <row r="972" spans="1:3" ht="18">
      <c r="A972">
        <v>9917</v>
      </c>
      <c r="B972" t="s">
        <v>1210</v>
      </c>
      <c r="C972" s="50">
        <v>20.03</v>
      </c>
    </row>
    <row r="973" spans="1:3" ht="18">
      <c r="A973">
        <v>9918</v>
      </c>
      <c r="B973" t="s">
        <v>1211</v>
      </c>
      <c r="C973" s="50">
        <v>23.01</v>
      </c>
    </row>
    <row r="974" spans="1:3" ht="18">
      <c r="A974">
        <v>9919</v>
      </c>
      <c r="B974" t="s">
        <v>1212</v>
      </c>
      <c r="C974" s="50">
        <v>7.84</v>
      </c>
    </row>
    <row r="975" spans="1:3" ht="18">
      <c r="A975">
        <v>9921</v>
      </c>
      <c r="B975" t="s">
        <v>1213</v>
      </c>
      <c r="C975" s="50">
        <v>21.65</v>
      </c>
    </row>
    <row r="976" spans="1:3" ht="18">
      <c r="A976">
        <v>9924</v>
      </c>
      <c r="B976" t="s">
        <v>1214</v>
      </c>
      <c r="C976" s="50">
        <v>10.54</v>
      </c>
    </row>
    <row r="977" spans="1:3" ht="18">
      <c r="A977">
        <v>9925</v>
      </c>
      <c r="B977" t="s">
        <v>1215</v>
      </c>
      <c r="C977" s="50">
        <v>16.739999999999998</v>
      </c>
    </row>
    <row r="978" spans="1:3" ht="18">
      <c r="A978">
        <v>9926</v>
      </c>
      <c r="B978" t="s">
        <v>1216</v>
      </c>
      <c r="C978" s="50">
        <v>21.71</v>
      </c>
    </row>
    <row r="979" spans="1:3" ht="18">
      <c r="A979">
        <v>9927</v>
      </c>
      <c r="B979" t="s">
        <v>1217</v>
      </c>
      <c r="C979" s="50">
        <v>12.11</v>
      </c>
    </row>
    <row r="980" spans="1:3" ht="18">
      <c r="A980">
        <v>9928</v>
      </c>
      <c r="B980" t="s">
        <v>1218</v>
      </c>
      <c r="C980" s="50" t="s">
        <v>271</v>
      </c>
    </row>
    <row r="981" spans="1:3" ht="18">
      <c r="A981">
        <v>9929</v>
      </c>
      <c r="B981" t="s">
        <v>1219</v>
      </c>
      <c r="C981" s="50">
        <v>55.16</v>
      </c>
    </row>
    <row r="982" spans="1:3" ht="18">
      <c r="A982">
        <v>9930</v>
      </c>
      <c r="B982" t="s">
        <v>1220</v>
      </c>
      <c r="C982" s="50">
        <v>18.7</v>
      </c>
    </row>
    <row r="983" spans="1:3" ht="18">
      <c r="A983">
        <v>9931</v>
      </c>
      <c r="B983" t="s">
        <v>1221</v>
      </c>
      <c r="C983" s="50">
        <v>30.66</v>
      </c>
    </row>
    <row r="984" spans="1:3" ht="18">
      <c r="A984">
        <v>9933</v>
      </c>
      <c r="B984" t="s">
        <v>1222</v>
      </c>
      <c r="C984" s="50">
        <v>19.329999999999998</v>
      </c>
    </row>
    <row r="985" spans="1:3" ht="18">
      <c r="A985">
        <v>9934</v>
      </c>
      <c r="B985" t="s">
        <v>1223</v>
      </c>
      <c r="C985" s="50">
        <v>12.66</v>
      </c>
    </row>
    <row r="986" spans="1:3" ht="18">
      <c r="A986">
        <v>9935</v>
      </c>
      <c r="B986" t="s">
        <v>1224</v>
      </c>
      <c r="C986" s="50">
        <v>35.89</v>
      </c>
    </row>
    <row r="987" spans="1:3" ht="18">
      <c r="A987">
        <v>9937</v>
      </c>
      <c r="B987" t="s">
        <v>1225</v>
      </c>
      <c r="C987" s="50">
        <v>28.46</v>
      </c>
    </row>
    <row r="988" spans="1:3" ht="18">
      <c r="A988">
        <v>9938</v>
      </c>
      <c r="B988" t="s">
        <v>1226</v>
      </c>
      <c r="C988" s="50">
        <v>30.64</v>
      </c>
    </row>
    <row r="989" spans="1:3" ht="18">
      <c r="A989">
        <v>9939</v>
      </c>
      <c r="B989" t="s">
        <v>1227</v>
      </c>
      <c r="C989" s="50">
        <v>15.53</v>
      </c>
    </row>
    <row r="990" spans="1:3" ht="18">
      <c r="A990">
        <v>9940</v>
      </c>
      <c r="B990" t="s">
        <v>1228</v>
      </c>
      <c r="C990" s="50">
        <v>13.93</v>
      </c>
    </row>
    <row r="991" spans="1:3" ht="18">
      <c r="A991">
        <v>9941</v>
      </c>
      <c r="B991" t="s">
        <v>1229</v>
      </c>
      <c r="C991" s="50">
        <v>18.329999999999998</v>
      </c>
    </row>
    <row r="992" spans="1:3" ht="18">
      <c r="A992">
        <v>9942</v>
      </c>
      <c r="B992" t="s">
        <v>1230</v>
      </c>
      <c r="C992" s="50">
        <v>11.63</v>
      </c>
    </row>
    <row r="993" spans="1:3" ht="18">
      <c r="A993">
        <v>9943</v>
      </c>
      <c r="B993" t="s">
        <v>1231</v>
      </c>
      <c r="C993" s="50">
        <v>14.1</v>
      </c>
    </row>
    <row r="994" spans="1:3" ht="18">
      <c r="A994">
        <v>9944</v>
      </c>
      <c r="B994" t="s">
        <v>1232</v>
      </c>
      <c r="C994" s="50">
        <v>6.05</v>
      </c>
    </row>
    <row r="995" spans="1:3" ht="18">
      <c r="A995">
        <v>9945</v>
      </c>
      <c r="B995" t="s">
        <v>1233</v>
      </c>
      <c r="C995" s="50">
        <v>18.149999999999999</v>
      </c>
    </row>
    <row r="996" spans="1:3" ht="18">
      <c r="A996">
        <v>9946</v>
      </c>
      <c r="B996" t="s">
        <v>1234</v>
      </c>
      <c r="C996" s="50">
        <v>120</v>
      </c>
    </row>
    <row r="997" spans="1:3" ht="18">
      <c r="A997">
        <v>9955</v>
      </c>
      <c r="B997" t="s">
        <v>1235</v>
      </c>
      <c r="C997" s="50" t="s">
        <v>271</v>
      </c>
    </row>
    <row r="998" spans="1:3" ht="18">
      <c r="A998">
        <v>9958</v>
      </c>
      <c r="B998" t="s">
        <v>1236</v>
      </c>
      <c r="C998" s="50">
        <v>91.36</v>
      </c>
    </row>
    <row r="999" spans="1:3">
      <c r="A999">
        <v>1240</v>
      </c>
      <c r="B999" t="s">
        <v>1240</v>
      </c>
      <c r="C999">
        <v>17.07</v>
      </c>
    </row>
    <row r="1000" spans="1:3">
      <c r="A1000">
        <v>1259</v>
      </c>
      <c r="B1000" t="s">
        <v>1242</v>
      </c>
      <c r="C1000">
        <v>14.01</v>
      </c>
    </row>
    <row r="1001" spans="1:3">
      <c r="A1001">
        <v>1264</v>
      </c>
      <c r="B1001" t="s">
        <v>1243</v>
      </c>
      <c r="C1001">
        <v>16.100000000000001</v>
      </c>
    </row>
    <row r="1002" spans="1:3">
      <c r="A1002">
        <v>1268</v>
      </c>
      <c r="B1002" t="s">
        <v>1244</v>
      </c>
      <c r="C1002">
        <v>17.62</v>
      </c>
    </row>
    <row r="1003" spans="1:3">
      <c r="A1003">
        <v>1336</v>
      </c>
      <c r="B1003" t="s">
        <v>1245</v>
      </c>
      <c r="C1003">
        <v>17.52</v>
      </c>
    </row>
    <row r="1004" spans="1:3">
      <c r="A1004">
        <v>1565</v>
      </c>
      <c r="B1004" t="s">
        <v>1246</v>
      </c>
      <c r="C1004">
        <v>15.51</v>
      </c>
    </row>
    <row r="1005" spans="1:3">
      <c r="A1005">
        <v>1569</v>
      </c>
      <c r="B1005" t="s">
        <v>1247</v>
      </c>
      <c r="C1005" t="s">
        <v>1259</v>
      </c>
    </row>
    <row r="1006" spans="1:3">
      <c r="A1006">
        <v>1570</v>
      </c>
      <c r="B1006" t="s">
        <v>1248</v>
      </c>
      <c r="C1006">
        <v>28.65</v>
      </c>
    </row>
    <row r="1007" spans="1:3">
      <c r="A1007">
        <v>1580</v>
      </c>
      <c r="B1007" t="s">
        <v>1249</v>
      </c>
      <c r="C1007">
        <v>14.29</v>
      </c>
    </row>
    <row r="1008" spans="1:3">
      <c r="A1008">
        <v>1584</v>
      </c>
      <c r="B1008" t="s">
        <v>1250</v>
      </c>
      <c r="C1008">
        <v>27.46</v>
      </c>
    </row>
    <row r="1009" spans="1:3">
      <c r="A1009">
        <v>1586</v>
      </c>
      <c r="B1009" t="s">
        <v>1251</v>
      </c>
      <c r="C1009" t="s">
        <v>1259</v>
      </c>
    </row>
    <row r="1010" spans="1:3">
      <c r="A1010">
        <v>1591</v>
      </c>
      <c r="B1010" t="s">
        <v>1252</v>
      </c>
      <c r="C1010" t="s">
        <v>1259</v>
      </c>
    </row>
    <row r="1011" spans="1:3">
      <c r="A1011">
        <v>1593</v>
      </c>
      <c r="B1011" t="s">
        <v>1253</v>
      </c>
      <c r="C1011">
        <v>27.03</v>
      </c>
    </row>
    <row r="1012" spans="1:3">
      <c r="A1012">
        <v>1595</v>
      </c>
      <c r="B1012" t="s">
        <v>1254</v>
      </c>
      <c r="C1012">
        <v>27.55</v>
      </c>
    </row>
    <row r="1013" spans="1:3">
      <c r="A1013">
        <v>1599</v>
      </c>
      <c r="B1013" t="s">
        <v>1255</v>
      </c>
      <c r="C1013">
        <v>28.78</v>
      </c>
    </row>
    <row r="1014" spans="1:3">
      <c r="A1014">
        <v>1742</v>
      </c>
      <c r="B1014" t="s">
        <v>1256</v>
      </c>
      <c r="C1014" t="s">
        <v>1259</v>
      </c>
    </row>
    <row r="1015" spans="1:3">
      <c r="A1015">
        <v>1777</v>
      </c>
      <c r="B1015" t="s">
        <v>1257</v>
      </c>
      <c r="C1015">
        <v>15.27</v>
      </c>
    </row>
    <row r="1016" spans="1:3">
      <c r="A1016">
        <v>1781</v>
      </c>
      <c r="B1016" t="s">
        <v>1258</v>
      </c>
      <c r="C1016" t="s">
        <v>1259</v>
      </c>
    </row>
    <row r="1017" spans="1:3">
      <c r="A1017">
        <v>1784</v>
      </c>
      <c r="B1017" t="s">
        <v>1260</v>
      </c>
      <c r="C1017">
        <v>34.380000000000003</v>
      </c>
    </row>
    <row r="1018" spans="1:3">
      <c r="A1018">
        <v>1785</v>
      </c>
      <c r="B1018" t="s">
        <v>1261</v>
      </c>
      <c r="C1018">
        <v>20.13</v>
      </c>
    </row>
    <row r="1019" spans="1:3">
      <c r="A1019">
        <v>1788</v>
      </c>
      <c r="B1019" t="s">
        <v>1262</v>
      </c>
      <c r="C1019">
        <v>17.170000000000002</v>
      </c>
    </row>
    <row r="1020" spans="1:3">
      <c r="A1020">
        <v>1796</v>
      </c>
      <c r="B1020" t="s">
        <v>1263</v>
      </c>
      <c r="C1020">
        <v>24.03</v>
      </c>
    </row>
    <row r="1021" spans="1:3">
      <c r="A1021">
        <v>1799</v>
      </c>
      <c r="B1021" t="s">
        <v>1264</v>
      </c>
      <c r="C1021" t="s">
        <v>1259</v>
      </c>
    </row>
    <row r="1022" spans="1:3">
      <c r="A1022">
        <v>1813</v>
      </c>
      <c r="B1022" t="s">
        <v>1265</v>
      </c>
      <c r="C1022" t="s">
        <v>1259</v>
      </c>
    </row>
    <row r="1023" spans="1:3">
      <c r="A1023">
        <v>1815</v>
      </c>
      <c r="B1023" t="s">
        <v>1266</v>
      </c>
      <c r="C1023" t="s">
        <v>1259</v>
      </c>
    </row>
    <row r="1024" spans="1:3">
      <c r="A1024">
        <v>2035</v>
      </c>
      <c r="B1024" t="s">
        <v>1267</v>
      </c>
      <c r="C1024" t="s">
        <v>1259</v>
      </c>
    </row>
    <row r="1025" spans="1:3">
      <c r="A1025">
        <v>2061</v>
      </c>
      <c r="B1025" t="s">
        <v>1268</v>
      </c>
      <c r="C1025" t="s">
        <v>1259</v>
      </c>
    </row>
    <row r="1026" spans="1:3">
      <c r="A1026">
        <v>2063</v>
      </c>
      <c r="B1026" t="s">
        <v>1269</v>
      </c>
      <c r="C1026">
        <v>11.09</v>
      </c>
    </row>
    <row r="1027" spans="1:3">
      <c r="A1027">
        <v>2064</v>
      </c>
      <c r="B1027" t="s">
        <v>1270</v>
      </c>
      <c r="C1027" t="s">
        <v>1259</v>
      </c>
    </row>
    <row r="1028" spans="1:3">
      <c r="A1028">
        <v>2065</v>
      </c>
      <c r="B1028" t="s">
        <v>1271</v>
      </c>
      <c r="C1028">
        <v>10.81</v>
      </c>
    </row>
    <row r="1029" spans="1:3">
      <c r="A1029">
        <v>2066</v>
      </c>
      <c r="B1029" t="s">
        <v>1272</v>
      </c>
      <c r="C1029">
        <v>11.61</v>
      </c>
    </row>
    <row r="1030" spans="1:3">
      <c r="A1030">
        <v>2067</v>
      </c>
      <c r="B1030" t="s">
        <v>1273</v>
      </c>
      <c r="C1030" t="s">
        <v>1259</v>
      </c>
    </row>
    <row r="1031" spans="1:3">
      <c r="A1031">
        <v>2070</v>
      </c>
      <c r="B1031" t="s">
        <v>1274</v>
      </c>
      <c r="C1031">
        <v>19.149999999999999</v>
      </c>
    </row>
    <row r="1032" spans="1:3">
      <c r="A1032">
        <v>2073</v>
      </c>
      <c r="B1032" t="s">
        <v>2100</v>
      </c>
      <c r="C1032">
        <v>80</v>
      </c>
    </row>
    <row r="1033" spans="1:3">
      <c r="A1033">
        <v>2221</v>
      </c>
      <c r="B1033" t="s">
        <v>1275</v>
      </c>
      <c r="C1033">
        <v>13.3</v>
      </c>
    </row>
    <row r="1034" spans="1:3">
      <c r="A1034">
        <v>2230</v>
      </c>
      <c r="B1034" t="s">
        <v>1276</v>
      </c>
      <c r="C1034">
        <v>132.66</v>
      </c>
    </row>
    <row r="1035" spans="1:3">
      <c r="A1035">
        <v>2235</v>
      </c>
      <c r="B1035" t="s">
        <v>1277</v>
      </c>
      <c r="C1035">
        <v>28.55</v>
      </c>
    </row>
    <row r="1036" spans="1:3">
      <c r="A1036">
        <v>2596</v>
      </c>
      <c r="B1036" t="s">
        <v>1278</v>
      </c>
      <c r="C1036">
        <v>114.32</v>
      </c>
    </row>
    <row r="1037" spans="1:3">
      <c r="A1037">
        <v>2640</v>
      </c>
      <c r="B1037" t="s">
        <v>1279</v>
      </c>
      <c r="C1037">
        <v>17.100000000000001</v>
      </c>
    </row>
    <row r="1038" spans="1:3">
      <c r="A1038">
        <v>2641</v>
      </c>
      <c r="B1038" t="s">
        <v>1280</v>
      </c>
      <c r="C1038">
        <v>7.62</v>
      </c>
    </row>
    <row r="1039" spans="1:3">
      <c r="A1039">
        <v>2643</v>
      </c>
      <c r="B1039" t="s">
        <v>1281</v>
      </c>
      <c r="C1039">
        <v>10.07</v>
      </c>
    </row>
    <row r="1040" spans="1:3">
      <c r="A1040">
        <v>2718</v>
      </c>
      <c r="B1040" t="s">
        <v>1282</v>
      </c>
      <c r="C1040">
        <v>7.45</v>
      </c>
    </row>
    <row r="1041" spans="1:3">
      <c r="A1041">
        <v>2719</v>
      </c>
      <c r="B1041" t="s">
        <v>1283</v>
      </c>
      <c r="C1041" t="s">
        <v>1259</v>
      </c>
    </row>
    <row r="1042" spans="1:3">
      <c r="A1042">
        <v>2724</v>
      </c>
      <c r="B1042" t="s">
        <v>1284</v>
      </c>
      <c r="C1042" t="s">
        <v>1259</v>
      </c>
    </row>
    <row r="1043" spans="1:3">
      <c r="A1043">
        <v>2726</v>
      </c>
      <c r="B1043" t="s">
        <v>1285</v>
      </c>
      <c r="C1043" t="s">
        <v>1259</v>
      </c>
    </row>
    <row r="1044" spans="1:3">
      <c r="A1044">
        <v>2729</v>
      </c>
      <c r="B1044" t="s">
        <v>1286</v>
      </c>
      <c r="C1044">
        <v>20.440000000000001</v>
      </c>
    </row>
    <row r="1045" spans="1:3">
      <c r="A1045">
        <v>2732</v>
      </c>
      <c r="B1045" t="s">
        <v>1287</v>
      </c>
      <c r="C1045">
        <v>16.39</v>
      </c>
    </row>
    <row r="1046" spans="1:3">
      <c r="A1046">
        <v>2734</v>
      </c>
      <c r="B1046" t="s">
        <v>1288</v>
      </c>
      <c r="C1046">
        <v>325</v>
      </c>
    </row>
    <row r="1047" spans="1:3">
      <c r="A1047">
        <v>2736</v>
      </c>
      <c r="B1047" t="s">
        <v>1289</v>
      </c>
      <c r="C1047">
        <v>297</v>
      </c>
    </row>
    <row r="1048" spans="1:3">
      <c r="A1048">
        <v>2740</v>
      </c>
      <c r="B1048" t="s">
        <v>1290</v>
      </c>
      <c r="C1048" t="s">
        <v>1259</v>
      </c>
    </row>
    <row r="1049" spans="1:3">
      <c r="A1049">
        <v>2743</v>
      </c>
      <c r="B1049" t="s">
        <v>1291</v>
      </c>
      <c r="C1049">
        <v>18.36</v>
      </c>
    </row>
    <row r="1050" spans="1:3">
      <c r="A1050">
        <v>2745</v>
      </c>
      <c r="B1050" t="s">
        <v>1292</v>
      </c>
      <c r="C1050">
        <v>16.04</v>
      </c>
    </row>
    <row r="1051" spans="1:3">
      <c r="A1051">
        <v>2752</v>
      </c>
      <c r="B1051" t="s">
        <v>1293</v>
      </c>
      <c r="C1051">
        <v>17.21</v>
      </c>
    </row>
    <row r="1052" spans="1:3">
      <c r="A1052">
        <v>2754</v>
      </c>
      <c r="B1052" t="s">
        <v>1294</v>
      </c>
      <c r="C1052">
        <v>21.84</v>
      </c>
    </row>
    <row r="1053" spans="1:3">
      <c r="A1053">
        <v>2755</v>
      </c>
      <c r="B1053" t="s">
        <v>1295</v>
      </c>
      <c r="C1053">
        <v>28.3</v>
      </c>
    </row>
    <row r="1054" spans="1:3">
      <c r="A1054">
        <v>2756</v>
      </c>
      <c r="B1054" t="s">
        <v>1296</v>
      </c>
      <c r="C1054">
        <v>17.12</v>
      </c>
    </row>
    <row r="1055" spans="1:3">
      <c r="A1055">
        <v>2916</v>
      </c>
      <c r="B1055" t="s">
        <v>1297</v>
      </c>
      <c r="C1055">
        <v>11.13</v>
      </c>
    </row>
    <row r="1056" spans="1:3">
      <c r="A1056">
        <v>2924</v>
      </c>
      <c r="B1056" t="s">
        <v>1298</v>
      </c>
      <c r="C1056" t="s">
        <v>1259</v>
      </c>
    </row>
    <row r="1057" spans="1:3">
      <c r="A1057">
        <v>2926</v>
      </c>
      <c r="B1057" t="s">
        <v>1299</v>
      </c>
      <c r="C1057" t="s">
        <v>1259</v>
      </c>
    </row>
    <row r="1058" spans="1:3">
      <c r="A1058">
        <v>2937</v>
      </c>
      <c r="B1058" t="s">
        <v>1300</v>
      </c>
      <c r="C1058">
        <v>11</v>
      </c>
    </row>
    <row r="1059" spans="1:3">
      <c r="A1059">
        <v>2947</v>
      </c>
      <c r="B1059" t="s">
        <v>1301</v>
      </c>
      <c r="C1059">
        <v>39.01</v>
      </c>
    </row>
    <row r="1060" spans="1:3">
      <c r="A1060">
        <v>2948</v>
      </c>
      <c r="B1060" t="s">
        <v>2101</v>
      </c>
      <c r="C1060">
        <v>17.54</v>
      </c>
    </row>
    <row r="1061" spans="1:3">
      <c r="A1061">
        <v>2949</v>
      </c>
      <c r="B1061" t="s">
        <v>2102</v>
      </c>
      <c r="C1061">
        <v>17.46</v>
      </c>
    </row>
    <row r="1062" spans="1:3">
      <c r="A1062">
        <v>3064</v>
      </c>
      <c r="B1062" t="s">
        <v>1302</v>
      </c>
      <c r="C1062" t="s">
        <v>1259</v>
      </c>
    </row>
    <row r="1063" spans="1:3">
      <c r="A1063">
        <v>3066</v>
      </c>
      <c r="B1063" t="s">
        <v>1303</v>
      </c>
      <c r="C1063">
        <v>15.7</v>
      </c>
    </row>
    <row r="1064" spans="1:3">
      <c r="A1064">
        <v>3067</v>
      </c>
      <c r="B1064" t="s">
        <v>1304</v>
      </c>
      <c r="C1064">
        <v>39.21</v>
      </c>
    </row>
    <row r="1065" spans="1:3">
      <c r="A1065">
        <v>3071</v>
      </c>
      <c r="B1065" t="s">
        <v>1305</v>
      </c>
      <c r="C1065">
        <v>25.4</v>
      </c>
    </row>
    <row r="1066" spans="1:3">
      <c r="A1066">
        <v>3073</v>
      </c>
      <c r="B1066" t="s">
        <v>1306</v>
      </c>
      <c r="C1066">
        <v>186.07</v>
      </c>
    </row>
    <row r="1067" spans="1:3">
      <c r="A1067">
        <v>3078</v>
      </c>
      <c r="B1067" t="s">
        <v>1307</v>
      </c>
      <c r="C1067">
        <v>12.87</v>
      </c>
    </row>
    <row r="1068" spans="1:3">
      <c r="A1068">
        <v>3081</v>
      </c>
      <c r="B1068" t="s">
        <v>1308</v>
      </c>
      <c r="C1068" t="s">
        <v>1259</v>
      </c>
    </row>
    <row r="1069" spans="1:3">
      <c r="A1069">
        <v>3083</v>
      </c>
      <c r="B1069" t="s">
        <v>1309</v>
      </c>
      <c r="C1069" t="s">
        <v>1259</v>
      </c>
    </row>
    <row r="1070" spans="1:3">
      <c r="A1070">
        <v>3085</v>
      </c>
      <c r="B1070" t="s">
        <v>1310</v>
      </c>
      <c r="C1070" t="s">
        <v>1259</v>
      </c>
    </row>
    <row r="1071" spans="1:3">
      <c r="A1071">
        <v>3086</v>
      </c>
      <c r="B1071" t="s">
        <v>1311</v>
      </c>
      <c r="C1071">
        <v>154.65</v>
      </c>
    </row>
    <row r="1072" spans="1:3">
      <c r="A1072">
        <v>3088</v>
      </c>
      <c r="B1072" t="s">
        <v>1312</v>
      </c>
      <c r="C1072">
        <v>11.62</v>
      </c>
    </row>
    <row r="1073" spans="1:3">
      <c r="A1073">
        <v>3093</v>
      </c>
      <c r="B1073" t="s">
        <v>1314</v>
      </c>
      <c r="C1073">
        <v>13.69</v>
      </c>
    </row>
    <row r="1074" spans="1:3">
      <c r="A1074">
        <v>3095</v>
      </c>
      <c r="B1074" t="s">
        <v>1315</v>
      </c>
      <c r="C1074" t="s">
        <v>1259</v>
      </c>
    </row>
    <row r="1075" spans="1:3">
      <c r="A1075">
        <v>3105</v>
      </c>
      <c r="B1075" t="s">
        <v>1316</v>
      </c>
      <c r="C1075" t="s">
        <v>1259</v>
      </c>
    </row>
    <row r="1076" spans="1:3">
      <c r="A1076">
        <v>3114</v>
      </c>
      <c r="B1076" t="s">
        <v>1317</v>
      </c>
      <c r="C1076">
        <v>17.73</v>
      </c>
    </row>
    <row r="1077" spans="1:3">
      <c r="A1077">
        <v>3115</v>
      </c>
      <c r="B1077" t="s">
        <v>1318</v>
      </c>
      <c r="C1077" t="s">
        <v>1259</v>
      </c>
    </row>
    <row r="1078" spans="1:3">
      <c r="A1078">
        <v>3118</v>
      </c>
      <c r="B1078" t="s">
        <v>1319</v>
      </c>
      <c r="C1078">
        <v>16.46</v>
      </c>
    </row>
    <row r="1079" spans="1:3">
      <c r="A1079">
        <v>3122</v>
      </c>
      <c r="B1079" t="s">
        <v>1320</v>
      </c>
      <c r="C1079" t="s">
        <v>1259</v>
      </c>
    </row>
    <row r="1080" spans="1:3">
      <c r="A1080">
        <v>3128</v>
      </c>
      <c r="B1080" t="s">
        <v>1321</v>
      </c>
      <c r="C1080">
        <v>25.59</v>
      </c>
    </row>
    <row r="1081" spans="1:3">
      <c r="A1081">
        <v>3131</v>
      </c>
      <c r="B1081" t="s">
        <v>1322</v>
      </c>
      <c r="C1081">
        <v>30.18</v>
      </c>
    </row>
    <row r="1082" spans="1:3">
      <c r="A1082">
        <v>3141</v>
      </c>
      <c r="B1082" t="s">
        <v>1323</v>
      </c>
      <c r="C1082">
        <v>70.92</v>
      </c>
    </row>
    <row r="1083" spans="1:3">
      <c r="A1083">
        <v>3147</v>
      </c>
      <c r="B1083" t="s">
        <v>1324</v>
      </c>
      <c r="C1083">
        <v>13.92</v>
      </c>
    </row>
    <row r="1084" spans="1:3">
      <c r="A1084">
        <v>3152</v>
      </c>
      <c r="B1084" t="s">
        <v>1325</v>
      </c>
      <c r="C1084">
        <v>70.61</v>
      </c>
    </row>
    <row r="1085" spans="1:3">
      <c r="A1085">
        <v>3162</v>
      </c>
      <c r="B1085" t="s">
        <v>1326</v>
      </c>
      <c r="C1085">
        <v>84.58</v>
      </c>
    </row>
    <row r="1086" spans="1:3">
      <c r="A1086">
        <v>3163</v>
      </c>
      <c r="B1086" t="s">
        <v>1327</v>
      </c>
      <c r="C1086">
        <v>15.29</v>
      </c>
    </row>
    <row r="1087" spans="1:3">
      <c r="A1087">
        <v>3169</v>
      </c>
      <c r="B1087" t="s">
        <v>1328</v>
      </c>
      <c r="C1087">
        <v>32.840000000000003</v>
      </c>
    </row>
    <row r="1088" spans="1:3">
      <c r="A1088">
        <v>3171</v>
      </c>
      <c r="B1088" t="s">
        <v>1329</v>
      </c>
      <c r="C1088">
        <v>9.31</v>
      </c>
    </row>
    <row r="1089" spans="1:3">
      <c r="A1089">
        <v>3176</v>
      </c>
      <c r="B1089" t="s">
        <v>1330</v>
      </c>
      <c r="C1089" t="s">
        <v>1259</v>
      </c>
    </row>
    <row r="1090" spans="1:3">
      <c r="A1090">
        <v>3178</v>
      </c>
      <c r="B1090" t="s">
        <v>1331</v>
      </c>
      <c r="C1090">
        <v>20.88</v>
      </c>
    </row>
    <row r="1091" spans="1:3">
      <c r="A1091">
        <v>3188</v>
      </c>
      <c r="B1091" t="s">
        <v>1332</v>
      </c>
      <c r="C1091">
        <v>22.36</v>
      </c>
    </row>
    <row r="1092" spans="1:3">
      <c r="A1092">
        <v>3191</v>
      </c>
      <c r="B1092" t="s">
        <v>1333</v>
      </c>
      <c r="C1092" t="s">
        <v>1259</v>
      </c>
    </row>
    <row r="1093" spans="1:3">
      <c r="A1093">
        <v>3202</v>
      </c>
      <c r="B1093" t="s">
        <v>1334</v>
      </c>
      <c r="C1093" t="s">
        <v>1259</v>
      </c>
    </row>
    <row r="1094" spans="1:3">
      <c r="A1094">
        <v>3205</v>
      </c>
      <c r="B1094" t="s">
        <v>1335</v>
      </c>
      <c r="C1094" t="s">
        <v>1259</v>
      </c>
    </row>
    <row r="1095" spans="1:3">
      <c r="A1095">
        <v>3206</v>
      </c>
      <c r="B1095" t="s">
        <v>1336</v>
      </c>
      <c r="C1095">
        <v>9.4700000000000006</v>
      </c>
    </row>
    <row r="1096" spans="1:3">
      <c r="A1096">
        <v>3207</v>
      </c>
      <c r="B1096" t="s">
        <v>1337</v>
      </c>
      <c r="C1096">
        <v>27.4</v>
      </c>
    </row>
    <row r="1097" spans="1:3">
      <c r="A1097">
        <v>3211</v>
      </c>
      <c r="B1097" t="s">
        <v>1338</v>
      </c>
      <c r="C1097">
        <v>18.89</v>
      </c>
    </row>
    <row r="1098" spans="1:3">
      <c r="A1098">
        <v>3213</v>
      </c>
      <c r="B1098" t="s">
        <v>1339</v>
      </c>
      <c r="C1098">
        <v>12.86</v>
      </c>
    </row>
    <row r="1099" spans="1:3">
      <c r="A1099">
        <v>3217</v>
      </c>
      <c r="B1099" t="s">
        <v>1340</v>
      </c>
      <c r="C1099">
        <v>24.4</v>
      </c>
    </row>
    <row r="1100" spans="1:3">
      <c r="A1100">
        <v>3218</v>
      </c>
      <c r="B1100" t="s">
        <v>1341</v>
      </c>
      <c r="C1100">
        <v>22.67</v>
      </c>
    </row>
    <row r="1101" spans="1:3">
      <c r="A1101">
        <v>3219</v>
      </c>
      <c r="B1101" t="s">
        <v>1342</v>
      </c>
      <c r="C1101">
        <v>50.53</v>
      </c>
    </row>
    <row r="1102" spans="1:3">
      <c r="A1102">
        <v>3221</v>
      </c>
      <c r="B1102" t="s">
        <v>1343</v>
      </c>
      <c r="C1102" t="s">
        <v>1259</v>
      </c>
    </row>
    <row r="1103" spans="1:3">
      <c r="A1103">
        <v>3224</v>
      </c>
      <c r="B1103" t="s">
        <v>1344</v>
      </c>
      <c r="C1103" t="s">
        <v>1259</v>
      </c>
    </row>
    <row r="1104" spans="1:3">
      <c r="A1104">
        <v>3226</v>
      </c>
      <c r="B1104" t="s">
        <v>1345</v>
      </c>
      <c r="C1104">
        <v>17.510000000000002</v>
      </c>
    </row>
    <row r="1105" spans="1:3">
      <c r="A1105">
        <v>3227</v>
      </c>
      <c r="B1105" t="s">
        <v>1346</v>
      </c>
      <c r="C1105">
        <v>49.04</v>
      </c>
    </row>
    <row r="1106" spans="1:3">
      <c r="A1106">
        <v>3228</v>
      </c>
      <c r="B1106" t="s">
        <v>1347</v>
      </c>
      <c r="C1106" t="s">
        <v>1259</v>
      </c>
    </row>
    <row r="1107" spans="1:3">
      <c r="A1107">
        <v>3230</v>
      </c>
      <c r="B1107" t="s">
        <v>1348</v>
      </c>
      <c r="C1107" t="s">
        <v>1259</v>
      </c>
    </row>
    <row r="1108" spans="1:3">
      <c r="A1108">
        <v>3232</v>
      </c>
      <c r="B1108" t="s">
        <v>1349</v>
      </c>
      <c r="C1108">
        <v>44.61</v>
      </c>
    </row>
    <row r="1109" spans="1:3">
      <c r="A1109">
        <v>3234</v>
      </c>
      <c r="B1109" t="s">
        <v>1350</v>
      </c>
      <c r="C1109" t="s">
        <v>1259</v>
      </c>
    </row>
    <row r="1110" spans="1:3">
      <c r="A1110">
        <v>3236</v>
      </c>
      <c r="B1110" t="s">
        <v>1351</v>
      </c>
      <c r="C1110">
        <v>19.36</v>
      </c>
    </row>
    <row r="1111" spans="1:3">
      <c r="A1111">
        <v>3252</v>
      </c>
      <c r="B1111" t="s">
        <v>1352</v>
      </c>
      <c r="C1111" t="s">
        <v>1259</v>
      </c>
    </row>
    <row r="1112" spans="1:3">
      <c r="A1112">
        <v>3259</v>
      </c>
      <c r="B1112" t="s">
        <v>1353</v>
      </c>
      <c r="C1112" t="s">
        <v>1259</v>
      </c>
    </row>
    <row r="1113" spans="1:3">
      <c r="A1113">
        <v>3260</v>
      </c>
      <c r="B1113" t="s">
        <v>1354</v>
      </c>
      <c r="C1113">
        <v>34.22</v>
      </c>
    </row>
    <row r="1114" spans="1:3">
      <c r="A1114">
        <v>3264</v>
      </c>
      <c r="B1114" t="s">
        <v>1355</v>
      </c>
      <c r="C1114">
        <v>11.99</v>
      </c>
    </row>
    <row r="1115" spans="1:3">
      <c r="A1115">
        <v>3265</v>
      </c>
      <c r="B1115" t="s">
        <v>1356</v>
      </c>
      <c r="C1115">
        <v>15.14</v>
      </c>
    </row>
    <row r="1116" spans="1:3">
      <c r="A1116">
        <v>3268</v>
      </c>
      <c r="B1116" t="s">
        <v>1357</v>
      </c>
      <c r="C1116" t="s">
        <v>1259</v>
      </c>
    </row>
    <row r="1117" spans="1:3">
      <c r="A1117">
        <v>3272</v>
      </c>
      <c r="B1117" t="s">
        <v>1358</v>
      </c>
      <c r="C1117" t="s">
        <v>1259</v>
      </c>
    </row>
    <row r="1118" spans="1:3">
      <c r="A1118">
        <v>3276</v>
      </c>
      <c r="B1118" t="s">
        <v>1359</v>
      </c>
      <c r="C1118">
        <v>36.69</v>
      </c>
    </row>
    <row r="1119" spans="1:3">
      <c r="A1119">
        <v>3284</v>
      </c>
      <c r="B1119" t="s">
        <v>1360</v>
      </c>
      <c r="C1119">
        <v>25.63</v>
      </c>
    </row>
    <row r="1120" spans="1:3">
      <c r="A1120">
        <v>3285</v>
      </c>
      <c r="B1120" t="s">
        <v>1361</v>
      </c>
      <c r="C1120">
        <v>47.07</v>
      </c>
    </row>
    <row r="1121" spans="1:3">
      <c r="A1121">
        <v>3287</v>
      </c>
      <c r="B1121" t="s">
        <v>1362</v>
      </c>
      <c r="C1121">
        <v>63.46</v>
      </c>
    </row>
    <row r="1122" spans="1:3">
      <c r="A1122">
        <v>3288</v>
      </c>
      <c r="B1122" t="s">
        <v>1363</v>
      </c>
      <c r="C1122" t="s">
        <v>1259</v>
      </c>
    </row>
    <row r="1123" spans="1:3">
      <c r="A1123">
        <v>3289</v>
      </c>
      <c r="B1123" t="s">
        <v>1364</v>
      </c>
      <c r="C1123">
        <v>15.98</v>
      </c>
    </row>
    <row r="1124" spans="1:3">
      <c r="A1124">
        <v>3290</v>
      </c>
      <c r="B1124" t="s">
        <v>1365</v>
      </c>
      <c r="C1124">
        <v>18.29</v>
      </c>
    </row>
    <row r="1125" spans="1:3">
      <c r="A1125">
        <v>3293</v>
      </c>
      <c r="B1125" t="s">
        <v>1366</v>
      </c>
      <c r="C1125">
        <v>16.489999999999998</v>
      </c>
    </row>
    <row r="1126" spans="1:3">
      <c r="A1126">
        <v>3294</v>
      </c>
      <c r="B1126" t="s">
        <v>1367</v>
      </c>
      <c r="C1126" t="s">
        <v>1259</v>
      </c>
    </row>
    <row r="1127" spans="1:3">
      <c r="A1127">
        <v>3297</v>
      </c>
      <c r="B1127" t="s">
        <v>1368</v>
      </c>
      <c r="C1127" t="s">
        <v>1259</v>
      </c>
    </row>
    <row r="1128" spans="1:3">
      <c r="A1128">
        <v>3303</v>
      </c>
      <c r="B1128" t="s">
        <v>1369</v>
      </c>
      <c r="C1128">
        <v>17.41</v>
      </c>
    </row>
    <row r="1129" spans="1:3">
      <c r="A1129">
        <v>3306</v>
      </c>
      <c r="B1129" t="s">
        <v>1370</v>
      </c>
      <c r="C1129">
        <v>46.86</v>
      </c>
    </row>
    <row r="1130" spans="1:3">
      <c r="A1130">
        <v>3310</v>
      </c>
      <c r="B1130" t="s">
        <v>1371</v>
      </c>
      <c r="C1130">
        <v>35.74</v>
      </c>
    </row>
    <row r="1131" spans="1:3">
      <c r="A1131">
        <v>3313</v>
      </c>
      <c r="B1131" t="s">
        <v>1372</v>
      </c>
      <c r="C1131" t="s">
        <v>1259</v>
      </c>
    </row>
    <row r="1132" spans="1:3">
      <c r="A1132">
        <v>3317</v>
      </c>
      <c r="B1132" t="s">
        <v>1373</v>
      </c>
      <c r="C1132">
        <v>21.56</v>
      </c>
    </row>
    <row r="1133" spans="1:3">
      <c r="A1133">
        <v>3322</v>
      </c>
      <c r="B1133" t="s">
        <v>1374</v>
      </c>
      <c r="C1133">
        <v>24.94</v>
      </c>
    </row>
    <row r="1134" spans="1:3">
      <c r="A1134">
        <v>3323</v>
      </c>
      <c r="B1134" t="s">
        <v>1375</v>
      </c>
      <c r="C1134" t="s">
        <v>1259</v>
      </c>
    </row>
    <row r="1135" spans="1:3">
      <c r="A1135">
        <v>3324</v>
      </c>
      <c r="B1135" t="s">
        <v>1376</v>
      </c>
      <c r="C1135">
        <v>25.69</v>
      </c>
    </row>
    <row r="1136" spans="1:3">
      <c r="A1136">
        <v>3325</v>
      </c>
      <c r="B1136" t="s">
        <v>1377</v>
      </c>
      <c r="C1136" t="s">
        <v>1259</v>
      </c>
    </row>
    <row r="1137" spans="1:3">
      <c r="A1137">
        <v>3332</v>
      </c>
      <c r="B1137" t="s">
        <v>1378</v>
      </c>
      <c r="C1137">
        <v>11.98</v>
      </c>
    </row>
    <row r="1138" spans="1:3">
      <c r="A1138">
        <v>3339</v>
      </c>
      <c r="B1138" t="s">
        <v>1379</v>
      </c>
      <c r="C1138">
        <v>50</v>
      </c>
    </row>
    <row r="1139" spans="1:3">
      <c r="A1139">
        <v>3349</v>
      </c>
      <c r="B1139" t="s">
        <v>1380</v>
      </c>
      <c r="C1139" t="s">
        <v>1259</v>
      </c>
    </row>
    <row r="1140" spans="1:3">
      <c r="A1140">
        <v>3354</v>
      </c>
      <c r="B1140" t="s">
        <v>1381</v>
      </c>
      <c r="C1140" t="s">
        <v>1259</v>
      </c>
    </row>
    <row r="1141" spans="1:3">
      <c r="A1141">
        <v>3357</v>
      </c>
      <c r="B1141" t="s">
        <v>1382</v>
      </c>
      <c r="C1141">
        <v>19.100000000000001</v>
      </c>
    </row>
    <row r="1142" spans="1:3">
      <c r="A1142">
        <v>3360</v>
      </c>
      <c r="B1142" t="s">
        <v>1383</v>
      </c>
      <c r="C1142" t="s">
        <v>1259</v>
      </c>
    </row>
    <row r="1143" spans="1:3">
      <c r="A1143">
        <v>3362</v>
      </c>
      <c r="B1143" t="s">
        <v>1384</v>
      </c>
      <c r="C1143">
        <v>68.92</v>
      </c>
    </row>
    <row r="1144" spans="1:3">
      <c r="A1144">
        <v>3363</v>
      </c>
      <c r="B1144" t="s">
        <v>1385</v>
      </c>
      <c r="C1144">
        <v>154</v>
      </c>
    </row>
    <row r="1145" spans="1:3">
      <c r="A1145">
        <v>3372</v>
      </c>
      <c r="B1145" t="s">
        <v>1386</v>
      </c>
      <c r="C1145" t="s">
        <v>1259</v>
      </c>
    </row>
    <row r="1146" spans="1:3">
      <c r="A1146">
        <v>3373</v>
      </c>
      <c r="B1146" t="s">
        <v>1387</v>
      </c>
      <c r="C1146" t="s">
        <v>1259</v>
      </c>
    </row>
    <row r="1147" spans="1:3">
      <c r="A1147">
        <v>3374</v>
      </c>
      <c r="B1147" t="s">
        <v>1388</v>
      </c>
      <c r="C1147">
        <v>24.81</v>
      </c>
    </row>
    <row r="1148" spans="1:3">
      <c r="A1148">
        <v>3379</v>
      </c>
      <c r="B1148" t="s">
        <v>1389</v>
      </c>
      <c r="C1148" t="s">
        <v>1259</v>
      </c>
    </row>
    <row r="1149" spans="1:3">
      <c r="A1149">
        <v>3388</v>
      </c>
      <c r="B1149" t="s">
        <v>1390</v>
      </c>
      <c r="C1149">
        <v>22.89</v>
      </c>
    </row>
    <row r="1150" spans="1:3">
      <c r="A1150">
        <v>3390</v>
      </c>
      <c r="B1150" t="s">
        <v>1391</v>
      </c>
      <c r="C1150">
        <v>40.83</v>
      </c>
    </row>
    <row r="1151" spans="1:3">
      <c r="A1151">
        <v>3402</v>
      </c>
      <c r="B1151" t="s">
        <v>1392</v>
      </c>
      <c r="C1151">
        <v>13.55</v>
      </c>
    </row>
    <row r="1152" spans="1:3">
      <c r="A1152">
        <v>3426</v>
      </c>
      <c r="B1152" t="s">
        <v>1393</v>
      </c>
      <c r="C1152">
        <v>17.579999999999998</v>
      </c>
    </row>
    <row r="1153" spans="1:3">
      <c r="A1153">
        <v>3430</v>
      </c>
      <c r="B1153" t="s">
        <v>1394</v>
      </c>
      <c r="C1153">
        <v>10.84</v>
      </c>
    </row>
    <row r="1154" spans="1:3">
      <c r="A1154">
        <v>3434</v>
      </c>
      <c r="B1154" t="s">
        <v>1395</v>
      </c>
      <c r="C1154">
        <v>43.2</v>
      </c>
    </row>
    <row r="1155" spans="1:3">
      <c r="A1155">
        <v>3438</v>
      </c>
      <c r="B1155" t="s">
        <v>1396</v>
      </c>
      <c r="C1155" t="s">
        <v>1259</v>
      </c>
    </row>
    <row r="1156" spans="1:3">
      <c r="A1156">
        <v>3441</v>
      </c>
      <c r="B1156" t="s">
        <v>1397</v>
      </c>
      <c r="C1156">
        <v>39.74</v>
      </c>
    </row>
    <row r="1157" spans="1:3">
      <c r="A1157">
        <v>3444</v>
      </c>
      <c r="B1157" t="s">
        <v>1398</v>
      </c>
      <c r="C1157">
        <v>40.96</v>
      </c>
    </row>
    <row r="1158" spans="1:3">
      <c r="A1158">
        <v>3455</v>
      </c>
      <c r="B1158" t="s">
        <v>1399</v>
      </c>
      <c r="C1158">
        <v>12.06</v>
      </c>
    </row>
    <row r="1159" spans="1:3">
      <c r="A1159">
        <v>3465</v>
      </c>
      <c r="B1159" t="s">
        <v>1400</v>
      </c>
      <c r="C1159" t="s">
        <v>1259</v>
      </c>
    </row>
    <row r="1160" spans="1:3">
      <c r="A1160">
        <v>3466</v>
      </c>
      <c r="B1160" t="s">
        <v>1401</v>
      </c>
      <c r="C1160" t="s">
        <v>1259</v>
      </c>
    </row>
    <row r="1161" spans="1:3">
      <c r="A1161">
        <v>3479</v>
      </c>
      <c r="B1161" t="s">
        <v>1402</v>
      </c>
      <c r="C1161">
        <v>12.99</v>
      </c>
    </row>
    <row r="1162" spans="1:3">
      <c r="A1162">
        <v>3483</v>
      </c>
      <c r="B1162" t="s">
        <v>1403</v>
      </c>
      <c r="C1162">
        <v>21.96</v>
      </c>
    </row>
    <row r="1163" spans="1:3">
      <c r="A1163">
        <v>3484</v>
      </c>
      <c r="B1163" t="s">
        <v>1404</v>
      </c>
      <c r="C1163">
        <v>40.869999999999997</v>
      </c>
    </row>
    <row r="1164" spans="1:3">
      <c r="A1164">
        <v>3489</v>
      </c>
      <c r="B1164" t="s">
        <v>1405</v>
      </c>
      <c r="C1164">
        <v>30.69</v>
      </c>
    </row>
    <row r="1165" spans="1:3">
      <c r="A1165">
        <v>3490</v>
      </c>
      <c r="B1165" t="s">
        <v>1406</v>
      </c>
      <c r="C1165">
        <v>19.75</v>
      </c>
    </row>
    <row r="1166" spans="1:3">
      <c r="A1166">
        <v>3491</v>
      </c>
      <c r="B1166" t="s">
        <v>1407</v>
      </c>
      <c r="C1166">
        <v>49.69</v>
      </c>
    </row>
    <row r="1167" spans="1:3">
      <c r="A1167">
        <v>3492</v>
      </c>
      <c r="B1167" t="s">
        <v>1408</v>
      </c>
      <c r="C1167">
        <v>23.11</v>
      </c>
    </row>
    <row r="1168" spans="1:3">
      <c r="A1168">
        <v>3498</v>
      </c>
      <c r="B1168" t="s">
        <v>1409</v>
      </c>
      <c r="C1168">
        <v>63.83</v>
      </c>
    </row>
    <row r="1169" spans="1:3">
      <c r="A1169">
        <v>3499</v>
      </c>
      <c r="B1169" t="s">
        <v>1410</v>
      </c>
      <c r="C1169" t="s">
        <v>1259</v>
      </c>
    </row>
    <row r="1170" spans="1:3">
      <c r="A1170">
        <v>3508</v>
      </c>
      <c r="B1170" t="s">
        <v>1411</v>
      </c>
      <c r="C1170" t="s">
        <v>1259</v>
      </c>
    </row>
    <row r="1171" spans="1:3">
      <c r="A1171">
        <v>3511</v>
      </c>
      <c r="B1171" t="s">
        <v>1412</v>
      </c>
      <c r="C1171" t="s">
        <v>1259</v>
      </c>
    </row>
    <row r="1172" spans="1:3">
      <c r="A1172">
        <v>3512</v>
      </c>
      <c r="B1172" t="s">
        <v>1413</v>
      </c>
      <c r="C1172">
        <v>20.56</v>
      </c>
    </row>
    <row r="1173" spans="1:3">
      <c r="A1173">
        <v>3516</v>
      </c>
      <c r="B1173" t="s">
        <v>1414</v>
      </c>
      <c r="C1173">
        <v>23.4</v>
      </c>
    </row>
    <row r="1174" spans="1:3">
      <c r="A1174">
        <v>3520</v>
      </c>
      <c r="B1174" t="s">
        <v>1415</v>
      </c>
      <c r="C1174">
        <v>150.44999999999999</v>
      </c>
    </row>
    <row r="1175" spans="1:3">
      <c r="A1175">
        <v>3521</v>
      </c>
      <c r="B1175" t="s">
        <v>1416</v>
      </c>
      <c r="C1175" t="s">
        <v>1259</v>
      </c>
    </row>
    <row r="1176" spans="1:3">
      <c r="A1176">
        <v>3522</v>
      </c>
      <c r="B1176" t="s">
        <v>1417</v>
      </c>
      <c r="C1176" t="s">
        <v>1259</v>
      </c>
    </row>
    <row r="1177" spans="1:3">
      <c r="A1177">
        <v>3523</v>
      </c>
      <c r="B1177" t="s">
        <v>1418</v>
      </c>
      <c r="C1177" t="s">
        <v>1259</v>
      </c>
    </row>
    <row r="1178" spans="1:3">
      <c r="A1178">
        <v>3526</v>
      </c>
      <c r="B1178" t="s">
        <v>1419</v>
      </c>
      <c r="C1178">
        <v>19.239999999999998</v>
      </c>
    </row>
    <row r="1179" spans="1:3">
      <c r="A1179">
        <v>3527</v>
      </c>
      <c r="B1179" t="s">
        <v>1420</v>
      </c>
      <c r="C1179" t="s">
        <v>1259</v>
      </c>
    </row>
    <row r="1180" spans="1:3">
      <c r="A1180">
        <v>3529</v>
      </c>
      <c r="B1180" t="s">
        <v>1421</v>
      </c>
      <c r="C1180">
        <v>124.37</v>
      </c>
    </row>
    <row r="1181" spans="1:3">
      <c r="A1181">
        <v>3531</v>
      </c>
      <c r="B1181" t="s">
        <v>1422</v>
      </c>
      <c r="C1181">
        <v>14.09</v>
      </c>
    </row>
    <row r="1182" spans="1:3">
      <c r="A1182">
        <v>3537</v>
      </c>
      <c r="B1182" t="s">
        <v>1423</v>
      </c>
      <c r="C1182">
        <v>12.37</v>
      </c>
    </row>
    <row r="1183" spans="1:3">
      <c r="A1183">
        <v>3540</v>
      </c>
      <c r="B1183" t="s">
        <v>1424</v>
      </c>
      <c r="C1183">
        <v>25.75</v>
      </c>
    </row>
    <row r="1184" spans="1:3">
      <c r="A1184">
        <v>3541</v>
      </c>
      <c r="B1184" t="s">
        <v>1425</v>
      </c>
      <c r="C1184">
        <v>91.4</v>
      </c>
    </row>
    <row r="1185" spans="1:3">
      <c r="A1185">
        <v>3546</v>
      </c>
      <c r="B1185" t="s">
        <v>1426</v>
      </c>
      <c r="C1185">
        <v>15.66</v>
      </c>
    </row>
    <row r="1186" spans="1:3">
      <c r="A1186">
        <v>3548</v>
      </c>
      <c r="B1186" t="s">
        <v>1427</v>
      </c>
      <c r="C1186">
        <v>27.79</v>
      </c>
    </row>
    <row r="1187" spans="1:3">
      <c r="A1187">
        <v>3551</v>
      </c>
      <c r="B1187" t="s">
        <v>1428</v>
      </c>
      <c r="C1187">
        <v>15.13</v>
      </c>
    </row>
    <row r="1188" spans="1:3">
      <c r="A1188">
        <v>3552</v>
      </c>
      <c r="B1188" t="s">
        <v>1429</v>
      </c>
      <c r="C1188">
        <v>28.75</v>
      </c>
    </row>
    <row r="1189" spans="1:3">
      <c r="A1189">
        <v>3555</v>
      </c>
      <c r="B1189" t="s">
        <v>1430</v>
      </c>
      <c r="C1189" t="s">
        <v>1259</v>
      </c>
    </row>
    <row r="1190" spans="1:3">
      <c r="A1190">
        <v>3556</v>
      </c>
      <c r="B1190" t="s">
        <v>1431</v>
      </c>
      <c r="C1190">
        <v>21.2</v>
      </c>
    </row>
    <row r="1191" spans="1:3">
      <c r="A1191">
        <v>3558</v>
      </c>
      <c r="B1191" t="s">
        <v>1432</v>
      </c>
      <c r="C1191">
        <v>11.46</v>
      </c>
    </row>
    <row r="1192" spans="1:3">
      <c r="A1192">
        <v>3564</v>
      </c>
      <c r="B1192" t="s">
        <v>1433</v>
      </c>
      <c r="C1192">
        <v>62.41</v>
      </c>
    </row>
    <row r="1193" spans="1:3">
      <c r="A1193">
        <v>3567</v>
      </c>
      <c r="B1193" t="s">
        <v>1434</v>
      </c>
      <c r="C1193">
        <v>15.77</v>
      </c>
    </row>
    <row r="1194" spans="1:3">
      <c r="A1194">
        <v>3570</v>
      </c>
      <c r="B1194" t="s">
        <v>1435</v>
      </c>
      <c r="C1194">
        <v>12.67</v>
      </c>
    </row>
    <row r="1195" spans="1:3">
      <c r="A1195">
        <v>3577</v>
      </c>
      <c r="B1195" t="s">
        <v>1436</v>
      </c>
      <c r="C1195">
        <v>44.18</v>
      </c>
    </row>
    <row r="1196" spans="1:3">
      <c r="A1196">
        <v>3580</v>
      </c>
      <c r="B1196" t="s">
        <v>1437</v>
      </c>
      <c r="C1196">
        <v>14.13</v>
      </c>
    </row>
    <row r="1197" spans="1:3">
      <c r="A1197">
        <v>3581</v>
      </c>
      <c r="B1197" t="s">
        <v>1438</v>
      </c>
      <c r="C1197">
        <v>29.88</v>
      </c>
    </row>
    <row r="1198" spans="1:3">
      <c r="A1198">
        <v>3587</v>
      </c>
      <c r="B1198" t="s">
        <v>1439</v>
      </c>
      <c r="C1198">
        <v>20.65</v>
      </c>
    </row>
    <row r="1199" spans="1:3">
      <c r="A1199">
        <v>3594</v>
      </c>
      <c r="B1199" t="s">
        <v>1440</v>
      </c>
      <c r="C1199">
        <v>28.22</v>
      </c>
    </row>
    <row r="1200" spans="1:3">
      <c r="A1200">
        <v>3597</v>
      </c>
      <c r="B1200" t="s">
        <v>1441</v>
      </c>
      <c r="C1200">
        <v>29.05</v>
      </c>
    </row>
    <row r="1201" spans="1:3">
      <c r="A1201">
        <v>3609</v>
      </c>
      <c r="B1201" t="s">
        <v>1442</v>
      </c>
      <c r="C1201" t="s">
        <v>1259</v>
      </c>
    </row>
    <row r="1202" spans="1:3">
      <c r="A1202">
        <v>3611</v>
      </c>
      <c r="B1202" t="s">
        <v>1443</v>
      </c>
      <c r="C1202">
        <v>11.02</v>
      </c>
    </row>
    <row r="1203" spans="1:3">
      <c r="A1203">
        <v>3615</v>
      </c>
      <c r="B1203" t="s">
        <v>1444</v>
      </c>
      <c r="C1203">
        <v>29.17</v>
      </c>
    </row>
    <row r="1204" spans="1:3">
      <c r="A1204">
        <v>3623</v>
      </c>
      <c r="B1204" t="s">
        <v>1445</v>
      </c>
      <c r="C1204" t="s">
        <v>1259</v>
      </c>
    </row>
    <row r="1205" spans="1:3">
      <c r="A1205">
        <v>3624</v>
      </c>
      <c r="B1205" t="s">
        <v>1446</v>
      </c>
      <c r="C1205">
        <v>20.329999999999998</v>
      </c>
    </row>
    <row r="1206" spans="1:3">
      <c r="A1206">
        <v>3625</v>
      </c>
      <c r="B1206" t="s">
        <v>1447</v>
      </c>
      <c r="C1206" t="s">
        <v>1259</v>
      </c>
    </row>
    <row r="1207" spans="1:3">
      <c r="A1207">
        <v>3628</v>
      </c>
      <c r="B1207" t="s">
        <v>1448</v>
      </c>
      <c r="C1207">
        <v>15.07</v>
      </c>
    </row>
    <row r="1208" spans="1:3">
      <c r="A1208">
        <v>3629</v>
      </c>
      <c r="B1208" t="s">
        <v>1449</v>
      </c>
      <c r="C1208" t="s">
        <v>1259</v>
      </c>
    </row>
    <row r="1209" spans="1:3">
      <c r="A1209">
        <v>3630</v>
      </c>
      <c r="B1209" t="s">
        <v>1450</v>
      </c>
      <c r="C1209" t="s">
        <v>1259</v>
      </c>
    </row>
    <row r="1210" spans="1:3">
      <c r="A1210">
        <v>3631</v>
      </c>
      <c r="B1210" t="s">
        <v>1451</v>
      </c>
      <c r="C1210" t="s">
        <v>1259</v>
      </c>
    </row>
    <row r="1211" spans="1:3">
      <c r="A1211">
        <v>3632</v>
      </c>
      <c r="B1211" t="s">
        <v>1452</v>
      </c>
      <c r="C1211">
        <v>155</v>
      </c>
    </row>
    <row r="1212" spans="1:3">
      <c r="A1212">
        <v>3646</v>
      </c>
      <c r="B1212" t="s">
        <v>1453</v>
      </c>
      <c r="C1212">
        <v>21.72</v>
      </c>
    </row>
    <row r="1213" spans="1:3">
      <c r="A1213">
        <v>3663</v>
      </c>
      <c r="B1213" t="s">
        <v>1454</v>
      </c>
      <c r="C1213">
        <v>53.86</v>
      </c>
    </row>
    <row r="1214" spans="1:3">
      <c r="A1214">
        <v>3664</v>
      </c>
      <c r="B1214" t="s">
        <v>1455</v>
      </c>
      <c r="C1214" t="s">
        <v>1259</v>
      </c>
    </row>
    <row r="1215" spans="1:3">
      <c r="A1215">
        <v>3666</v>
      </c>
      <c r="B1215" t="s">
        <v>1456</v>
      </c>
      <c r="C1215" t="s">
        <v>1259</v>
      </c>
    </row>
    <row r="1216" spans="1:3">
      <c r="A1216">
        <v>3672</v>
      </c>
      <c r="B1216" t="s">
        <v>1457</v>
      </c>
      <c r="C1216" t="s">
        <v>1259</v>
      </c>
    </row>
    <row r="1217" spans="1:3">
      <c r="A1217">
        <v>3675</v>
      </c>
      <c r="B1217" t="s">
        <v>1458</v>
      </c>
      <c r="C1217">
        <v>32.74</v>
      </c>
    </row>
    <row r="1218" spans="1:3">
      <c r="A1218">
        <v>3680</v>
      </c>
      <c r="B1218" t="s">
        <v>1459</v>
      </c>
      <c r="C1218">
        <v>37.200000000000003</v>
      </c>
    </row>
    <row r="1219" spans="1:3">
      <c r="A1219">
        <v>3684</v>
      </c>
      <c r="B1219" t="s">
        <v>1460</v>
      </c>
      <c r="C1219">
        <v>26.41</v>
      </c>
    </row>
    <row r="1220" spans="1:3">
      <c r="A1220">
        <v>3685</v>
      </c>
      <c r="B1220" t="s">
        <v>1461</v>
      </c>
      <c r="C1220" t="s">
        <v>1259</v>
      </c>
    </row>
    <row r="1221" spans="1:3">
      <c r="A1221">
        <v>3687</v>
      </c>
      <c r="B1221" t="s">
        <v>1462</v>
      </c>
      <c r="C1221">
        <v>60.7</v>
      </c>
    </row>
    <row r="1222" spans="1:3">
      <c r="A1222">
        <v>3689</v>
      </c>
      <c r="B1222" t="s">
        <v>1463</v>
      </c>
      <c r="C1222">
        <v>11.07</v>
      </c>
    </row>
    <row r="1223" spans="1:3">
      <c r="A1223">
        <v>3691</v>
      </c>
      <c r="B1223" t="s">
        <v>1464</v>
      </c>
      <c r="C1223" t="s">
        <v>1259</v>
      </c>
    </row>
    <row r="1224" spans="1:3">
      <c r="A1224">
        <v>3693</v>
      </c>
      <c r="B1224" t="s">
        <v>1465</v>
      </c>
      <c r="C1224">
        <v>16.98</v>
      </c>
    </row>
    <row r="1225" spans="1:3">
      <c r="A1225">
        <v>3707</v>
      </c>
      <c r="B1225" t="s">
        <v>1466</v>
      </c>
      <c r="C1225">
        <v>150.21</v>
      </c>
    </row>
    <row r="1226" spans="1:3">
      <c r="A1226">
        <v>3709</v>
      </c>
      <c r="B1226" t="s">
        <v>1467</v>
      </c>
      <c r="C1226">
        <v>22.3</v>
      </c>
    </row>
    <row r="1227" spans="1:3">
      <c r="A1227">
        <v>3710</v>
      </c>
      <c r="B1227" t="s">
        <v>1468</v>
      </c>
      <c r="C1227" t="s">
        <v>1259</v>
      </c>
    </row>
    <row r="1228" spans="1:3">
      <c r="A1228">
        <v>3713</v>
      </c>
      <c r="B1228" t="s">
        <v>1469</v>
      </c>
      <c r="C1228">
        <v>185.71</v>
      </c>
    </row>
    <row r="1229" spans="1:3">
      <c r="A1229">
        <v>4102</v>
      </c>
      <c r="B1229" t="s">
        <v>1470</v>
      </c>
      <c r="C1229">
        <v>24.97</v>
      </c>
    </row>
    <row r="1230" spans="1:3">
      <c r="A1230">
        <v>4105</v>
      </c>
      <c r="B1230" t="s">
        <v>1471</v>
      </c>
      <c r="C1230">
        <v>17.11</v>
      </c>
    </row>
    <row r="1231" spans="1:3">
      <c r="A1231">
        <v>4107</v>
      </c>
      <c r="B1231" t="s">
        <v>1472</v>
      </c>
      <c r="C1231">
        <v>16.54</v>
      </c>
    </row>
    <row r="1232" spans="1:3">
      <c r="A1232">
        <v>4109</v>
      </c>
      <c r="B1232" t="s">
        <v>1473</v>
      </c>
      <c r="C1232" t="s">
        <v>1259</v>
      </c>
    </row>
    <row r="1233" spans="1:3">
      <c r="A1233">
        <v>4111</v>
      </c>
      <c r="B1233" t="s">
        <v>1474</v>
      </c>
      <c r="C1233">
        <v>13.13</v>
      </c>
    </row>
    <row r="1234" spans="1:3">
      <c r="A1234">
        <v>4113</v>
      </c>
      <c r="B1234" t="s">
        <v>1475</v>
      </c>
      <c r="C1234" t="s">
        <v>1259</v>
      </c>
    </row>
    <row r="1235" spans="1:3">
      <c r="A1235">
        <v>4114</v>
      </c>
      <c r="B1235" t="s">
        <v>1476</v>
      </c>
      <c r="C1235">
        <v>26.47</v>
      </c>
    </row>
    <row r="1236" spans="1:3">
      <c r="A1236">
        <v>4116</v>
      </c>
      <c r="B1236" t="s">
        <v>1477</v>
      </c>
      <c r="C1236">
        <v>28.32</v>
      </c>
    </row>
    <row r="1237" spans="1:3">
      <c r="A1237">
        <v>4120</v>
      </c>
      <c r="B1237" t="s">
        <v>1478</v>
      </c>
      <c r="C1237" t="s">
        <v>1259</v>
      </c>
    </row>
    <row r="1238" spans="1:3">
      <c r="A1238">
        <v>4121</v>
      </c>
      <c r="B1238" t="s">
        <v>1479</v>
      </c>
      <c r="C1238">
        <v>60.98</v>
      </c>
    </row>
    <row r="1239" spans="1:3">
      <c r="A1239">
        <v>4123</v>
      </c>
      <c r="B1239" t="s">
        <v>1480</v>
      </c>
      <c r="C1239" t="s">
        <v>1259</v>
      </c>
    </row>
    <row r="1240" spans="1:3">
      <c r="A1240">
        <v>4126</v>
      </c>
      <c r="B1240" t="s">
        <v>1481</v>
      </c>
      <c r="C1240">
        <v>13.89</v>
      </c>
    </row>
    <row r="1241" spans="1:3">
      <c r="A1241">
        <v>4127</v>
      </c>
      <c r="B1241" t="s">
        <v>1482</v>
      </c>
      <c r="C1241">
        <v>25.44</v>
      </c>
    </row>
    <row r="1242" spans="1:3">
      <c r="A1242">
        <v>4128</v>
      </c>
      <c r="B1242" t="s">
        <v>1483</v>
      </c>
      <c r="C1242" t="s">
        <v>1259</v>
      </c>
    </row>
    <row r="1243" spans="1:3">
      <c r="A1243">
        <v>4129</v>
      </c>
      <c r="B1243" t="s">
        <v>1484</v>
      </c>
      <c r="C1243">
        <v>21.49</v>
      </c>
    </row>
    <row r="1244" spans="1:3">
      <c r="A1244">
        <v>4130</v>
      </c>
      <c r="B1244" t="s">
        <v>1485</v>
      </c>
      <c r="C1244">
        <v>95</v>
      </c>
    </row>
    <row r="1245" spans="1:3">
      <c r="A1245">
        <v>4131</v>
      </c>
      <c r="B1245" t="s">
        <v>1486</v>
      </c>
      <c r="C1245" t="s">
        <v>1259</v>
      </c>
    </row>
    <row r="1246" spans="1:3">
      <c r="A1246">
        <v>4138</v>
      </c>
      <c r="B1246" t="s">
        <v>1487</v>
      </c>
      <c r="C1246">
        <v>18.68</v>
      </c>
    </row>
    <row r="1247" spans="1:3">
      <c r="A1247">
        <v>4139</v>
      </c>
      <c r="B1247" t="s">
        <v>1488</v>
      </c>
      <c r="C1247" t="s">
        <v>1259</v>
      </c>
    </row>
    <row r="1248" spans="1:3">
      <c r="A1248">
        <v>4147</v>
      </c>
      <c r="B1248" t="s">
        <v>1489</v>
      </c>
      <c r="C1248" t="s">
        <v>1259</v>
      </c>
    </row>
    <row r="1249" spans="1:3">
      <c r="A1249">
        <v>4153</v>
      </c>
      <c r="B1249" t="s">
        <v>1490</v>
      </c>
      <c r="C1249">
        <v>30.67</v>
      </c>
    </row>
    <row r="1250" spans="1:3">
      <c r="A1250">
        <v>4154</v>
      </c>
      <c r="B1250" t="s">
        <v>1491</v>
      </c>
      <c r="C1250" t="s">
        <v>1259</v>
      </c>
    </row>
    <row r="1251" spans="1:3">
      <c r="A1251">
        <v>4157</v>
      </c>
      <c r="B1251" t="s">
        <v>1492</v>
      </c>
      <c r="C1251" t="s">
        <v>1259</v>
      </c>
    </row>
    <row r="1252" spans="1:3">
      <c r="A1252">
        <v>4160</v>
      </c>
      <c r="B1252" t="s">
        <v>1493</v>
      </c>
      <c r="C1252">
        <v>35.36</v>
      </c>
    </row>
    <row r="1253" spans="1:3">
      <c r="A1253">
        <v>4161</v>
      </c>
      <c r="B1253" t="s">
        <v>1494</v>
      </c>
      <c r="C1253">
        <v>25.52</v>
      </c>
    </row>
    <row r="1254" spans="1:3">
      <c r="A1254">
        <v>4162</v>
      </c>
      <c r="B1254" t="s">
        <v>1495</v>
      </c>
      <c r="C1254">
        <v>52.75</v>
      </c>
    </row>
    <row r="1255" spans="1:3">
      <c r="A1255">
        <v>4163</v>
      </c>
      <c r="B1255" t="s">
        <v>1496</v>
      </c>
      <c r="C1255">
        <v>16.52</v>
      </c>
    </row>
    <row r="1256" spans="1:3">
      <c r="A1256">
        <v>4167</v>
      </c>
      <c r="B1256" t="s">
        <v>1497</v>
      </c>
      <c r="C1256" t="s">
        <v>1259</v>
      </c>
    </row>
    <row r="1257" spans="1:3">
      <c r="A1257">
        <v>4168</v>
      </c>
      <c r="B1257" t="s">
        <v>1498</v>
      </c>
      <c r="C1257" t="s">
        <v>1259</v>
      </c>
    </row>
    <row r="1258" spans="1:3">
      <c r="A1258">
        <v>4171</v>
      </c>
      <c r="B1258" t="s">
        <v>1499</v>
      </c>
      <c r="C1258" t="s">
        <v>1259</v>
      </c>
    </row>
    <row r="1259" spans="1:3">
      <c r="A1259">
        <v>4173</v>
      </c>
      <c r="B1259" t="s">
        <v>1500</v>
      </c>
      <c r="C1259">
        <v>23.86</v>
      </c>
    </row>
    <row r="1260" spans="1:3">
      <c r="A1260">
        <v>4174</v>
      </c>
      <c r="B1260" t="s">
        <v>1501</v>
      </c>
      <c r="C1260" t="s">
        <v>1259</v>
      </c>
    </row>
    <row r="1261" spans="1:3">
      <c r="A1261">
        <v>4175</v>
      </c>
      <c r="B1261" t="s">
        <v>1502</v>
      </c>
      <c r="C1261">
        <v>69.040000000000006</v>
      </c>
    </row>
    <row r="1262" spans="1:3">
      <c r="A1262">
        <v>4183</v>
      </c>
      <c r="B1262" t="s">
        <v>1503</v>
      </c>
      <c r="C1262">
        <v>32.26</v>
      </c>
    </row>
    <row r="1263" spans="1:3">
      <c r="A1263">
        <v>4188</v>
      </c>
      <c r="B1263" t="s">
        <v>1504</v>
      </c>
      <c r="C1263" t="s">
        <v>1259</v>
      </c>
    </row>
    <row r="1264" spans="1:3">
      <c r="A1264">
        <v>4192</v>
      </c>
      <c r="B1264" t="s">
        <v>1505</v>
      </c>
      <c r="C1264" t="s">
        <v>1259</v>
      </c>
    </row>
    <row r="1265" spans="1:3">
      <c r="A1265">
        <v>4198</v>
      </c>
      <c r="B1265" t="s">
        <v>1506</v>
      </c>
      <c r="C1265" t="s">
        <v>1259</v>
      </c>
    </row>
    <row r="1266" spans="1:3">
      <c r="A1266">
        <v>4205</v>
      </c>
      <c r="B1266" t="s">
        <v>1507</v>
      </c>
      <c r="C1266">
        <v>24.94</v>
      </c>
    </row>
    <row r="1267" spans="1:3">
      <c r="A1267">
        <v>4207</v>
      </c>
      <c r="B1267" t="s">
        <v>1508</v>
      </c>
      <c r="C1267">
        <v>17.399999999999999</v>
      </c>
    </row>
    <row r="1268" spans="1:3">
      <c r="A1268">
        <v>4303</v>
      </c>
      <c r="B1268" t="s">
        <v>1509</v>
      </c>
      <c r="C1268">
        <v>34.76</v>
      </c>
    </row>
    <row r="1269" spans="1:3">
      <c r="A1269">
        <v>4304</v>
      </c>
      <c r="B1269" t="s">
        <v>1510</v>
      </c>
      <c r="C1269" t="s">
        <v>1259</v>
      </c>
    </row>
    <row r="1270" spans="1:3">
      <c r="A1270">
        <v>4305</v>
      </c>
      <c r="B1270" t="s">
        <v>1511</v>
      </c>
      <c r="C1270">
        <v>14.68</v>
      </c>
    </row>
    <row r="1271" spans="1:3">
      <c r="A1271">
        <v>4401</v>
      </c>
      <c r="B1271" t="s">
        <v>1512</v>
      </c>
      <c r="C1271" t="s">
        <v>1259</v>
      </c>
    </row>
    <row r="1272" spans="1:3">
      <c r="A1272">
        <v>4402</v>
      </c>
      <c r="B1272" t="s">
        <v>1513</v>
      </c>
      <c r="C1272" t="s">
        <v>1259</v>
      </c>
    </row>
    <row r="1273" spans="1:3">
      <c r="A1273">
        <v>4406</v>
      </c>
      <c r="B1273" t="s">
        <v>1514</v>
      </c>
      <c r="C1273" t="s">
        <v>1259</v>
      </c>
    </row>
    <row r="1274" spans="1:3">
      <c r="A1274">
        <v>4413</v>
      </c>
      <c r="B1274" t="s">
        <v>1515</v>
      </c>
      <c r="C1274">
        <v>39.130000000000003</v>
      </c>
    </row>
    <row r="1275" spans="1:3">
      <c r="A1275">
        <v>4416</v>
      </c>
      <c r="B1275" t="s">
        <v>1516</v>
      </c>
      <c r="C1275" t="s">
        <v>1259</v>
      </c>
    </row>
    <row r="1276" spans="1:3">
      <c r="A1276">
        <v>4417</v>
      </c>
      <c r="B1276" t="s">
        <v>1517</v>
      </c>
      <c r="C1276">
        <v>8.81</v>
      </c>
    </row>
    <row r="1277" spans="1:3">
      <c r="A1277">
        <v>4419</v>
      </c>
      <c r="B1277" t="s">
        <v>1518</v>
      </c>
      <c r="C1277" t="s">
        <v>1259</v>
      </c>
    </row>
    <row r="1278" spans="1:3">
      <c r="A1278">
        <v>4420</v>
      </c>
      <c r="B1278" t="s">
        <v>1519</v>
      </c>
      <c r="C1278" t="s">
        <v>1259</v>
      </c>
    </row>
    <row r="1279" spans="1:3">
      <c r="A1279">
        <v>4430</v>
      </c>
      <c r="B1279" t="s">
        <v>1520</v>
      </c>
      <c r="C1279" t="s">
        <v>1259</v>
      </c>
    </row>
    <row r="1280" spans="1:3">
      <c r="A1280">
        <v>4432</v>
      </c>
      <c r="B1280" t="s">
        <v>1521</v>
      </c>
      <c r="C1280">
        <v>11.16</v>
      </c>
    </row>
    <row r="1281" spans="1:3">
      <c r="A1281">
        <v>4433</v>
      </c>
      <c r="B1281" t="s">
        <v>1522</v>
      </c>
      <c r="C1281" t="s">
        <v>1259</v>
      </c>
    </row>
    <row r="1282" spans="1:3">
      <c r="A1282">
        <v>4442</v>
      </c>
      <c r="B1282" t="s">
        <v>2103</v>
      </c>
      <c r="C1282">
        <v>14.01</v>
      </c>
    </row>
    <row r="1283" spans="1:3">
      <c r="A1283">
        <v>4502</v>
      </c>
      <c r="B1283" t="s">
        <v>1523</v>
      </c>
      <c r="C1283" t="s">
        <v>1259</v>
      </c>
    </row>
    <row r="1284" spans="1:3">
      <c r="A1284">
        <v>4503</v>
      </c>
      <c r="B1284" t="s">
        <v>1524</v>
      </c>
      <c r="C1284" t="s">
        <v>1259</v>
      </c>
    </row>
    <row r="1285" spans="1:3">
      <c r="A1285">
        <v>4506</v>
      </c>
      <c r="B1285" t="s">
        <v>1525</v>
      </c>
      <c r="C1285">
        <v>16.149999999999999</v>
      </c>
    </row>
    <row r="1286" spans="1:3">
      <c r="A1286">
        <v>4510</v>
      </c>
      <c r="B1286" t="s">
        <v>1526</v>
      </c>
      <c r="C1286">
        <v>19.22</v>
      </c>
    </row>
    <row r="1287" spans="1:3">
      <c r="A1287">
        <v>4513</v>
      </c>
      <c r="B1287" t="s">
        <v>1527</v>
      </c>
      <c r="C1287">
        <v>13.91</v>
      </c>
    </row>
    <row r="1288" spans="1:3">
      <c r="A1288">
        <v>4523</v>
      </c>
      <c r="B1288" t="s">
        <v>1528</v>
      </c>
      <c r="C1288">
        <v>75.36</v>
      </c>
    </row>
    <row r="1289" spans="1:3">
      <c r="A1289">
        <v>4527</v>
      </c>
      <c r="B1289" t="s">
        <v>1529</v>
      </c>
      <c r="C1289">
        <v>11.74</v>
      </c>
    </row>
    <row r="1290" spans="1:3">
      <c r="A1290">
        <v>4528</v>
      </c>
      <c r="B1290" t="s">
        <v>1530</v>
      </c>
      <c r="C1290">
        <v>14.62</v>
      </c>
    </row>
    <row r="1291" spans="1:3">
      <c r="A1291">
        <v>4529</v>
      </c>
      <c r="B1291" t="s">
        <v>1531</v>
      </c>
      <c r="C1291" t="s">
        <v>1259</v>
      </c>
    </row>
    <row r="1292" spans="1:3">
      <c r="A1292">
        <v>4530</v>
      </c>
      <c r="B1292" t="s">
        <v>1532</v>
      </c>
      <c r="C1292" t="s">
        <v>1259</v>
      </c>
    </row>
    <row r="1293" spans="1:3">
      <c r="A1293">
        <v>4533</v>
      </c>
      <c r="B1293" t="s">
        <v>1533</v>
      </c>
      <c r="C1293">
        <v>21.6</v>
      </c>
    </row>
    <row r="1294" spans="1:3">
      <c r="A1294">
        <v>4534</v>
      </c>
      <c r="B1294" t="s">
        <v>1534</v>
      </c>
      <c r="C1294" t="s">
        <v>1259</v>
      </c>
    </row>
    <row r="1295" spans="1:3">
      <c r="A1295">
        <v>4535</v>
      </c>
      <c r="B1295" t="s">
        <v>1535</v>
      </c>
      <c r="C1295">
        <v>15.43</v>
      </c>
    </row>
    <row r="1296" spans="1:3">
      <c r="A1296">
        <v>4538</v>
      </c>
      <c r="B1296" t="s">
        <v>1536</v>
      </c>
      <c r="C1296">
        <v>15.33</v>
      </c>
    </row>
    <row r="1297" spans="1:3">
      <c r="A1297">
        <v>4541</v>
      </c>
      <c r="B1297" t="s">
        <v>1537</v>
      </c>
      <c r="C1297" t="s">
        <v>1259</v>
      </c>
    </row>
    <row r="1298" spans="1:3">
      <c r="A1298">
        <v>4542</v>
      </c>
      <c r="B1298" t="s">
        <v>1538</v>
      </c>
      <c r="C1298">
        <v>20.079999999999998</v>
      </c>
    </row>
    <row r="1299" spans="1:3">
      <c r="A1299">
        <v>4543</v>
      </c>
      <c r="B1299" t="s">
        <v>1539</v>
      </c>
      <c r="C1299">
        <v>24.4</v>
      </c>
    </row>
    <row r="1300" spans="1:3">
      <c r="A1300">
        <v>4549</v>
      </c>
      <c r="B1300" t="s">
        <v>1540</v>
      </c>
      <c r="C1300">
        <v>18.52</v>
      </c>
    </row>
    <row r="1301" spans="1:3">
      <c r="A1301">
        <v>4550</v>
      </c>
      <c r="B1301" t="s">
        <v>1541</v>
      </c>
      <c r="C1301">
        <v>11.32</v>
      </c>
    </row>
    <row r="1302" spans="1:3">
      <c r="A1302">
        <v>4554</v>
      </c>
      <c r="B1302" t="s">
        <v>1542</v>
      </c>
      <c r="C1302">
        <v>272.73</v>
      </c>
    </row>
    <row r="1303" spans="1:3">
      <c r="A1303">
        <v>4556</v>
      </c>
      <c r="B1303" t="s">
        <v>1543</v>
      </c>
      <c r="C1303">
        <v>63.33</v>
      </c>
    </row>
    <row r="1304" spans="1:3">
      <c r="A1304">
        <v>4558</v>
      </c>
      <c r="B1304" t="s">
        <v>1544</v>
      </c>
      <c r="C1304">
        <v>39.090000000000003</v>
      </c>
    </row>
    <row r="1305" spans="1:3">
      <c r="A1305">
        <v>4561</v>
      </c>
      <c r="B1305" t="s">
        <v>1545</v>
      </c>
      <c r="C1305">
        <v>15.47</v>
      </c>
    </row>
    <row r="1306" spans="1:3">
      <c r="A1306">
        <v>4563</v>
      </c>
      <c r="B1306" t="s">
        <v>1546</v>
      </c>
      <c r="C1306">
        <v>29.82</v>
      </c>
    </row>
    <row r="1307" spans="1:3">
      <c r="A1307">
        <v>4568</v>
      </c>
      <c r="B1307" t="s">
        <v>1547</v>
      </c>
      <c r="C1307">
        <v>84</v>
      </c>
    </row>
    <row r="1308" spans="1:3">
      <c r="A1308">
        <v>4577</v>
      </c>
      <c r="B1308" t="s">
        <v>1548</v>
      </c>
      <c r="C1308" t="s">
        <v>1259</v>
      </c>
    </row>
    <row r="1309" spans="1:3">
      <c r="A1309">
        <v>4580</v>
      </c>
      <c r="B1309" t="s">
        <v>1549</v>
      </c>
      <c r="C1309">
        <v>12.27</v>
      </c>
    </row>
    <row r="1310" spans="1:3">
      <c r="A1310">
        <v>4584</v>
      </c>
      <c r="B1310" t="s">
        <v>1550</v>
      </c>
      <c r="C1310">
        <v>20.9</v>
      </c>
    </row>
    <row r="1311" spans="1:3">
      <c r="A1311">
        <v>4609</v>
      </c>
      <c r="B1311" t="s">
        <v>1551</v>
      </c>
      <c r="C1311" t="s">
        <v>1259</v>
      </c>
    </row>
    <row r="1312" spans="1:3">
      <c r="A1312">
        <v>4702</v>
      </c>
      <c r="B1312" t="s">
        <v>1552</v>
      </c>
      <c r="C1312">
        <v>15.4</v>
      </c>
    </row>
    <row r="1313" spans="1:3">
      <c r="A1313">
        <v>4706</v>
      </c>
      <c r="B1313" t="s">
        <v>1553</v>
      </c>
      <c r="C1313" t="s">
        <v>1259</v>
      </c>
    </row>
    <row r="1314" spans="1:3">
      <c r="A1314">
        <v>4707</v>
      </c>
      <c r="B1314" t="s">
        <v>1554</v>
      </c>
      <c r="C1314">
        <v>13.37</v>
      </c>
    </row>
    <row r="1315" spans="1:3">
      <c r="A1315">
        <v>4711</v>
      </c>
      <c r="B1315" t="s">
        <v>1555</v>
      </c>
      <c r="C1315">
        <v>109</v>
      </c>
    </row>
    <row r="1316" spans="1:3">
      <c r="A1316">
        <v>4712</v>
      </c>
      <c r="B1316" t="s">
        <v>1556</v>
      </c>
      <c r="C1316" t="s">
        <v>1259</v>
      </c>
    </row>
    <row r="1317" spans="1:3">
      <c r="A1317">
        <v>4714</v>
      </c>
      <c r="B1317" t="s">
        <v>1557</v>
      </c>
      <c r="C1317" t="s">
        <v>1259</v>
      </c>
    </row>
    <row r="1318" spans="1:3">
      <c r="A1318">
        <v>4716</v>
      </c>
      <c r="B1318" t="s">
        <v>1558</v>
      </c>
      <c r="C1318" t="s">
        <v>1259</v>
      </c>
    </row>
    <row r="1319" spans="1:3">
      <c r="A1319">
        <v>4721</v>
      </c>
      <c r="B1319" t="s">
        <v>1559</v>
      </c>
      <c r="C1319" t="s">
        <v>1259</v>
      </c>
    </row>
    <row r="1320" spans="1:3">
      <c r="A1320">
        <v>4726</v>
      </c>
      <c r="B1320" t="s">
        <v>1560</v>
      </c>
      <c r="C1320" t="s">
        <v>1259</v>
      </c>
    </row>
    <row r="1321" spans="1:3">
      <c r="A1321">
        <v>4728</v>
      </c>
      <c r="B1321" t="s">
        <v>1561</v>
      </c>
      <c r="C1321">
        <v>19.100000000000001</v>
      </c>
    </row>
    <row r="1322" spans="1:3">
      <c r="A1322">
        <v>4729</v>
      </c>
      <c r="B1322" t="s">
        <v>1562</v>
      </c>
      <c r="C1322">
        <v>27.59</v>
      </c>
    </row>
    <row r="1323" spans="1:3">
      <c r="A1323">
        <v>4735</v>
      </c>
      <c r="B1323" t="s">
        <v>1563</v>
      </c>
      <c r="C1323">
        <v>17.329999999999998</v>
      </c>
    </row>
    <row r="1324" spans="1:3">
      <c r="A1324">
        <v>4741</v>
      </c>
      <c r="B1324" t="s">
        <v>1565</v>
      </c>
      <c r="C1324">
        <v>20.51</v>
      </c>
    </row>
    <row r="1325" spans="1:3">
      <c r="A1325">
        <v>4743</v>
      </c>
      <c r="B1325" t="s">
        <v>1566</v>
      </c>
      <c r="C1325" t="s">
        <v>1259</v>
      </c>
    </row>
    <row r="1326" spans="1:3">
      <c r="A1326">
        <v>4744</v>
      </c>
      <c r="B1326" t="s">
        <v>1567</v>
      </c>
      <c r="C1326" t="s">
        <v>1259</v>
      </c>
    </row>
    <row r="1327" spans="1:3">
      <c r="A1327">
        <v>4745</v>
      </c>
      <c r="B1327" t="s">
        <v>1568</v>
      </c>
      <c r="C1327">
        <v>24.57</v>
      </c>
    </row>
    <row r="1328" spans="1:3">
      <c r="A1328">
        <v>4747</v>
      </c>
      <c r="B1328" t="s">
        <v>1569</v>
      </c>
      <c r="C1328">
        <v>41.64</v>
      </c>
    </row>
    <row r="1329" spans="1:3">
      <c r="A1329">
        <v>4754</v>
      </c>
      <c r="B1329" t="s">
        <v>1570</v>
      </c>
      <c r="C1329">
        <v>21.23</v>
      </c>
    </row>
    <row r="1330" spans="1:3">
      <c r="A1330">
        <v>4760</v>
      </c>
      <c r="B1330" t="s">
        <v>1571</v>
      </c>
      <c r="C1330">
        <v>21.99</v>
      </c>
    </row>
    <row r="1331" spans="1:3">
      <c r="A1331">
        <v>4767</v>
      </c>
      <c r="B1331" t="s">
        <v>1572</v>
      </c>
      <c r="C1331">
        <v>12.54</v>
      </c>
    </row>
    <row r="1332" spans="1:3">
      <c r="A1332">
        <v>4768</v>
      </c>
      <c r="B1332" t="s">
        <v>1573</v>
      </c>
      <c r="C1332">
        <v>48.73</v>
      </c>
    </row>
    <row r="1333" spans="1:3">
      <c r="A1333">
        <v>4804</v>
      </c>
      <c r="B1333" t="s">
        <v>1574</v>
      </c>
      <c r="C1333" t="s">
        <v>1259</v>
      </c>
    </row>
    <row r="1334" spans="1:3">
      <c r="A1334">
        <v>4806</v>
      </c>
      <c r="B1334" t="s">
        <v>1575</v>
      </c>
      <c r="C1334" t="s">
        <v>1259</v>
      </c>
    </row>
    <row r="1335" spans="1:3">
      <c r="A1335">
        <v>4903</v>
      </c>
      <c r="B1335" t="s">
        <v>1576</v>
      </c>
      <c r="C1335" t="s">
        <v>1259</v>
      </c>
    </row>
    <row r="1336" spans="1:3">
      <c r="A1336">
        <v>4905</v>
      </c>
      <c r="B1336" t="s">
        <v>1577</v>
      </c>
      <c r="C1336">
        <v>12.93</v>
      </c>
    </row>
    <row r="1337" spans="1:3">
      <c r="A1337">
        <v>4907</v>
      </c>
      <c r="B1337" t="s">
        <v>1578</v>
      </c>
      <c r="C1337">
        <v>181.82</v>
      </c>
    </row>
    <row r="1338" spans="1:3">
      <c r="A1338">
        <v>4908</v>
      </c>
      <c r="B1338" t="s">
        <v>1579</v>
      </c>
      <c r="C1338">
        <v>33.590000000000003</v>
      </c>
    </row>
    <row r="1339" spans="1:3">
      <c r="A1339">
        <v>4909</v>
      </c>
      <c r="B1339" t="s">
        <v>1580</v>
      </c>
      <c r="C1339" t="s">
        <v>1259</v>
      </c>
    </row>
    <row r="1340" spans="1:3">
      <c r="A1340">
        <v>4911</v>
      </c>
      <c r="B1340" t="s">
        <v>1581</v>
      </c>
      <c r="C1340">
        <v>54.21</v>
      </c>
    </row>
    <row r="1341" spans="1:3">
      <c r="A1341">
        <v>4923</v>
      </c>
      <c r="B1341" t="s">
        <v>1582</v>
      </c>
      <c r="C1341">
        <v>93.4</v>
      </c>
    </row>
    <row r="1342" spans="1:3">
      <c r="A1342">
        <v>4924</v>
      </c>
      <c r="B1342" t="s">
        <v>1583</v>
      </c>
      <c r="C1342" t="s">
        <v>1259</v>
      </c>
    </row>
    <row r="1343" spans="1:3">
      <c r="A1343">
        <v>4931</v>
      </c>
      <c r="B1343" t="s">
        <v>1584</v>
      </c>
      <c r="C1343">
        <v>32.42</v>
      </c>
    </row>
    <row r="1344" spans="1:3">
      <c r="A1344">
        <v>4933</v>
      </c>
      <c r="B1344" t="s">
        <v>1585</v>
      </c>
      <c r="C1344">
        <v>16.149999999999999</v>
      </c>
    </row>
    <row r="1345" spans="1:3">
      <c r="A1345">
        <v>4939</v>
      </c>
      <c r="B1345" t="s">
        <v>1586</v>
      </c>
      <c r="C1345">
        <v>79.44</v>
      </c>
    </row>
    <row r="1346" spans="1:3">
      <c r="A1346">
        <v>4945</v>
      </c>
      <c r="B1346" t="s">
        <v>1588</v>
      </c>
      <c r="C1346">
        <v>93.74</v>
      </c>
    </row>
    <row r="1347" spans="1:3">
      <c r="A1347">
        <v>4946</v>
      </c>
      <c r="B1347" t="s">
        <v>1589</v>
      </c>
      <c r="C1347" t="s">
        <v>1259</v>
      </c>
    </row>
    <row r="1348" spans="1:3">
      <c r="A1348">
        <v>4951</v>
      </c>
      <c r="B1348" t="s">
        <v>1591</v>
      </c>
      <c r="C1348">
        <v>23.87</v>
      </c>
    </row>
    <row r="1349" spans="1:3">
      <c r="A1349">
        <v>4953</v>
      </c>
      <c r="B1349" t="s">
        <v>1592</v>
      </c>
      <c r="C1349">
        <v>16.54</v>
      </c>
    </row>
    <row r="1350" spans="1:3">
      <c r="A1350">
        <v>4966</v>
      </c>
      <c r="B1350" t="s">
        <v>1593</v>
      </c>
      <c r="C1350">
        <v>52.68</v>
      </c>
    </row>
    <row r="1351" spans="1:3">
      <c r="A1351">
        <v>4971</v>
      </c>
      <c r="B1351" t="s">
        <v>1594</v>
      </c>
      <c r="C1351">
        <v>40.32</v>
      </c>
    </row>
    <row r="1352" spans="1:3">
      <c r="A1352">
        <v>4972</v>
      </c>
      <c r="B1352" t="s">
        <v>1595</v>
      </c>
      <c r="C1352">
        <v>54.81</v>
      </c>
    </row>
    <row r="1353" spans="1:3">
      <c r="A1353">
        <v>4973</v>
      </c>
      <c r="B1353" t="s">
        <v>1596</v>
      </c>
      <c r="C1353">
        <v>13.42</v>
      </c>
    </row>
    <row r="1354" spans="1:3">
      <c r="A1354">
        <v>4974</v>
      </c>
      <c r="B1354" t="s">
        <v>1597</v>
      </c>
      <c r="C1354">
        <v>10.41</v>
      </c>
    </row>
    <row r="1355" spans="1:3">
      <c r="A1355">
        <v>4979</v>
      </c>
      <c r="B1355" t="s">
        <v>1598</v>
      </c>
      <c r="C1355">
        <v>50.35</v>
      </c>
    </row>
    <row r="1356" spans="1:3">
      <c r="A1356">
        <v>4987</v>
      </c>
      <c r="B1356" t="s">
        <v>1599</v>
      </c>
      <c r="C1356">
        <v>12.6</v>
      </c>
    </row>
    <row r="1357" spans="1:3">
      <c r="A1357">
        <v>4991</v>
      </c>
      <c r="B1357" t="s">
        <v>1600</v>
      </c>
      <c r="C1357" t="s">
        <v>1259</v>
      </c>
    </row>
    <row r="1358" spans="1:3">
      <c r="A1358">
        <v>4995</v>
      </c>
      <c r="B1358" t="s">
        <v>1601</v>
      </c>
      <c r="C1358">
        <v>12.81</v>
      </c>
    </row>
    <row r="1359" spans="1:3">
      <c r="A1359">
        <v>5009</v>
      </c>
      <c r="B1359" t="s">
        <v>1602</v>
      </c>
      <c r="C1359">
        <v>11.55</v>
      </c>
    </row>
    <row r="1360" spans="1:3">
      <c r="A1360">
        <v>5011</v>
      </c>
      <c r="B1360" t="s">
        <v>1603</v>
      </c>
      <c r="C1360">
        <v>25.9</v>
      </c>
    </row>
    <row r="1361" spans="1:3">
      <c r="A1361">
        <v>5013</v>
      </c>
      <c r="B1361" t="s">
        <v>1604</v>
      </c>
      <c r="C1361">
        <v>15.15</v>
      </c>
    </row>
    <row r="1362" spans="1:3">
      <c r="A1362">
        <v>5014</v>
      </c>
      <c r="B1362" t="s">
        <v>1605</v>
      </c>
      <c r="C1362">
        <v>55</v>
      </c>
    </row>
    <row r="1363" spans="1:3">
      <c r="A1363">
        <v>5015</v>
      </c>
      <c r="B1363" t="s">
        <v>1606</v>
      </c>
      <c r="C1363">
        <v>16.7</v>
      </c>
    </row>
    <row r="1364" spans="1:3">
      <c r="A1364">
        <v>5016</v>
      </c>
      <c r="B1364" t="s">
        <v>1607</v>
      </c>
      <c r="C1364">
        <v>22.58</v>
      </c>
    </row>
    <row r="1365" spans="1:3">
      <c r="A1365">
        <v>5201</v>
      </c>
      <c r="B1365" t="s">
        <v>1608</v>
      </c>
      <c r="C1365">
        <v>12.39</v>
      </c>
    </row>
    <row r="1366" spans="1:3">
      <c r="A1366">
        <v>5202</v>
      </c>
      <c r="B1366" t="s">
        <v>1609</v>
      </c>
      <c r="C1366">
        <v>1650</v>
      </c>
    </row>
    <row r="1367" spans="1:3">
      <c r="A1367">
        <v>5205</v>
      </c>
      <c r="B1367" t="s">
        <v>1610</v>
      </c>
      <c r="C1367" t="s">
        <v>1259</v>
      </c>
    </row>
    <row r="1368" spans="1:3">
      <c r="A1368">
        <v>5206</v>
      </c>
      <c r="B1368" t="s">
        <v>1611</v>
      </c>
      <c r="C1368">
        <v>28.14</v>
      </c>
    </row>
    <row r="1369" spans="1:3">
      <c r="A1369">
        <v>5209</v>
      </c>
      <c r="B1369" t="s">
        <v>1612</v>
      </c>
      <c r="C1369">
        <v>13.36</v>
      </c>
    </row>
    <row r="1370" spans="1:3">
      <c r="A1370">
        <v>5210</v>
      </c>
      <c r="B1370" t="s">
        <v>1613</v>
      </c>
      <c r="C1370" t="s">
        <v>1259</v>
      </c>
    </row>
    <row r="1371" spans="1:3">
      <c r="A1371">
        <v>5211</v>
      </c>
      <c r="B1371" t="s">
        <v>1614</v>
      </c>
      <c r="C1371" t="s">
        <v>1259</v>
      </c>
    </row>
    <row r="1372" spans="1:3">
      <c r="A1372">
        <v>5212</v>
      </c>
      <c r="B1372" t="s">
        <v>1615</v>
      </c>
      <c r="C1372">
        <v>16.62</v>
      </c>
    </row>
    <row r="1373" spans="1:3">
      <c r="A1373">
        <v>5213</v>
      </c>
      <c r="B1373" t="s">
        <v>1616</v>
      </c>
      <c r="C1373">
        <v>31.85</v>
      </c>
    </row>
    <row r="1374" spans="1:3">
      <c r="A1374">
        <v>5220</v>
      </c>
      <c r="B1374" t="s">
        <v>1617</v>
      </c>
      <c r="C1374">
        <v>29.83</v>
      </c>
    </row>
    <row r="1375" spans="1:3">
      <c r="A1375">
        <v>5223</v>
      </c>
      <c r="B1375" t="s">
        <v>1618</v>
      </c>
      <c r="C1375" t="s">
        <v>1259</v>
      </c>
    </row>
    <row r="1376" spans="1:3">
      <c r="A1376">
        <v>5227</v>
      </c>
      <c r="B1376" t="s">
        <v>1619</v>
      </c>
      <c r="C1376" t="s">
        <v>1259</v>
      </c>
    </row>
    <row r="1377" spans="1:3">
      <c r="A1377">
        <v>5228</v>
      </c>
      <c r="B1377" t="s">
        <v>1620</v>
      </c>
      <c r="C1377" t="s">
        <v>1259</v>
      </c>
    </row>
    <row r="1378" spans="1:3">
      <c r="A1378">
        <v>5230</v>
      </c>
      <c r="B1378" t="s">
        <v>1621</v>
      </c>
      <c r="C1378" t="s">
        <v>1259</v>
      </c>
    </row>
    <row r="1379" spans="1:3">
      <c r="A1379">
        <v>5236</v>
      </c>
      <c r="B1379" t="s">
        <v>1622</v>
      </c>
      <c r="C1379">
        <v>29.7</v>
      </c>
    </row>
    <row r="1380" spans="1:3">
      <c r="A1380">
        <v>5245</v>
      </c>
      <c r="B1380" t="s">
        <v>1623</v>
      </c>
      <c r="C1380" t="s">
        <v>1259</v>
      </c>
    </row>
    <row r="1381" spans="1:3">
      <c r="A1381">
        <v>5251</v>
      </c>
      <c r="B1381" t="s">
        <v>1624</v>
      </c>
      <c r="C1381" t="s">
        <v>1259</v>
      </c>
    </row>
    <row r="1382" spans="1:3">
      <c r="A1382">
        <v>5263</v>
      </c>
      <c r="B1382" t="s">
        <v>1625</v>
      </c>
      <c r="C1382" t="s">
        <v>1259</v>
      </c>
    </row>
    <row r="1383" spans="1:3">
      <c r="A1383">
        <v>5272</v>
      </c>
      <c r="B1383" t="s">
        <v>1626</v>
      </c>
      <c r="C1383" t="s">
        <v>1259</v>
      </c>
    </row>
    <row r="1384" spans="1:3">
      <c r="A1384">
        <v>5274</v>
      </c>
      <c r="B1384" t="s">
        <v>1627</v>
      </c>
      <c r="C1384">
        <v>100.61</v>
      </c>
    </row>
    <row r="1385" spans="1:3">
      <c r="A1385">
        <v>5276</v>
      </c>
      <c r="B1385" t="s">
        <v>1628</v>
      </c>
      <c r="C1385" t="s">
        <v>1259</v>
      </c>
    </row>
    <row r="1386" spans="1:3">
      <c r="A1386">
        <v>5278</v>
      </c>
      <c r="B1386" t="s">
        <v>1629</v>
      </c>
      <c r="C1386">
        <v>17.489999999999998</v>
      </c>
    </row>
    <row r="1387" spans="1:3">
      <c r="A1387">
        <v>5287</v>
      </c>
      <c r="B1387" t="s">
        <v>1631</v>
      </c>
      <c r="C1387">
        <v>15.43</v>
      </c>
    </row>
    <row r="1388" spans="1:3">
      <c r="A1388">
        <v>5289</v>
      </c>
      <c r="B1388" t="s">
        <v>1632</v>
      </c>
      <c r="C1388">
        <v>21.71</v>
      </c>
    </row>
    <row r="1389" spans="1:3">
      <c r="A1389">
        <v>5291</v>
      </c>
      <c r="B1389" t="s">
        <v>1633</v>
      </c>
      <c r="C1389">
        <v>30.96</v>
      </c>
    </row>
    <row r="1390" spans="1:3">
      <c r="A1390">
        <v>5299</v>
      </c>
      <c r="B1390" t="s">
        <v>1634</v>
      </c>
      <c r="C1390">
        <v>22.15</v>
      </c>
    </row>
    <row r="1391" spans="1:3">
      <c r="A1391">
        <v>5301</v>
      </c>
      <c r="B1391" t="s">
        <v>1635</v>
      </c>
      <c r="C1391" t="s">
        <v>1259</v>
      </c>
    </row>
    <row r="1392" spans="1:3">
      <c r="A1392">
        <v>5302</v>
      </c>
      <c r="B1392" t="s">
        <v>1636</v>
      </c>
      <c r="C1392" t="s">
        <v>1259</v>
      </c>
    </row>
    <row r="1393" spans="1:3">
      <c r="A1393">
        <v>5309</v>
      </c>
      <c r="B1393" t="s">
        <v>1637</v>
      </c>
      <c r="C1393">
        <v>24.66</v>
      </c>
    </row>
    <row r="1394" spans="1:3">
      <c r="A1394">
        <v>5310</v>
      </c>
      <c r="B1394" t="s">
        <v>1638</v>
      </c>
      <c r="C1394" t="s">
        <v>1259</v>
      </c>
    </row>
    <row r="1395" spans="1:3">
      <c r="A1395">
        <v>5312</v>
      </c>
      <c r="B1395" t="s">
        <v>1639</v>
      </c>
      <c r="C1395">
        <v>14.33</v>
      </c>
    </row>
    <row r="1396" spans="1:3">
      <c r="A1396">
        <v>5314</v>
      </c>
      <c r="B1396" t="s">
        <v>1640</v>
      </c>
      <c r="C1396">
        <v>37.75</v>
      </c>
    </row>
    <row r="1397" spans="1:3">
      <c r="A1397">
        <v>5315</v>
      </c>
      <c r="B1397" t="s">
        <v>1641</v>
      </c>
      <c r="C1397">
        <v>13.25</v>
      </c>
    </row>
    <row r="1398" spans="1:3">
      <c r="A1398">
        <v>5321</v>
      </c>
      <c r="B1398" t="s">
        <v>1642</v>
      </c>
      <c r="C1398">
        <v>28.41</v>
      </c>
    </row>
    <row r="1399" spans="1:3">
      <c r="A1399">
        <v>5324</v>
      </c>
      <c r="B1399" t="s">
        <v>1643</v>
      </c>
      <c r="C1399" t="s">
        <v>1259</v>
      </c>
    </row>
    <row r="1400" spans="1:3">
      <c r="A1400">
        <v>5328</v>
      </c>
      <c r="B1400" t="s">
        <v>1644</v>
      </c>
      <c r="C1400">
        <v>28.3</v>
      </c>
    </row>
    <row r="1401" spans="1:3">
      <c r="A1401">
        <v>5340</v>
      </c>
      <c r="B1401" t="s">
        <v>1645</v>
      </c>
      <c r="C1401">
        <v>737.5</v>
      </c>
    </row>
    <row r="1402" spans="1:3">
      <c r="A1402">
        <v>5344</v>
      </c>
      <c r="B1402" t="s">
        <v>1646</v>
      </c>
      <c r="C1402" t="s">
        <v>1259</v>
      </c>
    </row>
    <row r="1403" spans="1:3">
      <c r="A1403">
        <v>5345</v>
      </c>
      <c r="B1403" t="s">
        <v>1647</v>
      </c>
      <c r="C1403" t="s">
        <v>1259</v>
      </c>
    </row>
    <row r="1404" spans="1:3">
      <c r="A1404">
        <v>5347</v>
      </c>
      <c r="B1404" t="s">
        <v>1648</v>
      </c>
      <c r="C1404">
        <v>17.91</v>
      </c>
    </row>
    <row r="1405" spans="1:3">
      <c r="A1405">
        <v>5348</v>
      </c>
      <c r="B1405" t="s">
        <v>1649</v>
      </c>
      <c r="C1405">
        <v>72.14</v>
      </c>
    </row>
    <row r="1406" spans="1:3">
      <c r="A1406">
        <v>5351</v>
      </c>
      <c r="B1406" t="s">
        <v>1650</v>
      </c>
      <c r="C1406" t="s">
        <v>1259</v>
      </c>
    </row>
    <row r="1407" spans="1:3">
      <c r="A1407">
        <v>5353</v>
      </c>
      <c r="B1407" t="s">
        <v>1651</v>
      </c>
      <c r="C1407">
        <v>14.42</v>
      </c>
    </row>
    <row r="1408" spans="1:3">
      <c r="A1408">
        <v>5355</v>
      </c>
      <c r="B1408" t="s">
        <v>1652</v>
      </c>
      <c r="C1408" t="s">
        <v>1259</v>
      </c>
    </row>
    <row r="1409" spans="1:3">
      <c r="A1409">
        <v>5356</v>
      </c>
      <c r="B1409" t="s">
        <v>1653</v>
      </c>
      <c r="C1409">
        <v>200.33</v>
      </c>
    </row>
    <row r="1410" spans="1:3">
      <c r="A1410">
        <v>5364</v>
      </c>
      <c r="B1410" t="s">
        <v>1654</v>
      </c>
      <c r="C1410" t="s">
        <v>1259</v>
      </c>
    </row>
    <row r="1411" spans="1:3">
      <c r="A1411">
        <v>5371</v>
      </c>
      <c r="B1411" t="s">
        <v>1655</v>
      </c>
      <c r="C1411">
        <v>18.57</v>
      </c>
    </row>
    <row r="1412" spans="1:3">
      <c r="A1412">
        <v>5381</v>
      </c>
      <c r="B1412" t="s">
        <v>1656</v>
      </c>
      <c r="C1412">
        <v>95.17</v>
      </c>
    </row>
    <row r="1413" spans="1:3">
      <c r="A1413">
        <v>5383</v>
      </c>
      <c r="B1413" t="s">
        <v>1657</v>
      </c>
      <c r="C1413" t="s">
        <v>1259</v>
      </c>
    </row>
    <row r="1414" spans="1:3">
      <c r="A1414">
        <v>5386</v>
      </c>
      <c r="B1414" t="s">
        <v>1658</v>
      </c>
      <c r="C1414">
        <v>29.05</v>
      </c>
    </row>
    <row r="1415" spans="1:3">
      <c r="A1415">
        <v>5392</v>
      </c>
      <c r="B1415" t="s">
        <v>1659</v>
      </c>
      <c r="C1415" t="s">
        <v>1259</v>
      </c>
    </row>
    <row r="1416" spans="1:3">
      <c r="A1416">
        <v>5398</v>
      </c>
      <c r="B1416" t="s">
        <v>1660</v>
      </c>
      <c r="C1416" t="s">
        <v>1259</v>
      </c>
    </row>
    <row r="1417" spans="1:3">
      <c r="A1417">
        <v>5403</v>
      </c>
      <c r="B1417" t="s">
        <v>1661</v>
      </c>
      <c r="C1417">
        <v>13.27</v>
      </c>
    </row>
    <row r="1418" spans="1:3">
      <c r="A1418">
        <v>5410</v>
      </c>
      <c r="B1418" t="s">
        <v>1662</v>
      </c>
      <c r="C1418">
        <v>14.33</v>
      </c>
    </row>
    <row r="1419" spans="1:3">
      <c r="A1419">
        <v>5425</v>
      </c>
      <c r="B1419" t="s">
        <v>1663</v>
      </c>
      <c r="C1419">
        <v>25.92</v>
      </c>
    </row>
    <row r="1420" spans="1:3">
      <c r="A1420">
        <v>5426</v>
      </c>
      <c r="B1420" t="s">
        <v>1664</v>
      </c>
      <c r="C1420">
        <v>83.24</v>
      </c>
    </row>
    <row r="1421" spans="1:3">
      <c r="A1421">
        <v>5432</v>
      </c>
      <c r="B1421" t="s">
        <v>1665</v>
      </c>
      <c r="C1421">
        <v>137.36000000000001</v>
      </c>
    </row>
    <row r="1422" spans="1:3">
      <c r="A1422">
        <v>5438</v>
      </c>
      <c r="B1422" t="s">
        <v>1666</v>
      </c>
      <c r="C1422">
        <v>155</v>
      </c>
    </row>
    <row r="1423" spans="1:3">
      <c r="A1423">
        <v>5439</v>
      </c>
      <c r="B1423" t="s">
        <v>1667</v>
      </c>
      <c r="C1423">
        <v>23.97</v>
      </c>
    </row>
    <row r="1424" spans="1:3">
      <c r="A1424">
        <v>5443</v>
      </c>
      <c r="B1424" t="s">
        <v>1668</v>
      </c>
      <c r="C1424">
        <v>44.06</v>
      </c>
    </row>
    <row r="1425" spans="1:3">
      <c r="A1425">
        <v>5450</v>
      </c>
      <c r="B1425" t="s">
        <v>1669</v>
      </c>
      <c r="C1425" t="s">
        <v>1259</v>
      </c>
    </row>
    <row r="1426" spans="1:3">
      <c r="A1426">
        <v>5452</v>
      </c>
      <c r="B1426" t="s">
        <v>1670</v>
      </c>
      <c r="C1426">
        <v>90.74</v>
      </c>
    </row>
    <row r="1427" spans="1:3">
      <c r="A1427">
        <v>5455</v>
      </c>
      <c r="B1427" t="s">
        <v>1671</v>
      </c>
      <c r="C1427" t="s">
        <v>1259</v>
      </c>
    </row>
    <row r="1428" spans="1:3">
      <c r="A1428">
        <v>5457</v>
      </c>
      <c r="B1428" t="s">
        <v>1672</v>
      </c>
      <c r="C1428">
        <v>42.25</v>
      </c>
    </row>
    <row r="1429" spans="1:3">
      <c r="A1429">
        <v>5460</v>
      </c>
      <c r="B1429" t="s">
        <v>1673</v>
      </c>
      <c r="C1429" t="s">
        <v>1259</v>
      </c>
    </row>
    <row r="1430" spans="1:3">
      <c r="A1430">
        <v>5464</v>
      </c>
      <c r="B1430" t="s">
        <v>1674</v>
      </c>
      <c r="C1430">
        <v>21.64</v>
      </c>
    </row>
    <row r="1431" spans="1:3">
      <c r="A1431">
        <v>5465</v>
      </c>
      <c r="B1431" t="s">
        <v>1675</v>
      </c>
      <c r="C1431">
        <v>24.29</v>
      </c>
    </row>
    <row r="1432" spans="1:3">
      <c r="A1432">
        <v>5468</v>
      </c>
      <c r="B1432" t="s">
        <v>1676</v>
      </c>
      <c r="C1432" t="s">
        <v>1259</v>
      </c>
    </row>
    <row r="1433" spans="1:3">
      <c r="A1433">
        <v>5474</v>
      </c>
      <c r="B1433" t="s">
        <v>1677</v>
      </c>
      <c r="C1433">
        <v>18.43</v>
      </c>
    </row>
    <row r="1434" spans="1:3">
      <c r="A1434">
        <v>5475</v>
      </c>
      <c r="B1434" t="s">
        <v>1678</v>
      </c>
      <c r="C1434" t="s">
        <v>1259</v>
      </c>
    </row>
    <row r="1435" spans="1:3">
      <c r="A1435">
        <v>5478</v>
      </c>
      <c r="B1435" t="s">
        <v>1679</v>
      </c>
      <c r="C1435">
        <v>20.82</v>
      </c>
    </row>
    <row r="1436" spans="1:3">
      <c r="A1436">
        <v>5481</v>
      </c>
      <c r="B1436" t="s">
        <v>1680</v>
      </c>
      <c r="C1436" t="s">
        <v>1259</v>
      </c>
    </row>
    <row r="1437" spans="1:3">
      <c r="A1437">
        <v>5483</v>
      </c>
      <c r="B1437" t="s">
        <v>1681</v>
      </c>
      <c r="C1437">
        <v>11.34</v>
      </c>
    </row>
    <row r="1438" spans="1:3">
      <c r="A1438">
        <v>5487</v>
      </c>
      <c r="B1438" t="s">
        <v>1682</v>
      </c>
      <c r="C1438" t="s">
        <v>1259</v>
      </c>
    </row>
    <row r="1439" spans="1:3">
      <c r="A1439">
        <v>5488</v>
      </c>
      <c r="B1439" t="s">
        <v>1683</v>
      </c>
      <c r="C1439">
        <v>18.28</v>
      </c>
    </row>
    <row r="1440" spans="1:3">
      <c r="A1440">
        <v>5489</v>
      </c>
      <c r="B1440" t="s">
        <v>1684</v>
      </c>
      <c r="C1440">
        <v>22.4</v>
      </c>
    </row>
    <row r="1441" spans="1:3">
      <c r="A1441">
        <v>5490</v>
      </c>
      <c r="B1441" t="s">
        <v>1685</v>
      </c>
      <c r="C1441" t="s">
        <v>1259</v>
      </c>
    </row>
    <row r="1442" spans="1:3">
      <c r="A1442">
        <v>5493</v>
      </c>
      <c r="B1442" t="s">
        <v>1686</v>
      </c>
      <c r="C1442">
        <v>11.97</v>
      </c>
    </row>
    <row r="1443" spans="1:3">
      <c r="A1443">
        <v>5498</v>
      </c>
      <c r="B1443" t="s">
        <v>1687</v>
      </c>
      <c r="C1443">
        <v>11.31</v>
      </c>
    </row>
    <row r="1444" spans="1:3">
      <c r="A1444">
        <v>5508</v>
      </c>
      <c r="B1444" t="s">
        <v>1688</v>
      </c>
      <c r="C1444">
        <v>10.63</v>
      </c>
    </row>
    <row r="1445" spans="1:3">
      <c r="A1445">
        <v>5511</v>
      </c>
      <c r="B1445" t="s">
        <v>1689</v>
      </c>
      <c r="C1445">
        <v>7.04</v>
      </c>
    </row>
    <row r="1446" spans="1:3">
      <c r="A1446">
        <v>5512</v>
      </c>
      <c r="B1446" t="s">
        <v>1690</v>
      </c>
      <c r="C1446">
        <v>40.54</v>
      </c>
    </row>
    <row r="1447" spans="1:3">
      <c r="A1447">
        <v>5514</v>
      </c>
      <c r="B1447" t="s">
        <v>1691</v>
      </c>
      <c r="C1447" t="s">
        <v>1259</v>
      </c>
    </row>
    <row r="1448" spans="1:3">
      <c r="A1448">
        <v>5516</v>
      </c>
      <c r="B1448" t="s">
        <v>1692</v>
      </c>
      <c r="C1448" t="s">
        <v>1259</v>
      </c>
    </row>
    <row r="1449" spans="1:3">
      <c r="A1449">
        <v>5520</v>
      </c>
      <c r="B1449" t="s">
        <v>1693</v>
      </c>
      <c r="C1449">
        <v>10.85</v>
      </c>
    </row>
    <row r="1450" spans="1:3">
      <c r="A1450">
        <v>5523</v>
      </c>
      <c r="B1450" t="s">
        <v>1694</v>
      </c>
      <c r="C1450">
        <v>10.17</v>
      </c>
    </row>
    <row r="1451" spans="1:3">
      <c r="A1451">
        <v>5529</v>
      </c>
      <c r="B1451" t="s">
        <v>1695</v>
      </c>
      <c r="C1451" t="s">
        <v>1259</v>
      </c>
    </row>
    <row r="1452" spans="1:3">
      <c r="A1452">
        <v>5530</v>
      </c>
      <c r="B1452" t="s">
        <v>1696</v>
      </c>
      <c r="C1452">
        <v>13.63</v>
      </c>
    </row>
    <row r="1453" spans="1:3">
      <c r="A1453">
        <v>5536</v>
      </c>
      <c r="B1453" t="s">
        <v>1697</v>
      </c>
      <c r="C1453">
        <v>10.57</v>
      </c>
    </row>
    <row r="1454" spans="1:3">
      <c r="A1454">
        <v>5543</v>
      </c>
      <c r="B1454" t="s">
        <v>1698</v>
      </c>
      <c r="C1454" t="s">
        <v>1259</v>
      </c>
    </row>
    <row r="1455" spans="1:3">
      <c r="A1455">
        <v>5601</v>
      </c>
      <c r="B1455" t="s">
        <v>1699</v>
      </c>
      <c r="C1455">
        <v>73.959999999999994</v>
      </c>
    </row>
    <row r="1456" spans="1:3">
      <c r="A1456">
        <v>5603</v>
      </c>
      <c r="B1456" t="s">
        <v>1700</v>
      </c>
      <c r="C1456">
        <v>11.89</v>
      </c>
    </row>
    <row r="1457" spans="1:3">
      <c r="A1457">
        <v>5604</v>
      </c>
      <c r="B1457" t="s">
        <v>1701</v>
      </c>
      <c r="C1457">
        <v>53.19</v>
      </c>
    </row>
    <row r="1458" spans="1:3">
      <c r="A1458">
        <v>5609</v>
      </c>
      <c r="B1458" t="s">
        <v>1702</v>
      </c>
      <c r="C1458">
        <v>10</v>
      </c>
    </row>
    <row r="1459" spans="1:3">
      <c r="A1459">
        <v>5701</v>
      </c>
      <c r="B1459" t="s">
        <v>1703</v>
      </c>
      <c r="C1459" t="s">
        <v>1259</v>
      </c>
    </row>
    <row r="1460" spans="1:3">
      <c r="A1460">
        <v>5703</v>
      </c>
      <c r="B1460" t="s">
        <v>1704</v>
      </c>
      <c r="C1460">
        <v>128.57</v>
      </c>
    </row>
    <row r="1461" spans="1:3">
      <c r="A1461">
        <v>5704</v>
      </c>
      <c r="B1461" t="s">
        <v>1705</v>
      </c>
      <c r="C1461">
        <v>21.6</v>
      </c>
    </row>
    <row r="1462" spans="1:3">
      <c r="A1462">
        <v>5864</v>
      </c>
      <c r="B1462" t="s">
        <v>1706</v>
      </c>
      <c r="C1462">
        <v>6.67</v>
      </c>
    </row>
    <row r="1463" spans="1:3">
      <c r="A1463">
        <v>5878</v>
      </c>
      <c r="B1463" t="s">
        <v>1707</v>
      </c>
      <c r="C1463">
        <v>21.64</v>
      </c>
    </row>
    <row r="1464" spans="1:3">
      <c r="A1464">
        <v>5902</v>
      </c>
      <c r="B1464" t="s">
        <v>1708</v>
      </c>
      <c r="C1464">
        <v>19.21</v>
      </c>
    </row>
    <row r="1465" spans="1:3">
      <c r="A1465">
        <v>5903</v>
      </c>
      <c r="B1465" t="s">
        <v>1709</v>
      </c>
      <c r="C1465">
        <v>20.77</v>
      </c>
    </row>
    <row r="1466" spans="1:3">
      <c r="A1466">
        <v>5904</v>
      </c>
      <c r="B1466" t="s">
        <v>1710</v>
      </c>
      <c r="C1466">
        <v>22.84</v>
      </c>
    </row>
    <row r="1467" spans="1:3">
      <c r="A1467">
        <v>5905</v>
      </c>
      <c r="B1467" t="s">
        <v>1711</v>
      </c>
      <c r="C1467">
        <v>129</v>
      </c>
    </row>
    <row r="1468" spans="1:3">
      <c r="A1468">
        <v>6015</v>
      </c>
      <c r="B1468" t="s">
        <v>1712</v>
      </c>
      <c r="C1468">
        <v>185.83</v>
      </c>
    </row>
    <row r="1469" spans="1:3">
      <c r="A1469">
        <v>6016</v>
      </c>
      <c r="B1469" t="s">
        <v>1713</v>
      </c>
      <c r="C1469">
        <v>7.47</v>
      </c>
    </row>
    <row r="1470" spans="1:3">
      <c r="A1470">
        <v>6020</v>
      </c>
      <c r="B1470" t="s">
        <v>1714</v>
      </c>
      <c r="C1470">
        <v>15.12</v>
      </c>
    </row>
    <row r="1471" spans="1:3">
      <c r="A1471">
        <v>6021</v>
      </c>
      <c r="B1471" t="s">
        <v>1715</v>
      </c>
      <c r="C1471">
        <v>39.61</v>
      </c>
    </row>
    <row r="1472" spans="1:3">
      <c r="A1472">
        <v>6023</v>
      </c>
      <c r="B1472" t="s">
        <v>1716</v>
      </c>
      <c r="C1472">
        <v>10.119999999999999</v>
      </c>
    </row>
    <row r="1473" spans="1:3">
      <c r="A1473">
        <v>6026</v>
      </c>
      <c r="B1473" t="s">
        <v>1717</v>
      </c>
      <c r="C1473">
        <v>11.32</v>
      </c>
    </row>
    <row r="1474" spans="1:3">
      <c r="A1474">
        <v>6101</v>
      </c>
      <c r="B1474" t="s">
        <v>1718</v>
      </c>
      <c r="C1474">
        <v>115.14</v>
      </c>
    </row>
    <row r="1475" spans="1:3">
      <c r="A1475">
        <v>6103</v>
      </c>
      <c r="B1475" t="s">
        <v>1719</v>
      </c>
      <c r="C1475" t="s">
        <v>1259</v>
      </c>
    </row>
    <row r="1476" spans="1:3">
      <c r="A1476">
        <v>6104</v>
      </c>
      <c r="B1476" t="s">
        <v>1720</v>
      </c>
      <c r="C1476" t="s">
        <v>1259</v>
      </c>
    </row>
    <row r="1477" spans="1:3">
      <c r="A1477">
        <v>6109</v>
      </c>
      <c r="B1477" t="s">
        <v>1721</v>
      </c>
      <c r="C1477">
        <v>18.8</v>
      </c>
    </row>
    <row r="1478" spans="1:3">
      <c r="A1478">
        <v>6111</v>
      </c>
      <c r="B1478" t="s">
        <v>1722</v>
      </c>
      <c r="C1478">
        <v>38.69</v>
      </c>
    </row>
    <row r="1479" spans="1:3">
      <c r="A1479">
        <v>6113</v>
      </c>
      <c r="B1479" t="s">
        <v>1723</v>
      </c>
      <c r="C1479" t="s">
        <v>1259</v>
      </c>
    </row>
    <row r="1480" spans="1:3">
      <c r="A1480">
        <v>6114</v>
      </c>
      <c r="B1480" t="s">
        <v>1724</v>
      </c>
      <c r="C1480">
        <v>78.930000000000007</v>
      </c>
    </row>
    <row r="1481" spans="1:3">
      <c r="A1481">
        <v>6118</v>
      </c>
      <c r="B1481" t="s">
        <v>1725</v>
      </c>
      <c r="C1481" t="s">
        <v>1259</v>
      </c>
    </row>
    <row r="1482" spans="1:3">
      <c r="A1482">
        <v>6121</v>
      </c>
      <c r="B1482" t="s">
        <v>1726</v>
      </c>
      <c r="C1482">
        <v>13.04</v>
      </c>
    </row>
    <row r="1483" spans="1:3">
      <c r="A1483">
        <v>6122</v>
      </c>
      <c r="B1483" t="s">
        <v>1727</v>
      </c>
      <c r="C1483">
        <v>15.33</v>
      </c>
    </row>
    <row r="1484" spans="1:3">
      <c r="A1484">
        <v>6123</v>
      </c>
      <c r="B1484" t="s">
        <v>1728</v>
      </c>
      <c r="C1484">
        <v>14.3</v>
      </c>
    </row>
    <row r="1485" spans="1:3">
      <c r="A1485">
        <v>6124</v>
      </c>
      <c r="B1485" t="s">
        <v>1729</v>
      </c>
      <c r="C1485" t="s">
        <v>1259</v>
      </c>
    </row>
    <row r="1486" spans="1:3">
      <c r="A1486">
        <v>6125</v>
      </c>
      <c r="B1486" t="s">
        <v>1730</v>
      </c>
      <c r="C1486">
        <v>37.5</v>
      </c>
    </row>
    <row r="1487" spans="1:3">
      <c r="A1487">
        <v>6126</v>
      </c>
      <c r="B1487" t="s">
        <v>1731</v>
      </c>
      <c r="C1487">
        <v>20.36</v>
      </c>
    </row>
    <row r="1488" spans="1:3">
      <c r="A1488">
        <v>6127</v>
      </c>
      <c r="B1488" t="s">
        <v>1732</v>
      </c>
      <c r="C1488">
        <v>16.440000000000001</v>
      </c>
    </row>
    <row r="1489" spans="1:3">
      <c r="A1489">
        <v>6129</v>
      </c>
      <c r="B1489" t="s">
        <v>1733</v>
      </c>
      <c r="C1489">
        <v>48.2</v>
      </c>
    </row>
    <row r="1490" spans="1:3">
      <c r="A1490">
        <v>6130</v>
      </c>
      <c r="B1490" t="s">
        <v>1734</v>
      </c>
      <c r="C1490">
        <v>27.97</v>
      </c>
    </row>
    <row r="1491" spans="1:3">
      <c r="A1491">
        <v>6134</v>
      </c>
      <c r="B1491" t="s">
        <v>1735</v>
      </c>
      <c r="C1491" t="s">
        <v>1259</v>
      </c>
    </row>
    <row r="1492" spans="1:3">
      <c r="A1492">
        <v>6138</v>
      </c>
      <c r="B1492" t="s">
        <v>1736</v>
      </c>
      <c r="C1492">
        <v>38.520000000000003</v>
      </c>
    </row>
    <row r="1493" spans="1:3">
      <c r="A1493">
        <v>6140</v>
      </c>
      <c r="B1493" t="s">
        <v>1737</v>
      </c>
      <c r="C1493">
        <v>680</v>
      </c>
    </row>
    <row r="1494" spans="1:3">
      <c r="A1494">
        <v>6143</v>
      </c>
      <c r="B1494" t="s">
        <v>1738</v>
      </c>
      <c r="C1494">
        <v>20.74</v>
      </c>
    </row>
    <row r="1495" spans="1:3">
      <c r="A1495">
        <v>6144</v>
      </c>
      <c r="B1495" t="s">
        <v>1739</v>
      </c>
      <c r="C1495" t="s">
        <v>1259</v>
      </c>
    </row>
    <row r="1496" spans="1:3">
      <c r="A1496">
        <v>6146</v>
      </c>
      <c r="B1496" t="s">
        <v>1740</v>
      </c>
      <c r="C1496">
        <v>16.39</v>
      </c>
    </row>
    <row r="1497" spans="1:3">
      <c r="A1497">
        <v>6147</v>
      </c>
      <c r="B1497" t="s">
        <v>1741</v>
      </c>
      <c r="C1497">
        <v>12.36</v>
      </c>
    </row>
    <row r="1498" spans="1:3">
      <c r="A1498">
        <v>6148</v>
      </c>
      <c r="B1498" t="s">
        <v>1742</v>
      </c>
      <c r="C1498">
        <v>19.920000000000002</v>
      </c>
    </row>
    <row r="1499" spans="1:3">
      <c r="A1499">
        <v>6150</v>
      </c>
      <c r="B1499" t="s">
        <v>1743</v>
      </c>
      <c r="C1499" t="s">
        <v>1259</v>
      </c>
    </row>
    <row r="1500" spans="1:3">
      <c r="A1500">
        <v>6151</v>
      </c>
      <c r="B1500" t="s">
        <v>1744</v>
      </c>
      <c r="C1500">
        <v>16.2</v>
      </c>
    </row>
    <row r="1501" spans="1:3">
      <c r="A1501">
        <v>6154</v>
      </c>
      <c r="B1501" t="s">
        <v>1745</v>
      </c>
      <c r="C1501">
        <v>20.89</v>
      </c>
    </row>
    <row r="1502" spans="1:3">
      <c r="A1502">
        <v>6156</v>
      </c>
      <c r="B1502" t="s">
        <v>1746</v>
      </c>
      <c r="C1502">
        <v>11.96</v>
      </c>
    </row>
    <row r="1503" spans="1:3">
      <c r="A1503">
        <v>6158</v>
      </c>
      <c r="B1503" t="s">
        <v>1747</v>
      </c>
      <c r="C1503">
        <v>28.87</v>
      </c>
    </row>
    <row r="1504" spans="1:3">
      <c r="A1504">
        <v>6160</v>
      </c>
      <c r="B1504" t="s">
        <v>1748</v>
      </c>
      <c r="C1504">
        <v>65.14</v>
      </c>
    </row>
    <row r="1505" spans="1:3">
      <c r="A1505">
        <v>6161</v>
      </c>
      <c r="B1505" t="s">
        <v>1749</v>
      </c>
      <c r="C1505">
        <v>17.11</v>
      </c>
    </row>
    <row r="1506" spans="1:3">
      <c r="A1506">
        <v>6163</v>
      </c>
      <c r="B1506" t="s">
        <v>1750</v>
      </c>
      <c r="C1506">
        <v>15.41</v>
      </c>
    </row>
    <row r="1507" spans="1:3">
      <c r="A1507">
        <v>6167</v>
      </c>
      <c r="B1507" t="s">
        <v>1751</v>
      </c>
      <c r="C1507">
        <v>11.65</v>
      </c>
    </row>
    <row r="1508" spans="1:3">
      <c r="A1508">
        <v>6169</v>
      </c>
      <c r="B1508" t="s">
        <v>1752</v>
      </c>
      <c r="C1508" t="s">
        <v>1259</v>
      </c>
    </row>
    <row r="1509" spans="1:3">
      <c r="A1509">
        <v>6170</v>
      </c>
      <c r="B1509" t="s">
        <v>1753</v>
      </c>
      <c r="C1509">
        <v>20</v>
      </c>
    </row>
    <row r="1510" spans="1:3">
      <c r="A1510">
        <v>6171</v>
      </c>
      <c r="B1510" t="s">
        <v>1754</v>
      </c>
      <c r="C1510" t="s">
        <v>1259</v>
      </c>
    </row>
    <row r="1511" spans="1:3">
      <c r="A1511">
        <v>6173</v>
      </c>
      <c r="B1511" t="s">
        <v>1755</v>
      </c>
      <c r="C1511">
        <v>21.01</v>
      </c>
    </row>
    <row r="1512" spans="1:3">
      <c r="A1512">
        <v>6174</v>
      </c>
      <c r="B1512" t="s">
        <v>1756</v>
      </c>
      <c r="C1512">
        <v>31.97</v>
      </c>
    </row>
    <row r="1513" spans="1:3">
      <c r="A1513">
        <v>6175</v>
      </c>
      <c r="B1513" t="s">
        <v>1757</v>
      </c>
      <c r="C1513">
        <v>15.84</v>
      </c>
    </row>
    <row r="1514" spans="1:3">
      <c r="A1514">
        <v>6179</v>
      </c>
      <c r="B1514" t="s">
        <v>1758</v>
      </c>
      <c r="C1514" t="s">
        <v>1259</v>
      </c>
    </row>
    <row r="1515" spans="1:3">
      <c r="A1515">
        <v>6180</v>
      </c>
      <c r="B1515" t="s">
        <v>1759</v>
      </c>
      <c r="C1515">
        <v>21.39</v>
      </c>
    </row>
    <row r="1516" spans="1:3">
      <c r="A1516">
        <v>6182</v>
      </c>
      <c r="B1516" t="s">
        <v>1760</v>
      </c>
      <c r="C1516">
        <v>23.53</v>
      </c>
    </row>
    <row r="1517" spans="1:3">
      <c r="A1517">
        <v>6185</v>
      </c>
      <c r="B1517" t="s">
        <v>1761</v>
      </c>
      <c r="C1517">
        <v>21.54</v>
      </c>
    </row>
    <row r="1518" spans="1:3">
      <c r="A1518">
        <v>6186</v>
      </c>
      <c r="B1518" t="s">
        <v>1762</v>
      </c>
      <c r="C1518">
        <v>16.010000000000002</v>
      </c>
    </row>
    <row r="1519" spans="1:3">
      <c r="A1519">
        <v>6187</v>
      </c>
      <c r="B1519" t="s">
        <v>1763</v>
      </c>
      <c r="C1519">
        <v>123.68</v>
      </c>
    </row>
    <row r="1520" spans="1:3">
      <c r="A1520">
        <v>6188</v>
      </c>
      <c r="B1520" t="s">
        <v>1764</v>
      </c>
      <c r="C1520">
        <v>22.22</v>
      </c>
    </row>
    <row r="1521" spans="1:3">
      <c r="A1521">
        <v>6190</v>
      </c>
      <c r="B1521" t="s">
        <v>1765</v>
      </c>
      <c r="C1521">
        <v>27.17</v>
      </c>
    </row>
    <row r="1522" spans="1:3">
      <c r="A1522">
        <v>6194</v>
      </c>
      <c r="B1522" t="s">
        <v>1766</v>
      </c>
      <c r="C1522">
        <v>13.9</v>
      </c>
    </row>
    <row r="1523" spans="1:3">
      <c r="A1523">
        <v>6195</v>
      </c>
      <c r="B1523" t="s">
        <v>1767</v>
      </c>
      <c r="C1523">
        <v>15.16</v>
      </c>
    </row>
    <row r="1524" spans="1:3">
      <c r="A1524">
        <v>6198</v>
      </c>
      <c r="B1524" t="s">
        <v>1768</v>
      </c>
      <c r="C1524">
        <v>10.72</v>
      </c>
    </row>
    <row r="1525" spans="1:3">
      <c r="A1525">
        <v>6199</v>
      </c>
      <c r="B1525" t="s">
        <v>1769</v>
      </c>
      <c r="C1525">
        <v>55.58</v>
      </c>
    </row>
    <row r="1526" spans="1:3">
      <c r="A1526">
        <v>6203</v>
      </c>
      <c r="B1526" t="s">
        <v>1770</v>
      </c>
      <c r="C1526">
        <v>12.8</v>
      </c>
    </row>
    <row r="1527" spans="1:3">
      <c r="A1527">
        <v>6204</v>
      </c>
      <c r="B1527" t="s">
        <v>1771</v>
      </c>
      <c r="C1527">
        <v>7.82</v>
      </c>
    </row>
    <row r="1528" spans="1:3">
      <c r="A1528">
        <v>6207</v>
      </c>
      <c r="B1528" t="s">
        <v>1772</v>
      </c>
      <c r="C1528">
        <v>24.07</v>
      </c>
    </row>
    <row r="1529" spans="1:3">
      <c r="A1529">
        <v>6208</v>
      </c>
      <c r="B1529" t="s">
        <v>1773</v>
      </c>
      <c r="C1529">
        <v>15.12</v>
      </c>
    </row>
    <row r="1530" spans="1:3">
      <c r="A1530">
        <v>6210</v>
      </c>
      <c r="B1530" t="s">
        <v>1774</v>
      </c>
      <c r="C1530" t="s">
        <v>1259</v>
      </c>
    </row>
    <row r="1531" spans="1:3">
      <c r="A1531">
        <v>6212</v>
      </c>
      <c r="B1531" t="s">
        <v>1775</v>
      </c>
      <c r="C1531">
        <v>33.9</v>
      </c>
    </row>
    <row r="1532" spans="1:3">
      <c r="A1532">
        <v>6217</v>
      </c>
      <c r="B1532" t="s">
        <v>1776</v>
      </c>
      <c r="C1532" t="s">
        <v>1259</v>
      </c>
    </row>
    <row r="1533" spans="1:3">
      <c r="A1533">
        <v>6218</v>
      </c>
      <c r="B1533" t="s">
        <v>1777</v>
      </c>
      <c r="C1533">
        <v>20.81</v>
      </c>
    </row>
    <row r="1534" spans="1:3">
      <c r="A1534">
        <v>6219</v>
      </c>
      <c r="B1534" t="s">
        <v>1778</v>
      </c>
      <c r="C1534">
        <v>34.26</v>
      </c>
    </row>
    <row r="1535" spans="1:3">
      <c r="A1535">
        <v>6220</v>
      </c>
      <c r="B1535" t="s">
        <v>1779</v>
      </c>
      <c r="C1535" t="s">
        <v>1259</v>
      </c>
    </row>
    <row r="1536" spans="1:3">
      <c r="A1536">
        <v>6221</v>
      </c>
      <c r="B1536" t="s">
        <v>1780</v>
      </c>
      <c r="C1536">
        <v>22.87</v>
      </c>
    </row>
    <row r="1537" spans="1:3">
      <c r="A1537">
        <v>6222</v>
      </c>
      <c r="B1537" t="s">
        <v>1781</v>
      </c>
      <c r="C1537" t="s">
        <v>1259</v>
      </c>
    </row>
    <row r="1538" spans="1:3">
      <c r="A1538">
        <v>6223</v>
      </c>
      <c r="B1538" t="s">
        <v>1782</v>
      </c>
      <c r="C1538">
        <v>16.05</v>
      </c>
    </row>
    <row r="1539" spans="1:3">
      <c r="A1539">
        <v>6227</v>
      </c>
      <c r="B1539" t="s">
        <v>1783</v>
      </c>
      <c r="C1539">
        <v>8.18</v>
      </c>
    </row>
    <row r="1540" spans="1:3">
      <c r="A1540">
        <v>6228</v>
      </c>
      <c r="B1540" t="s">
        <v>1784</v>
      </c>
      <c r="C1540" t="s">
        <v>1259</v>
      </c>
    </row>
    <row r="1541" spans="1:3">
      <c r="A1541">
        <v>6229</v>
      </c>
      <c r="B1541" t="s">
        <v>1785</v>
      </c>
      <c r="C1541" t="s">
        <v>1259</v>
      </c>
    </row>
    <row r="1542" spans="1:3">
      <c r="A1542">
        <v>6231</v>
      </c>
      <c r="B1542" t="s">
        <v>1786</v>
      </c>
      <c r="C1542">
        <v>52.96</v>
      </c>
    </row>
    <row r="1543" spans="1:3">
      <c r="A1543">
        <v>6233</v>
      </c>
      <c r="B1543" t="s">
        <v>1787</v>
      </c>
      <c r="C1543">
        <v>784</v>
      </c>
    </row>
    <row r="1544" spans="1:3">
      <c r="A1544">
        <v>6234</v>
      </c>
      <c r="B1544" t="s">
        <v>1788</v>
      </c>
      <c r="C1544">
        <v>19.43</v>
      </c>
    </row>
    <row r="1545" spans="1:3">
      <c r="A1545">
        <v>6236</v>
      </c>
      <c r="B1545" t="s">
        <v>1789</v>
      </c>
      <c r="C1545" t="s">
        <v>1259</v>
      </c>
    </row>
    <row r="1546" spans="1:3">
      <c r="A1546">
        <v>6237</v>
      </c>
      <c r="B1546" t="s">
        <v>1790</v>
      </c>
      <c r="C1546" t="s">
        <v>1259</v>
      </c>
    </row>
    <row r="1547" spans="1:3">
      <c r="A1547">
        <v>6240</v>
      </c>
      <c r="B1547" t="s">
        <v>1791</v>
      </c>
      <c r="C1547" t="s">
        <v>1259</v>
      </c>
    </row>
    <row r="1548" spans="1:3">
      <c r="A1548">
        <v>6241</v>
      </c>
      <c r="B1548" t="s">
        <v>1792</v>
      </c>
      <c r="C1548" t="s">
        <v>1259</v>
      </c>
    </row>
    <row r="1549" spans="1:3">
      <c r="A1549">
        <v>6242</v>
      </c>
      <c r="B1549" t="s">
        <v>1793</v>
      </c>
      <c r="C1549">
        <v>13.46</v>
      </c>
    </row>
    <row r="1550" spans="1:3">
      <c r="A1550">
        <v>6244</v>
      </c>
      <c r="B1550" t="s">
        <v>1794</v>
      </c>
      <c r="C1550">
        <v>33</v>
      </c>
    </row>
    <row r="1551" spans="1:3">
      <c r="A1551">
        <v>6245</v>
      </c>
      <c r="B1551" t="s">
        <v>1795</v>
      </c>
      <c r="C1551">
        <v>12.84</v>
      </c>
    </row>
    <row r="1552" spans="1:3">
      <c r="A1552">
        <v>6246</v>
      </c>
      <c r="B1552" t="s">
        <v>1796</v>
      </c>
      <c r="C1552" t="s">
        <v>1259</v>
      </c>
    </row>
    <row r="1553" spans="1:3">
      <c r="A1553">
        <v>6248</v>
      </c>
      <c r="B1553" t="s">
        <v>1798</v>
      </c>
      <c r="C1553">
        <v>10.39</v>
      </c>
    </row>
    <row r="1554" spans="1:3">
      <c r="A1554">
        <v>6259</v>
      </c>
      <c r="B1554" t="s">
        <v>1799</v>
      </c>
      <c r="C1554">
        <v>25.33</v>
      </c>
    </row>
    <row r="1555" spans="1:3">
      <c r="A1555">
        <v>6261</v>
      </c>
      <c r="B1555" t="s">
        <v>1800</v>
      </c>
      <c r="C1555">
        <v>20.97</v>
      </c>
    </row>
    <row r="1556" spans="1:3">
      <c r="A1556">
        <v>6263</v>
      </c>
      <c r="B1556" t="s">
        <v>1801</v>
      </c>
      <c r="C1556">
        <v>17.84</v>
      </c>
    </row>
    <row r="1557" spans="1:3">
      <c r="A1557">
        <v>6264</v>
      </c>
      <c r="B1557" t="s">
        <v>1802</v>
      </c>
      <c r="C1557" t="s">
        <v>1259</v>
      </c>
    </row>
    <row r="1558" spans="1:3">
      <c r="A1558">
        <v>6265</v>
      </c>
      <c r="B1558" t="s">
        <v>1803</v>
      </c>
      <c r="C1558" t="s">
        <v>1259</v>
      </c>
    </row>
    <row r="1559" spans="1:3">
      <c r="A1559">
        <v>6266</v>
      </c>
      <c r="B1559" t="s">
        <v>1804</v>
      </c>
      <c r="C1559">
        <v>12.94</v>
      </c>
    </row>
    <row r="1560" spans="1:3">
      <c r="A1560">
        <v>6270</v>
      </c>
      <c r="B1560" t="s">
        <v>1805</v>
      </c>
      <c r="C1560">
        <v>18.38</v>
      </c>
    </row>
    <row r="1561" spans="1:3">
      <c r="A1561">
        <v>6274</v>
      </c>
      <c r="B1561" t="s">
        <v>1806</v>
      </c>
      <c r="C1561">
        <v>47.01</v>
      </c>
    </row>
    <row r="1562" spans="1:3">
      <c r="A1562">
        <v>6275</v>
      </c>
      <c r="B1562" t="s">
        <v>1807</v>
      </c>
      <c r="C1562">
        <v>20.92</v>
      </c>
    </row>
    <row r="1563" spans="1:3">
      <c r="A1563">
        <v>6276</v>
      </c>
      <c r="B1563" t="s">
        <v>1808</v>
      </c>
      <c r="C1563">
        <v>18.66</v>
      </c>
    </row>
    <row r="1564" spans="1:3">
      <c r="A1564">
        <v>6279</v>
      </c>
      <c r="B1564" t="s">
        <v>1809</v>
      </c>
      <c r="C1564">
        <v>19.510000000000002</v>
      </c>
    </row>
    <row r="1565" spans="1:3">
      <c r="A1565">
        <v>6284</v>
      </c>
      <c r="B1565" t="s">
        <v>1810</v>
      </c>
      <c r="C1565">
        <v>20.93</v>
      </c>
    </row>
    <row r="1566" spans="1:3">
      <c r="A1566">
        <v>6287</v>
      </c>
      <c r="B1566" t="s">
        <v>1811</v>
      </c>
      <c r="C1566" t="s">
        <v>1259</v>
      </c>
    </row>
    <row r="1567" spans="1:3">
      <c r="A1567">
        <v>6290</v>
      </c>
      <c r="B1567" t="s">
        <v>1812</v>
      </c>
      <c r="C1567">
        <v>12.43</v>
      </c>
    </row>
    <row r="1568" spans="1:3">
      <c r="A1568">
        <v>6291</v>
      </c>
      <c r="B1568" t="s">
        <v>1813</v>
      </c>
      <c r="C1568">
        <v>23.71</v>
      </c>
    </row>
    <row r="1569" spans="1:3">
      <c r="A1569">
        <v>6292</v>
      </c>
      <c r="B1569" t="s">
        <v>1814</v>
      </c>
      <c r="C1569">
        <v>10.15</v>
      </c>
    </row>
    <row r="1570" spans="1:3">
      <c r="A1570">
        <v>6294</v>
      </c>
      <c r="B1570" t="s">
        <v>1815</v>
      </c>
      <c r="C1570">
        <v>11.98</v>
      </c>
    </row>
    <row r="1571" spans="1:3">
      <c r="A1571">
        <v>6411</v>
      </c>
      <c r="B1571" t="s">
        <v>1817</v>
      </c>
      <c r="C1571">
        <v>38.409999999999997</v>
      </c>
    </row>
    <row r="1572" spans="1:3">
      <c r="A1572">
        <v>6417</v>
      </c>
      <c r="B1572" t="s">
        <v>1818</v>
      </c>
      <c r="C1572">
        <v>21.79</v>
      </c>
    </row>
    <row r="1573" spans="1:3">
      <c r="A1573">
        <v>6418</v>
      </c>
      <c r="B1573" t="s">
        <v>1819</v>
      </c>
      <c r="C1573">
        <v>20.170000000000002</v>
      </c>
    </row>
    <row r="1574" spans="1:3">
      <c r="A1574">
        <v>6419</v>
      </c>
      <c r="B1574" t="s">
        <v>1820</v>
      </c>
      <c r="C1574">
        <v>34.299999999999997</v>
      </c>
    </row>
    <row r="1575" spans="1:3">
      <c r="A1575">
        <v>6425</v>
      </c>
      <c r="B1575" t="s">
        <v>1821</v>
      </c>
      <c r="C1575" t="s">
        <v>1259</v>
      </c>
    </row>
    <row r="1576" spans="1:3">
      <c r="A1576">
        <v>6432</v>
      </c>
      <c r="B1576" t="s">
        <v>1822</v>
      </c>
      <c r="C1576">
        <v>29.27</v>
      </c>
    </row>
    <row r="1577" spans="1:3">
      <c r="A1577">
        <v>6435</v>
      </c>
      <c r="B1577" t="s">
        <v>1823</v>
      </c>
      <c r="C1577">
        <v>29.82</v>
      </c>
    </row>
    <row r="1578" spans="1:3">
      <c r="A1578">
        <v>6441</v>
      </c>
      <c r="B1578" t="s">
        <v>1824</v>
      </c>
      <c r="C1578" t="s">
        <v>1259</v>
      </c>
    </row>
    <row r="1579" spans="1:3">
      <c r="A1579">
        <v>6446</v>
      </c>
      <c r="B1579" t="s">
        <v>1825</v>
      </c>
      <c r="C1579" t="s">
        <v>1259</v>
      </c>
    </row>
    <row r="1580" spans="1:3">
      <c r="A1580">
        <v>6457</v>
      </c>
      <c r="B1580" t="s">
        <v>1826</v>
      </c>
      <c r="C1580" t="s">
        <v>1259</v>
      </c>
    </row>
    <row r="1581" spans="1:3">
      <c r="A1581">
        <v>6461</v>
      </c>
      <c r="B1581" t="s">
        <v>1827</v>
      </c>
      <c r="C1581" t="s">
        <v>1259</v>
      </c>
    </row>
    <row r="1582" spans="1:3">
      <c r="A1582">
        <v>6462</v>
      </c>
      <c r="B1582" t="s">
        <v>1828</v>
      </c>
      <c r="C1582" t="s">
        <v>1259</v>
      </c>
    </row>
    <row r="1583" spans="1:3">
      <c r="A1583">
        <v>6465</v>
      </c>
      <c r="B1583" t="s">
        <v>1829</v>
      </c>
      <c r="C1583" t="s">
        <v>1259</v>
      </c>
    </row>
    <row r="1584" spans="1:3">
      <c r="A1584">
        <v>6469</v>
      </c>
      <c r="B1584" t="s">
        <v>1830</v>
      </c>
      <c r="C1584">
        <v>58.94</v>
      </c>
    </row>
    <row r="1585" spans="1:3">
      <c r="A1585">
        <v>6470</v>
      </c>
      <c r="B1585" t="s">
        <v>1831</v>
      </c>
      <c r="C1585">
        <v>13.77</v>
      </c>
    </row>
    <row r="1586" spans="1:3">
      <c r="A1586">
        <v>6482</v>
      </c>
      <c r="B1586" t="s">
        <v>1833</v>
      </c>
      <c r="C1586">
        <v>26.86</v>
      </c>
    </row>
    <row r="1587" spans="1:3">
      <c r="A1587">
        <v>6485</v>
      </c>
      <c r="B1587" t="s">
        <v>1834</v>
      </c>
      <c r="C1587">
        <v>33.92</v>
      </c>
    </row>
    <row r="1588" spans="1:3">
      <c r="A1588">
        <v>6486</v>
      </c>
      <c r="B1588" t="s">
        <v>1835</v>
      </c>
      <c r="C1588">
        <v>13.41</v>
      </c>
    </row>
    <row r="1589" spans="1:3">
      <c r="A1589">
        <v>6488</v>
      </c>
      <c r="B1589" t="s">
        <v>1836</v>
      </c>
      <c r="C1589">
        <v>12.1</v>
      </c>
    </row>
    <row r="1590" spans="1:3">
      <c r="A1590">
        <v>6492</v>
      </c>
      <c r="B1590" t="s">
        <v>1837</v>
      </c>
      <c r="C1590" t="s">
        <v>1259</v>
      </c>
    </row>
    <row r="1591" spans="1:3">
      <c r="A1591">
        <v>6494</v>
      </c>
      <c r="B1591" t="s">
        <v>1838</v>
      </c>
      <c r="C1591">
        <v>90.34</v>
      </c>
    </row>
    <row r="1592" spans="1:3">
      <c r="A1592">
        <v>6496</v>
      </c>
      <c r="B1592" t="s">
        <v>1839</v>
      </c>
      <c r="C1592" t="s">
        <v>1259</v>
      </c>
    </row>
    <row r="1593" spans="1:3">
      <c r="A1593">
        <v>6499</v>
      </c>
      <c r="B1593" t="s">
        <v>1840</v>
      </c>
      <c r="C1593" t="s">
        <v>1259</v>
      </c>
    </row>
    <row r="1594" spans="1:3">
      <c r="A1594">
        <v>6506</v>
      </c>
      <c r="B1594" t="s">
        <v>1841</v>
      </c>
      <c r="C1594" t="s">
        <v>1259</v>
      </c>
    </row>
    <row r="1595" spans="1:3">
      <c r="A1595">
        <v>6508</v>
      </c>
      <c r="B1595" t="s">
        <v>1842</v>
      </c>
      <c r="C1595">
        <v>27.98</v>
      </c>
    </row>
    <row r="1596" spans="1:3">
      <c r="A1596">
        <v>6509</v>
      </c>
      <c r="B1596" t="s">
        <v>1843</v>
      </c>
      <c r="C1596">
        <v>13.96</v>
      </c>
    </row>
    <row r="1597" spans="1:3">
      <c r="A1597">
        <v>6510</v>
      </c>
      <c r="B1597" t="s">
        <v>1844</v>
      </c>
      <c r="C1597">
        <v>95.76</v>
      </c>
    </row>
    <row r="1598" spans="1:3">
      <c r="A1598">
        <v>6512</v>
      </c>
      <c r="B1598" t="s">
        <v>1845</v>
      </c>
      <c r="C1598" t="s">
        <v>1259</v>
      </c>
    </row>
    <row r="1599" spans="1:3">
      <c r="A1599">
        <v>6514</v>
      </c>
      <c r="B1599" t="s">
        <v>1846</v>
      </c>
      <c r="C1599">
        <v>22.47</v>
      </c>
    </row>
    <row r="1600" spans="1:3">
      <c r="A1600">
        <v>6516</v>
      </c>
      <c r="B1600" t="s">
        <v>1847</v>
      </c>
      <c r="C1600">
        <v>61.88</v>
      </c>
    </row>
    <row r="1601" spans="1:3">
      <c r="A1601">
        <v>6517</v>
      </c>
      <c r="B1601" t="s">
        <v>1848</v>
      </c>
      <c r="C1601">
        <v>21.42</v>
      </c>
    </row>
    <row r="1602" spans="1:3">
      <c r="A1602">
        <v>6523</v>
      </c>
      <c r="B1602" t="s">
        <v>1849</v>
      </c>
      <c r="C1602">
        <v>16.829999999999998</v>
      </c>
    </row>
    <row r="1603" spans="1:3">
      <c r="A1603">
        <v>6527</v>
      </c>
      <c r="B1603" t="s">
        <v>1850</v>
      </c>
      <c r="C1603">
        <v>19.14</v>
      </c>
    </row>
    <row r="1604" spans="1:3">
      <c r="A1604">
        <v>6530</v>
      </c>
      <c r="B1604" t="s">
        <v>1851</v>
      </c>
      <c r="C1604">
        <v>30.99</v>
      </c>
    </row>
    <row r="1605" spans="1:3">
      <c r="A1605">
        <v>6532</v>
      </c>
      <c r="B1605" t="s">
        <v>1852</v>
      </c>
      <c r="C1605">
        <v>15.04</v>
      </c>
    </row>
    <row r="1606" spans="1:3">
      <c r="A1606">
        <v>6535</v>
      </c>
      <c r="B1606" t="s">
        <v>1853</v>
      </c>
      <c r="C1606" t="s">
        <v>1259</v>
      </c>
    </row>
    <row r="1607" spans="1:3">
      <c r="A1607">
        <v>6538</v>
      </c>
      <c r="B1607" t="s">
        <v>1854</v>
      </c>
      <c r="C1607">
        <v>22.68</v>
      </c>
    </row>
    <row r="1608" spans="1:3">
      <c r="A1608">
        <v>6542</v>
      </c>
      <c r="B1608" t="s">
        <v>1855</v>
      </c>
      <c r="C1608">
        <v>24.05</v>
      </c>
    </row>
    <row r="1609" spans="1:3">
      <c r="A1609">
        <v>6546</v>
      </c>
      <c r="B1609" t="s">
        <v>1856</v>
      </c>
      <c r="C1609">
        <v>30.53</v>
      </c>
    </row>
    <row r="1610" spans="1:3">
      <c r="A1610">
        <v>6547</v>
      </c>
      <c r="B1610" t="s">
        <v>1857</v>
      </c>
      <c r="C1610" t="s">
        <v>1259</v>
      </c>
    </row>
    <row r="1611" spans="1:3">
      <c r="A1611">
        <v>6548</v>
      </c>
      <c r="B1611" t="s">
        <v>1858</v>
      </c>
      <c r="C1611">
        <v>18.98</v>
      </c>
    </row>
    <row r="1612" spans="1:3">
      <c r="A1612">
        <v>6556</v>
      </c>
      <c r="B1612" t="s">
        <v>1859</v>
      </c>
      <c r="C1612">
        <v>11.03</v>
      </c>
    </row>
    <row r="1613" spans="1:3">
      <c r="A1613">
        <v>6560</v>
      </c>
      <c r="B1613" t="s">
        <v>1860</v>
      </c>
      <c r="C1613" t="s">
        <v>1259</v>
      </c>
    </row>
    <row r="1614" spans="1:3">
      <c r="A1614">
        <v>6561</v>
      </c>
      <c r="B1614" t="s">
        <v>1861</v>
      </c>
      <c r="C1614">
        <v>28.19</v>
      </c>
    </row>
    <row r="1615" spans="1:3">
      <c r="A1615">
        <v>6568</v>
      </c>
      <c r="B1615" t="s">
        <v>1862</v>
      </c>
      <c r="C1615">
        <v>42.31</v>
      </c>
    </row>
    <row r="1616" spans="1:3">
      <c r="A1616">
        <v>6569</v>
      </c>
      <c r="B1616" t="s">
        <v>1863</v>
      </c>
      <c r="C1616">
        <v>21.8</v>
      </c>
    </row>
    <row r="1617" spans="1:3">
      <c r="A1617">
        <v>6570</v>
      </c>
      <c r="B1617" t="s">
        <v>1864</v>
      </c>
      <c r="C1617">
        <v>13.76</v>
      </c>
    </row>
    <row r="1618" spans="1:3">
      <c r="A1618">
        <v>6574</v>
      </c>
      <c r="B1618" t="s">
        <v>1865</v>
      </c>
      <c r="C1618">
        <v>19.88</v>
      </c>
    </row>
    <row r="1619" spans="1:3">
      <c r="A1619">
        <v>6576</v>
      </c>
      <c r="B1619" t="s">
        <v>1866</v>
      </c>
      <c r="C1619" t="s">
        <v>1259</v>
      </c>
    </row>
    <row r="1620" spans="1:3">
      <c r="A1620">
        <v>6577</v>
      </c>
      <c r="B1620" t="s">
        <v>1867</v>
      </c>
      <c r="C1620">
        <v>14.5</v>
      </c>
    </row>
    <row r="1621" spans="1:3">
      <c r="A1621">
        <v>6578</v>
      </c>
      <c r="B1621" t="s">
        <v>1868</v>
      </c>
      <c r="C1621" t="s">
        <v>1259</v>
      </c>
    </row>
    <row r="1622" spans="1:3">
      <c r="A1622">
        <v>6584</v>
      </c>
      <c r="B1622" t="s">
        <v>2104</v>
      </c>
      <c r="C1622" t="s">
        <v>1259</v>
      </c>
    </row>
    <row r="1623" spans="1:3">
      <c r="A1623">
        <v>6588</v>
      </c>
      <c r="B1623" t="s">
        <v>1869</v>
      </c>
      <c r="C1623" t="s">
        <v>1259</v>
      </c>
    </row>
    <row r="1624" spans="1:3">
      <c r="A1624">
        <v>6589</v>
      </c>
      <c r="B1624" t="s">
        <v>1870</v>
      </c>
      <c r="C1624" t="s">
        <v>1259</v>
      </c>
    </row>
    <row r="1625" spans="1:3">
      <c r="A1625">
        <v>6590</v>
      </c>
      <c r="B1625" t="s">
        <v>1871</v>
      </c>
      <c r="C1625">
        <v>14.92</v>
      </c>
    </row>
    <row r="1626" spans="1:3">
      <c r="A1626">
        <v>6593</v>
      </c>
      <c r="B1626" t="s">
        <v>1872</v>
      </c>
      <c r="C1626">
        <v>113.39</v>
      </c>
    </row>
    <row r="1627" spans="1:3">
      <c r="A1627">
        <v>6596</v>
      </c>
      <c r="B1627" t="s">
        <v>1874</v>
      </c>
      <c r="C1627">
        <v>16.29</v>
      </c>
    </row>
    <row r="1628" spans="1:3">
      <c r="A1628">
        <v>6603</v>
      </c>
      <c r="B1628" t="s">
        <v>1875</v>
      </c>
      <c r="C1628">
        <v>68.48</v>
      </c>
    </row>
    <row r="1629" spans="1:3">
      <c r="A1629">
        <v>6609</v>
      </c>
      <c r="B1629" t="s">
        <v>1876</v>
      </c>
      <c r="C1629">
        <v>12.27</v>
      </c>
    </row>
    <row r="1630" spans="1:3">
      <c r="A1630">
        <v>6612</v>
      </c>
      <c r="B1630" t="s">
        <v>1877</v>
      </c>
      <c r="C1630">
        <v>33.78</v>
      </c>
    </row>
    <row r="1631" spans="1:3">
      <c r="A1631">
        <v>6613</v>
      </c>
      <c r="B1631" t="s">
        <v>1878</v>
      </c>
      <c r="C1631">
        <v>10.87</v>
      </c>
    </row>
    <row r="1632" spans="1:3">
      <c r="A1632">
        <v>6615</v>
      </c>
      <c r="B1632" t="s">
        <v>1879</v>
      </c>
      <c r="C1632">
        <v>25.63</v>
      </c>
    </row>
    <row r="1633" spans="1:3">
      <c r="A1633">
        <v>6616</v>
      </c>
      <c r="B1633" t="s">
        <v>1880</v>
      </c>
      <c r="C1633" t="s">
        <v>1259</v>
      </c>
    </row>
    <row r="1634" spans="1:3">
      <c r="A1634">
        <v>6624</v>
      </c>
      <c r="B1634" t="s">
        <v>1881</v>
      </c>
      <c r="C1634">
        <v>24.7</v>
      </c>
    </row>
    <row r="1635" spans="1:3">
      <c r="A1635">
        <v>6629</v>
      </c>
      <c r="B1635" t="s">
        <v>1882</v>
      </c>
      <c r="C1635">
        <v>13.28</v>
      </c>
    </row>
    <row r="1636" spans="1:3">
      <c r="A1636">
        <v>6640</v>
      </c>
      <c r="B1636" t="s">
        <v>1883</v>
      </c>
      <c r="C1636">
        <v>77.010000000000005</v>
      </c>
    </row>
    <row r="1637" spans="1:3">
      <c r="A1637">
        <v>6642</v>
      </c>
      <c r="B1637" t="s">
        <v>1884</v>
      </c>
      <c r="C1637">
        <v>29.68</v>
      </c>
    </row>
    <row r="1638" spans="1:3">
      <c r="A1638">
        <v>6643</v>
      </c>
      <c r="B1638" t="s">
        <v>1885</v>
      </c>
      <c r="C1638">
        <v>77.319999999999993</v>
      </c>
    </row>
    <row r="1639" spans="1:3">
      <c r="A1639">
        <v>6649</v>
      </c>
      <c r="B1639" t="s">
        <v>1886</v>
      </c>
      <c r="C1639">
        <v>100.97</v>
      </c>
    </row>
    <row r="1640" spans="1:3">
      <c r="A1640">
        <v>6651</v>
      </c>
      <c r="B1640" t="s">
        <v>1887</v>
      </c>
      <c r="C1640">
        <v>11.6</v>
      </c>
    </row>
    <row r="1641" spans="1:3">
      <c r="A1641">
        <v>6654</v>
      </c>
      <c r="B1641" t="s">
        <v>1888</v>
      </c>
      <c r="C1641" t="s">
        <v>1259</v>
      </c>
    </row>
    <row r="1642" spans="1:3">
      <c r="A1642">
        <v>6661</v>
      </c>
      <c r="B1642" t="s">
        <v>1889</v>
      </c>
      <c r="C1642" t="s">
        <v>1259</v>
      </c>
    </row>
    <row r="1643" spans="1:3">
      <c r="A1643">
        <v>6662</v>
      </c>
      <c r="B1643" t="s">
        <v>1890</v>
      </c>
      <c r="C1643">
        <v>19.079999999999998</v>
      </c>
    </row>
    <row r="1644" spans="1:3">
      <c r="A1644">
        <v>6664</v>
      </c>
      <c r="B1644" t="s">
        <v>1891</v>
      </c>
      <c r="C1644">
        <v>11.78</v>
      </c>
    </row>
    <row r="1645" spans="1:3">
      <c r="A1645">
        <v>6667</v>
      </c>
      <c r="B1645" t="s">
        <v>1892</v>
      </c>
      <c r="C1645">
        <v>16.96</v>
      </c>
    </row>
    <row r="1646" spans="1:3">
      <c r="A1646">
        <v>6679</v>
      </c>
      <c r="B1646" t="s">
        <v>1893</v>
      </c>
      <c r="C1646">
        <v>71.650000000000006</v>
      </c>
    </row>
    <row r="1647" spans="1:3">
      <c r="A1647">
        <v>6680</v>
      </c>
      <c r="B1647" t="s">
        <v>1894</v>
      </c>
      <c r="C1647">
        <v>22.91</v>
      </c>
    </row>
    <row r="1648" spans="1:3">
      <c r="A1648">
        <v>6683</v>
      </c>
      <c r="B1648" t="s">
        <v>1895</v>
      </c>
      <c r="C1648">
        <v>23.83</v>
      </c>
    </row>
    <row r="1649" spans="1:3">
      <c r="A1649">
        <v>6684</v>
      </c>
      <c r="B1649" t="s">
        <v>1896</v>
      </c>
      <c r="C1649" t="s">
        <v>1259</v>
      </c>
    </row>
    <row r="1650" spans="1:3">
      <c r="A1650">
        <v>6690</v>
      </c>
      <c r="B1650" t="s">
        <v>1897</v>
      </c>
      <c r="C1650">
        <v>23.28</v>
      </c>
    </row>
    <row r="1651" spans="1:3">
      <c r="A1651">
        <v>6693</v>
      </c>
      <c r="B1651" t="s">
        <v>1898</v>
      </c>
      <c r="C1651" t="s">
        <v>1259</v>
      </c>
    </row>
    <row r="1652" spans="1:3">
      <c r="A1652">
        <v>6697</v>
      </c>
      <c r="B1652" t="s">
        <v>1899</v>
      </c>
      <c r="C1652">
        <v>24.05</v>
      </c>
    </row>
    <row r="1653" spans="1:3">
      <c r="A1653">
        <v>6703</v>
      </c>
      <c r="B1653" t="s">
        <v>1900</v>
      </c>
      <c r="C1653">
        <v>22.03</v>
      </c>
    </row>
    <row r="1654" spans="1:3">
      <c r="A1654">
        <v>6708</v>
      </c>
      <c r="B1654" t="s">
        <v>1901</v>
      </c>
      <c r="C1654" t="s">
        <v>1259</v>
      </c>
    </row>
    <row r="1655" spans="1:3">
      <c r="A1655">
        <v>6712</v>
      </c>
      <c r="B1655" t="s">
        <v>1902</v>
      </c>
      <c r="C1655">
        <v>25.72</v>
      </c>
    </row>
    <row r="1656" spans="1:3">
      <c r="A1656">
        <v>6716</v>
      </c>
      <c r="B1656" t="s">
        <v>1903</v>
      </c>
      <c r="C1656">
        <v>125.24</v>
      </c>
    </row>
    <row r="1657" spans="1:3">
      <c r="A1657">
        <v>6721</v>
      </c>
      <c r="B1657" t="s">
        <v>1904</v>
      </c>
      <c r="C1657">
        <v>14.04</v>
      </c>
    </row>
    <row r="1658" spans="1:3">
      <c r="A1658">
        <v>6727</v>
      </c>
      <c r="B1658" t="s">
        <v>1905</v>
      </c>
      <c r="C1658">
        <v>15.85</v>
      </c>
    </row>
    <row r="1659" spans="1:3">
      <c r="A1659">
        <v>6728</v>
      </c>
      <c r="B1659" t="s">
        <v>1906</v>
      </c>
      <c r="C1659">
        <v>15.35</v>
      </c>
    </row>
    <row r="1660" spans="1:3">
      <c r="A1660">
        <v>6732</v>
      </c>
      <c r="B1660" t="s">
        <v>1907</v>
      </c>
      <c r="C1660">
        <v>36.64</v>
      </c>
    </row>
    <row r="1661" spans="1:3">
      <c r="A1661">
        <v>6733</v>
      </c>
      <c r="B1661" t="s">
        <v>1908</v>
      </c>
      <c r="C1661" t="s">
        <v>1259</v>
      </c>
    </row>
    <row r="1662" spans="1:3">
      <c r="A1662">
        <v>6735</v>
      </c>
      <c r="B1662" t="s">
        <v>1909</v>
      </c>
      <c r="C1662" t="s">
        <v>1259</v>
      </c>
    </row>
    <row r="1663" spans="1:3">
      <c r="A1663">
        <v>6741</v>
      </c>
      <c r="B1663" t="s">
        <v>1910</v>
      </c>
      <c r="C1663">
        <v>30.43</v>
      </c>
    </row>
    <row r="1664" spans="1:3">
      <c r="A1664">
        <v>6747</v>
      </c>
      <c r="B1664" t="s">
        <v>1911</v>
      </c>
      <c r="C1664">
        <v>23.19</v>
      </c>
    </row>
    <row r="1665" spans="1:3">
      <c r="A1665">
        <v>6751</v>
      </c>
      <c r="B1665" t="s">
        <v>1912</v>
      </c>
      <c r="C1665">
        <v>22.2</v>
      </c>
    </row>
    <row r="1666" spans="1:3">
      <c r="A1666">
        <v>6752</v>
      </c>
      <c r="B1666" t="s">
        <v>1913</v>
      </c>
      <c r="C1666">
        <v>24.55</v>
      </c>
    </row>
    <row r="1667" spans="1:3">
      <c r="A1667">
        <v>6761</v>
      </c>
      <c r="B1667" t="s">
        <v>1914</v>
      </c>
      <c r="C1667">
        <v>16.34</v>
      </c>
    </row>
    <row r="1668" spans="1:3">
      <c r="A1668">
        <v>6762</v>
      </c>
      <c r="B1668" t="s">
        <v>1915</v>
      </c>
      <c r="C1668">
        <v>55.46</v>
      </c>
    </row>
    <row r="1669" spans="1:3">
      <c r="A1669">
        <v>6763</v>
      </c>
      <c r="B1669" t="s">
        <v>1916</v>
      </c>
      <c r="C1669">
        <v>21.24</v>
      </c>
    </row>
    <row r="1670" spans="1:3">
      <c r="A1670">
        <v>6767</v>
      </c>
      <c r="B1670" t="s">
        <v>1917</v>
      </c>
      <c r="C1670">
        <v>300.42</v>
      </c>
    </row>
    <row r="1671" spans="1:3">
      <c r="A1671">
        <v>6788</v>
      </c>
      <c r="B1671" t="s">
        <v>1918</v>
      </c>
      <c r="C1671">
        <v>13.61</v>
      </c>
    </row>
    <row r="1672" spans="1:3">
      <c r="A1672">
        <v>6791</v>
      </c>
      <c r="B1672" t="s">
        <v>1919</v>
      </c>
      <c r="C1672">
        <v>21.53</v>
      </c>
    </row>
    <row r="1673" spans="1:3">
      <c r="A1673">
        <v>6803</v>
      </c>
      <c r="B1673" t="s">
        <v>1920</v>
      </c>
      <c r="C1673">
        <v>18.41</v>
      </c>
    </row>
    <row r="1674" spans="1:3">
      <c r="A1674">
        <v>6804</v>
      </c>
      <c r="B1674" t="s">
        <v>1921</v>
      </c>
      <c r="C1674">
        <v>11.54</v>
      </c>
    </row>
    <row r="1675" spans="1:3">
      <c r="A1675">
        <v>6811</v>
      </c>
      <c r="B1675" t="s">
        <v>1922</v>
      </c>
      <c r="C1675">
        <v>24.87</v>
      </c>
    </row>
    <row r="1676" spans="1:3">
      <c r="A1676">
        <v>6821</v>
      </c>
      <c r="B1676" t="s">
        <v>2105</v>
      </c>
      <c r="C1676">
        <v>25.82</v>
      </c>
    </row>
    <row r="1677" spans="1:3">
      <c r="A1677">
        <v>6823</v>
      </c>
      <c r="B1677" t="s">
        <v>1923</v>
      </c>
      <c r="C1677" t="s">
        <v>1259</v>
      </c>
    </row>
    <row r="1678" spans="1:3">
      <c r="A1678">
        <v>6829</v>
      </c>
      <c r="B1678" t="s">
        <v>1924</v>
      </c>
      <c r="C1678">
        <v>29.25</v>
      </c>
    </row>
    <row r="1679" spans="1:3">
      <c r="A1679">
        <v>6840</v>
      </c>
      <c r="B1679" t="s">
        <v>2068</v>
      </c>
      <c r="C1679" t="s">
        <v>1259</v>
      </c>
    </row>
    <row r="1680" spans="1:3">
      <c r="A1680">
        <v>6841</v>
      </c>
      <c r="B1680" t="s">
        <v>2106</v>
      </c>
      <c r="C1680">
        <v>69.42</v>
      </c>
    </row>
    <row r="1681" spans="1:3">
      <c r="A1681">
        <v>6843</v>
      </c>
      <c r="B1681" t="s">
        <v>1925</v>
      </c>
      <c r="C1681">
        <v>15.15</v>
      </c>
    </row>
    <row r="1682" spans="1:3">
      <c r="A1682">
        <v>6846</v>
      </c>
      <c r="B1682" t="s">
        <v>2107</v>
      </c>
      <c r="C1682">
        <v>16.559999999999999</v>
      </c>
    </row>
    <row r="1683" spans="1:3">
      <c r="A1683">
        <v>6855</v>
      </c>
      <c r="B1683" t="s">
        <v>1926</v>
      </c>
      <c r="C1683">
        <v>15.56</v>
      </c>
    </row>
    <row r="1684" spans="1:3">
      <c r="A1684">
        <v>6856</v>
      </c>
      <c r="B1684" t="s">
        <v>2108</v>
      </c>
      <c r="C1684">
        <v>13.93</v>
      </c>
    </row>
    <row r="1685" spans="1:3">
      <c r="A1685">
        <v>6859</v>
      </c>
      <c r="B1685" t="s">
        <v>1927</v>
      </c>
      <c r="C1685">
        <v>29.21</v>
      </c>
    </row>
    <row r="1686" spans="1:3">
      <c r="A1686">
        <v>6865</v>
      </c>
      <c r="B1686" t="s">
        <v>2109</v>
      </c>
      <c r="C1686">
        <v>24.34</v>
      </c>
    </row>
    <row r="1687" spans="1:3">
      <c r="A1687">
        <v>6870</v>
      </c>
      <c r="B1687" t="s">
        <v>2070</v>
      </c>
      <c r="C1687">
        <v>47.22</v>
      </c>
    </row>
    <row r="1688" spans="1:3">
      <c r="A1688">
        <v>6874</v>
      </c>
      <c r="B1688" t="s">
        <v>1928</v>
      </c>
      <c r="C1688">
        <v>25.9</v>
      </c>
    </row>
    <row r="1689" spans="1:3">
      <c r="A1689">
        <v>6877</v>
      </c>
      <c r="B1689" t="s">
        <v>2110</v>
      </c>
      <c r="C1689">
        <v>65</v>
      </c>
    </row>
    <row r="1690" spans="1:3">
      <c r="A1690">
        <v>6894</v>
      </c>
      <c r="B1690" t="s">
        <v>2111</v>
      </c>
      <c r="C1690">
        <v>21.07</v>
      </c>
    </row>
    <row r="1691" spans="1:3">
      <c r="A1691">
        <v>6895</v>
      </c>
      <c r="B1691" t="s">
        <v>2112</v>
      </c>
      <c r="C1691">
        <v>37.799999999999997</v>
      </c>
    </row>
    <row r="1692" spans="1:3">
      <c r="A1692">
        <v>6904</v>
      </c>
      <c r="B1692" t="s">
        <v>2113</v>
      </c>
      <c r="C1692">
        <v>14.88</v>
      </c>
    </row>
    <row r="1693" spans="1:3">
      <c r="A1693">
        <v>6922</v>
      </c>
      <c r="B1693" t="s">
        <v>2114</v>
      </c>
      <c r="C1693">
        <v>21.33</v>
      </c>
    </row>
    <row r="1694" spans="1:3">
      <c r="A1694">
        <v>7402</v>
      </c>
      <c r="B1694" t="s">
        <v>1929</v>
      </c>
      <c r="C1694">
        <v>64.66</v>
      </c>
    </row>
    <row r="1695" spans="1:3">
      <c r="A1695">
        <v>7556</v>
      </c>
      <c r="B1695" t="s">
        <v>1930</v>
      </c>
      <c r="C1695">
        <v>21.92</v>
      </c>
    </row>
    <row r="1696" spans="1:3">
      <c r="A1696">
        <v>8024</v>
      </c>
      <c r="B1696" t="s">
        <v>1931</v>
      </c>
      <c r="C1696" t="s">
        <v>1259</v>
      </c>
    </row>
    <row r="1697" spans="1:3">
      <c r="A1697">
        <v>8027</v>
      </c>
      <c r="B1697" t="s">
        <v>1932</v>
      </c>
      <c r="C1697">
        <v>159.27000000000001</v>
      </c>
    </row>
    <row r="1698" spans="1:3">
      <c r="A1698">
        <v>8032</v>
      </c>
      <c r="B1698" t="s">
        <v>1933</v>
      </c>
      <c r="C1698">
        <v>22.03</v>
      </c>
    </row>
    <row r="1699" spans="1:3">
      <c r="A1699">
        <v>8034</v>
      </c>
      <c r="B1699" t="s">
        <v>1934</v>
      </c>
      <c r="C1699">
        <v>25.15</v>
      </c>
    </row>
    <row r="1700" spans="1:3">
      <c r="A1700">
        <v>8038</v>
      </c>
      <c r="B1700" t="s">
        <v>1935</v>
      </c>
      <c r="C1700">
        <v>123.17</v>
      </c>
    </row>
    <row r="1701" spans="1:3">
      <c r="A1701">
        <v>8040</v>
      </c>
      <c r="B1701" t="s">
        <v>1936</v>
      </c>
      <c r="C1701">
        <v>345.71</v>
      </c>
    </row>
    <row r="1702" spans="1:3">
      <c r="A1702">
        <v>8042</v>
      </c>
      <c r="B1702" t="s">
        <v>1937</v>
      </c>
      <c r="C1702">
        <v>392</v>
      </c>
    </row>
    <row r="1703" spans="1:3">
      <c r="A1703">
        <v>8043</v>
      </c>
      <c r="B1703" t="s">
        <v>1938</v>
      </c>
      <c r="C1703">
        <v>215.77</v>
      </c>
    </row>
    <row r="1704" spans="1:3">
      <c r="A1704">
        <v>8044</v>
      </c>
      <c r="B1704" t="s">
        <v>1939</v>
      </c>
      <c r="C1704" t="s">
        <v>1259</v>
      </c>
    </row>
    <row r="1705" spans="1:3">
      <c r="A1705">
        <v>8047</v>
      </c>
      <c r="B1705" t="s">
        <v>1940</v>
      </c>
      <c r="C1705" t="s">
        <v>1259</v>
      </c>
    </row>
    <row r="1706" spans="1:3">
      <c r="A1706">
        <v>8048</v>
      </c>
      <c r="B1706" t="s">
        <v>1941</v>
      </c>
      <c r="C1706">
        <v>16.420000000000002</v>
      </c>
    </row>
    <row r="1707" spans="1:3">
      <c r="A1707">
        <v>8049</v>
      </c>
      <c r="B1707" t="s">
        <v>1942</v>
      </c>
      <c r="C1707">
        <v>10.09</v>
      </c>
    </row>
    <row r="1708" spans="1:3">
      <c r="A1708">
        <v>8050</v>
      </c>
      <c r="B1708" t="s">
        <v>1943</v>
      </c>
      <c r="C1708">
        <v>15.31</v>
      </c>
    </row>
    <row r="1709" spans="1:3">
      <c r="A1709">
        <v>8054</v>
      </c>
      <c r="B1709" t="s">
        <v>1944</v>
      </c>
      <c r="C1709" t="s">
        <v>1259</v>
      </c>
    </row>
    <row r="1710" spans="1:3">
      <c r="A1710">
        <v>8059</v>
      </c>
      <c r="B1710" t="s">
        <v>1945</v>
      </c>
      <c r="C1710">
        <v>66.760000000000005</v>
      </c>
    </row>
    <row r="1711" spans="1:3">
      <c r="A1711">
        <v>8064</v>
      </c>
      <c r="B1711" t="s">
        <v>1946</v>
      </c>
      <c r="C1711">
        <v>15.91</v>
      </c>
    </row>
    <row r="1712" spans="1:3">
      <c r="A1712">
        <v>8066</v>
      </c>
      <c r="B1712" t="s">
        <v>1947</v>
      </c>
      <c r="C1712">
        <v>80</v>
      </c>
    </row>
    <row r="1713" spans="1:3">
      <c r="A1713">
        <v>8067</v>
      </c>
      <c r="B1713" t="s">
        <v>1948</v>
      </c>
      <c r="C1713" t="s">
        <v>1259</v>
      </c>
    </row>
    <row r="1714" spans="1:3">
      <c r="A1714">
        <v>8068</v>
      </c>
      <c r="B1714" t="s">
        <v>1949</v>
      </c>
      <c r="C1714" t="s">
        <v>1259</v>
      </c>
    </row>
    <row r="1715" spans="1:3">
      <c r="A1715">
        <v>8069</v>
      </c>
      <c r="B1715" t="s">
        <v>1950</v>
      </c>
      <c r="C1715">
        <v>26.69</v>
      </c>
    </row>
    <row r="1716" spans="1:3">
      <c r="A1716">
        <v>8071</v>
      </c>
      <c r="B1716" t="s">
        <v>1951</v>
      </c>
      <c r="C1716" t="s">
        <v>1259</v>
      </c>
    </row>
    <row r="1717" spans="1:3">
      <c r="A1717">
        <v>8074</v>
      </c>
      <c r="B1717" t="s">
        <v>1952</v>
      </c>
      <c r="C1717">
        <v>5.81</v>
      </c>
    </row>
    <row r="1718" spans="1:3">
      <c r="A1718">
        <v>8076</v>
      </c>
      <c r="B1718" t="s">
        <v>1953</v>
      </c>
      <c r="C1718">
        <v>32.090000000000003</v>
      </c>
    </row>
    <row r="1719" spans="1:3">
      <c r="A1719">
        <v>8077</v>
      </c>
      <c r="B1719" t="s">
        <v>1954</v>
      </c>
      <c r="C1719" t="s">
        <v>1259</v>
      </c>
    </row>
    <row r="1720" spans="1:3">
      <c r="A1720">
        <v>8083</v>
      </c>
      <c r="B1720" t="s">
        <v>1956</v>
      </c>
      <c r="C1720">
        <v>24.25</v>
      </c>
    </row>
    <row r="1721" spans="1:3">
      <c r="A1721">
        <v>8084</v>
      </c>
      <c r="B1721" t="s">
        <v>1957</v>
      </c>
      <c r="C1721">
        <v>2886.67</v>
      </c>
    </row>
    <row r="1722" spans="1:3">
      <c r="A1722">
        <v>8085</v>
      </c>
      <c r="B1722" t="s">
        <v>1958</v>
      </c>
      <c r="C1722">
        <v>388.46</v>
      </c>
    </row>
    <row r="1723" spans="1:3">
      <c r="A1723">
        <v>8086</v>
      </c>
      <c r="B1723" t="s">
        <v>1959</v>
      </c>
      <c r="C1723" t="s">
        <v>1259</v>
      </c>
    </row>
    <row r="1724" spans="1:3">
      <c r="A1724">
        <v>8087</v>
      </c>
      <c r="B1724" t="s">
        <v>1960</v>
      </c>
      <c r="C1724">
        <v>10.96</v>
      </c>
    </row>
    <row r="1725" spans="1:3">
      <c r="A1725">
        <v>8088</v>
      </c>
      <c r="B1725" t="s">
        <v>1961</v>
      </c>
      <c r="C1725">
        <v>14.89</v>
      </c>
    </row>
    <row r="1726" spans="1:3">
      <c r="A1726">
        <v>8089</v>
      </c>
      <c r="B1726" t="s">
        <v>1962</v>
      </c>
      <c r="C1726" t="s">
        <v>1259</v>
      </c>
    </row>
    <row r="1727" spans="1:3">
      <c r="A1727">
        <v>8091</v>
      </c>
      <c r="B1727" t="s">
        <v>1963</v>
      </c>
      <c r="C1727">
        <v>14.49</v>
      </c>
    </row>
    <row r="1728" spans="1:3">
      <c r="A1728">
        <v>8092</v>
      </c>
      <c r="B1728" t="s">
        <v>1964</v>
      </c>
      <c r="C1728">
        <v>145</v>
      </c>
    </row>
    <row r="1729" spans="1:3">
      <c r="A1729">
        <v>8093</v>
      </c>
      <c r="B1729" t="s">
        <v>1965</v>
      </c>
      <c r="C1729" t="s">
        <v>1259</v>
      </c>
    </row>
    <row r="1730" spans="1:3">
      <c r="A1730">
        <v>8096</v>
      </c>
      <c r="B1730" t="s">
        <v>1966</v>
      </c>
      <c r="C1730" t="s">
        <v>1259</v>
      </c>
    </row>
    <row r="1731" spans="1:3">
      <c r="A1731">
        <v>8097</v>
      </c>
      <c r="B1731" t="s">
        <v>1967</v>
      </c>
      <c r="C1731">
        <v>390</v>
      </c>
    </row>
    <row r="1732" spans="1:3">
      <c r="A1732">
        <v>8099</v>
      </c>
      <c r="B1732" t="s">
        <v>1968</v>
      </c>
      <c r="C1732">
        <v>24.22</v>
      </c>
    </row>
    <row r="1733" spans="1:3">
      <c r="A1733">
        <v>8107</v>
      </c>
      <c r="B1733" t="s">
        <v>1969</v>
      </c>
      <c r="C1733" t="s">
        <v>1259</v>
      </c>
    </row>
    <row r="1734" spans="1:3">
      <c r="A1734">
        <v>8109</v>
      </c>
      <c r="B1734" t="s">
        <v>1970</v>
      </c>
      <c r="C1734">
        <v>12.16</v>
      </c>
    </row>
    <row r="1735" spans="1:3">
      <c r="A1735">
        <v>8111</v>
      </c>
      <c r="B1735" t="s">
        <v>1971</v>
      </c>
      <c r="C1735">
        <v>31.9</v>
      </c>
    </row>
    <row r="1736" spans="1:3">
      <c r="A1736">
        <v>8121</v>
      </c>
      <c r="B1736" t="s">
        <v>1972</v>
      </c>
      <c r="C1736" t="s">
        <v>1259</v>
      </c>
    </row>
    <row r="1737" spans="1:3">
      <c r="A1737">
        <v>8147</v>
      </c>
      <c r="B1737" t="s">
        <v>1973</v>
      </c>
      <c r="C1737">
        <v>27.23</v>
      </c>
    </row>
    <row r="1738" spans="1:3">
      <c r="A1738">
        <v>8155</v>
      </c>
      <c r="B1738" t="s">
        <v>1974</v>
      </c>
      <c r="C1738">
        <v>39.04</v>
      </c>
    </row>
    <row r="1739" spans="1:3">
      <c r="A1739">
        <v>8171</v>
      </c>
      <c r="B1739" t="s">
        <v>1975</v>
      </c>
      <c r="C1739">
        <v>191.82</v>
      </c>
    </row>
    <row r="1740" spans="1:3">
      <c r="A1740">
        <v>8176</v>
      </c>
      <c r="B1740" t="s">
        <v>1976</v>
      </c>
      <c r="C1740" t="s">
        <v>1259</v>
      </c>
    </row>
    <row r="1741" spans="1:3">
      <c r="A1741">
        <v>8182</v>
      </c>
      <c r="B1741" t="s">
        <v>1977</v>
      </c>
      <c r="C1741">
        <v>113.28</v>
      </c>
    </row>
    <row r="1742" spans="1:3">
      <c r="A1742">
        <v>8183</v>
      </c>
      <c r="B1742" t="s">
        <v>1978</v>
      </c>
      <c r="C1742">
        <v>11.71</v>
      </c>
    </row>
    <row r="1743" spans="1:3">
      <c r="A1743">
        <v>8227</v>
      </c>
      <c r="B1743" t="s">
        <v>1979</v>
      </c>
      <c r="C1743">
        <v>86.73</v>
      </c>
    </row>
    <row r="1744" spans="1:3">
      <c r="A1744">
        <v>8234</v>
      </c>
      <c r="B1744" t="s">
        <v>1980</v>
      </c>
      <c r="C1744">
        <v>23.67</v>
      </c>
    </row>
    <row r="1745" spans="1:3">
      <c r="A1745">
        <v>8240</v>
      </c>
      <c r="B1745" t="s">
        <v>1981</v>
      </c>
      <c r="C1745">
        <v>17.170000000000002</v>
      </c>
    </row>
    <row r="1746" spans="1:3">
      <c r="A1746">
        <v>8255</v>
      </c>
      <c r="B1746" t="s">
        <v>1982</v>
      </c>
      <c r="C1746">
        <v>24.7</v>
      </c>
    </row>
    <row r="1747" spans="1:3">
      <c r="A1747">
        <v>8277</v>
      </c>
      <c r="B1747" t="s">
        <v>1983</v>
      </c>
      <c r="C1747" t="s">
        <v>1259</v>
      </c>
    </row>
    <row r="1748" spans="1:3">
      <c r="A1748">
        <v>8279</v>
      </c>
      <c r="B1748" t="s">
        <v>1984</v>
      </c>
      <c r="C1748">
        <v>14.38</v>
      </c>
    </row>
    <row r="1749" spans="1:3">
      <c r="A1749">
        <v>8284</v>
      </c>
      <c r="B1749" t="s">
        <v>1985</v>
      </c>
      <c r="C1749">
        <v>13.94</v>
      </c>
    </row>
    <row r="1750" spans="1:3">
      <c r="A1750">
        <v>8289</v>
      </c>
      <c r="B1750" t="s">
        <v>1986</v>
      </c>
      <c r="C1750">
        <v>15.98</v>
      </c>
    </row>
    <row r="1751" spans="1:3">
      <c r="A1751">
        <v>8291</v>
      </c>
      <c r="B1751" t="s">
        <v>1987</v>
      </c>
      <c r="C1751" t="s">
        <v>1259</v>
      </c>
    </row>
    <row r="1752" spans="1:3">
      <c r="A1752">
        <v>8299</v>
      </c>
      <c r="B1752" t="s">
        <v>1988</v>
      </c>
      <c r="C1752">
        <v>59.56</v>
      </c>
    </row>
    <row r="1753" spans="1:3">
      <c r="A1753">
        <v>8342</v>
      </c>
      <c r="B1753" t="s">
        <v>1989</v>
      </c>
      <c r="C1753">
        <v>16.52</v>
      </c>
    </row>
    <row r="1754" spans="1:3">
      <c r="A1754">
        <v>8349</v>
      </c>
      <c r="B1754" t="s">
        <v>1990</v>
      </c>
      <c r="C1754">
        <v>22.92</v>
      </c>
    </row>
    <row r="1755" spans="1:3">
      <c r="A1755">
        <v>8354</v>
      </c>
      <c r="B1755" t="s">
        <v>1991</v>
      </c>
      <c r="C1755">
        <v>31.04</v>
      </c>
    </row>
    <row r="1756" spans="1:3">
      <c r="A1756">
        <v>8358</v>
      </c>
      <c r="B1756" t="s">
        <v>1992</v>
      </c>
      <c r="C1756">
        <v>29.56</v>
      </c>
    </row>
    <row r="1757" spans="1:3">
      <c r="A1757">
        <v>8383</v>
      </c>
      <c r="B1757" t="s">
        <v>1993</v>
      </c>
      <c r="C1757">
        <v>36.29</v>
      </c>
    </row>
    <row r="1758" spans="1:3">
      <c r="A1758">
        <v>8390</v>
      </c>
      <c r="B1758" t="s">
        <v>1994</v>
      </c>
      <c r="C1758">
        <v>9.36</v>
      </c>
    </row>
    <row r="1759" spans="1:3">
      <c r="A1759">
        <v>8401</v>
      </c>
      <c r="B1759" t="s">
        <v>1995</v>
      </c>
      <c r="C1759">
        <v>12.84</v>
      </c>
    </row>
    <row r="1760" spans="1:3">
      <c r="A1760">
        <v>8403</v>
      </c>
      <c r="B1760" t="s">
        <v>1996</v>
      </c>
      <c r="C1760">
        <v>96.76</v>
      </c>
    </row>
    <row r="1761" spans="1:3">
      <c r="A1761">
        <v>8409</v>
      </c>
      <c r="B1761" t="s">
        <v>1997</v>
      </c>
      <c r="C1761" t="s">
        <v>1259</v>
      </c>
    </row>
    <row r="1762" spans="1:3">
      <c r="A1762">
        <v>8410</v>
      </c>
      <c r="B1762" t="s">
        <v>1998</v>
      </c>
      <c r="C1762">
        <v>15.91</v>
      </c>
    </row>
    <row r="1763" spans="1:3">
      <c r="A1763">
        <v>8415</v>
      </c>
      <c r="B1763" t="s">
        <v>1999</v>
      </c>
      <c r="C1763">
        <v>10.86</v>
      </c>
    </row>
    <row r="1764" spans="1:3">
      <c r="A1764">
        <v>8416</v>
      </c>
      <c r="B1764" t="s">
        <v>2000</v>
      </c>
      <c r="C1764">
        <v>13.25</v>
      </c>
    </row>
    <row r="1765" spans="1:3">
      <c r="A1765">
        <v>8418</v>
      </c>
      <c r="B1765" t="s">
        <v>2001</v>
      </c>
      <c r="C1765" t="s">
        <v>1259</v>
      </c>
    </row>
    <row r="1766" spans="1:3">
      <c r="A1766">
        <v>8420</v>
      </c>
      <c r="B1766" t="s">
        <v>2002</v>
      </c>
      <c r="C1766" t="s">
        <v>1259</v>
      </c>
    </row>
    <row r="1767" spans="1:3">
      <c r="A1767">
        <v>8421</v>
      </c>
      <c r="B1767" t="s">
        <v>2003</v>
      </c>
      <c r="C1767" t="s">
        <v>1259</v>
      </c>
    </row>
    <row r="1768" spans="1:3">
      <c r="A1768">
        <v>8423</v>
      </c>
      <c r="B1768" t="s">
        <v>2004</v>
      </c>
      <c r="C1768">
        <v>21.05</v>
      </c>
    </row>
    <row r="1769" spans="1:3">
      <c r="A1769">
        <v>8424</v>
      </c>
      <c r="B1769" t="s">
        <v>2005</v>
      </c>
      <c r="C1769">
        <v>15.23</v>
      </c>
    </row>
    <row r="1770" spans="1:3">
      <c r="A1770">
        <v>8426</v>
      </c>
      <c r="B1770" t="s">
        <v>2006</v>
      </c>
      <c r="C1770">
        <v>15.64</v>
      </c>
    </row>
    <row r="1771" spans="1:3">
      <c r="A1771">
        <v>8431</v>
      </c>
      <c r="B1771" t="s">
        <v>2007</v>
      </c>
      <c r="C1771">
        <v>264.76</v>
      </c>
    </row>
    <row r="1772" spans="1:3">
      <c r="A1772">
        <v>8432</v>
      </c>
      <c r="B1772" t="s">
        <v>2008</v>
      </c>
      <c r="C1772">
        <v>35.93</v>
      </c>
    </row>
    <row r="1773" spans="1:3">
      <c r="A1773">
        <v>8433</v>
      </c>
      <c r="B1773" t="s">
        <v>2009</v>
      </c>
      <c r="C1773">
        <v>10.72</v>
      </c>
    </row>
    <row r="1774" spans="1:3">
      <c r="A1774">
        <v>8435</v>
      </c>
      <c r="B1774" t="s">
        <v>2010</v>
      </c>
      <c r="C1774">
        <v>14.26</v>
      </c>
    </row>
    <row r="1775" spans="1:3">
      <c r="A1775">
        <v>8436</v>
      </c>
      <c r="B1775" t="s">
        <v>2011</v>
      </c>
      <c r="C1775">
        <v>20.41</v>
      </c>
    </row>
    <row r="1776" spans="1:3">
      <c r="A1776">
        <v>8437</v>
      </c>
      <c r="B1776" t="s">
        <v>2012</v>
      </c>
      <c r="C1776">
        <v>30.85</v>
      </c>
    </row>
    <row r="1777" spans="1:3">
      <c r="A1777">
        <v>8440</v>
      </c>
      <c r="B1777" t="s">
        <v>2013</v>
      </c>
      <c r="C1777">
        <v>21.66</v>
      </c>
    </row>
    <row r="1778" spans="1:3">
      <c r="A1778">
        <v>8444</v>
      </c>
      <c r="B1778" t="s">
        <v>2014</v>
      </c>
      <c r="C1778" t="s">
        <v>1259</v>
      </c>
    </row>
    <row r="1779" spans="1:3">
      <c r="A1779">
        <v>8446</v>
      </c>
      <c r="B1779" t="s">
        <v>2015</v>
      </c>
      <c r="C1779">
        <v>12.56</v>
      </c>
    </row>
    <row r="1780" spans="1:3">
      <c r="A1780">
        <v>8450</v>
      </c>
      <c r="B1780" t="s">
        <v>2016</v>
      </c>
      <c r="C1780" t="s">
        <v>1259</v>
      </c>
    </row>
    <row r="1781" spans="1:3">
      <c r="A1781">
        <v>8455</v>
      </c>
      <c r="B1781" t="s">
        <v>2017</v>
      </c>
      <c r="C1781" t="s">
        <v>1259</v>
      </c>
    </row>
    <row r="1782" spans="1:3">
      <c r="A1782">
        <v>8472</v>
      </c>
      <c r="B1782" t="s">
        <v>2018</v>
      </c>
      <c r="C1782" t="s">
        <v>1259</v>
      </c>
    </row>
    <row r="1783" spans="1:3">
      <c r="A1783">
        <v>8477</v>
      </c>
      <c r="B1783" t="s">
        <v>2020</v>
      </c>
      <c r="C1783" t="s">
        <v>1259</v>
      </c>
    </row>
    <row r="1784" spans="1:3">
      <c r="A1784">
        <v>8489</v>
      </c>
      <c r="B1784" t="s">
        <v>2021</v>
      </c>
      <c r="C1784" t="s">
        <v>1259</v>
      </c>
    </row>
    <row r="1785" spans="1:3">
      <c r="A1785">
        <v>8905</v>
      </c>
      <c r="B1785" t="s">
        <v>2022</v>
      </c>
      <c r="C1785">
        <v>12.77</v>
      </c>
    </row>
    <row r="1786" spans="1:3">
      <c r="A1786">
        <v>8906</v>
      </c>
      <c r="B1786" t="s">
        <v>2023</v>
      </c>
      <c r="C1786" t="s">
        <v>1259</v>
      </c>
    </row>
    <row r="1787" spans="1:3">
      <c r="A1787">
        <v>8908</v>
      </c>
      <c r="B1787" t="s">
        <v>2024</v>
      </c>
      <c r="C1787">
        <v>32.75</v>
      </c>
    </row>
    <row r="1788" spans="1:3">
      <c r="A1788">
        <v>8916</v>
      </c>
      <c r="B1788" t="s">
        <v>2025</v>
      </c>
      <c r="C1788">
        <v>12.67</v>
      </c>
    </row>
    <row r="1789" spans="1:3">
      <c r="A1789">
        <v>8917</v>
      </c>
      <c r="B1789" t="s">
        <v>2026</v>
      </c>
      <c r="C1789">
        <v>27.59</v>
      </c>
    </row>
    <row r="1790" spans="1:3">
      <c r="A1790">
        <v>8921</v>
      </c>
      <c r="B1790" t="s">
        <v>2027</v>
      </c>
      <c r="C1790" t="s">
        <v>1259</v>
      </c>
    </row>
    <row r="1791" spans="1:3">
      <c r="A1791">
        <v>8923</v>
      </c>
      <c r="B1791" t="s">
        <v>2028</v>
      </c>
      <c r="C1791">
        <v>26.69</v>
      </c>
    </row>
    <row r="1792" spans="1:3">
      <c r="A1792">
        <v>8924</v>
      </c>
      <c r="B1792" t="s">
        <v>2029</v>
      </c>
      <c r="C1792">
        <v>8.98</v>
      </c>
    </row>
    <row r="1793" spans="1:3">
      <c r="A1793">
        <v>8927</v>
      </c>
      <c r="B1793" t="s">
        <v>2030</v>
      </c>
      <c r="C1793">
        <v>180.34</v>
      </c>
    </row>
    <row r="1794" spans="1:3">
      <c r="A1794">
        <v>8928</v>
      </c>
      <c r="B1794" t="s">
        <v>2031</v>
      </c>
      <c r="C1794">
        <v>26.02</v>
      </c>
    </row>
    <row r="1795" spans="1:3">
      <c r="A1795">
        <v>8929</v>
      </c>
      <c r="B1795" t="s">
        <v>2032</v>
      </c>
      <c r="C1795" t="s">
        <v>1259</v>
      </c>
    </row>
    <row r="1796" spans="1:3">
      <c r="A1796">
        <v>8930</v>
      </c>
      <c r="B1796" t="s">
        <v>2033</v>
      </c>
      <c r="C1796">
        <v>12.97</v>
      </c>
    </row>
    <row r="1797" spans="1:3">
      <c r="A1797">
        <v>8931</v>
      </c>
      <c r="B1797" t="s">
        <v>2034</v>
      </c>
      <c r="C1797">
        <v>15.59</v>
      </c>
    </row>
    <row r="1798" spans="1:3">
      <c r="A1798">
        <v>8932</v>
      </c>
      <c r="B1798" t="s">
        <v>2035</v>
      </c>
      <c r="C1798">
        <v>294.87</v>
      </c>
    </row>
    <row r="1799" spans="1:3">
      <c r="A1799">
        <v>8933</v>
      </c>
      <c r="B1799" t="s">
        <v>2036</v>
      </c>
      <c r="C1799" t="s">
        <v>1259</v>
      </c>
    </row>
    <row r="1800" spans="1:3">
      <c r="A1800">
        <v>8935</v>
      </c>
      <c r="B1800" t="s">
        <v>2037</v>
      </c>
      <c r="C1800" t="s">
        <v>1259</v>
      </c>
    </row>
    <row r="1801" spans="1:3">
      <c r="A1801">
        <v>8936</v>
      </c>
      <c r="B1801" t="s">
        <v>2038</v>
      </c>
      <c r="C1801">
        <v>16.440000000000001</v>
      </c>
    </row>
    <row r="1802" spans="1:3">
      <c r="A1802">
        <v>8937</v>
      </c>
      <c r="B1802" t="s">
        <v>2039</v>
      </c>
      <c r="C1802">
        <v>35.17</v>
      </c>
    </row>
    <row r="1803" spans="1:3">
      <c r="A1803">
        <v>8938</v>
      </c>
      <c r="B1803" t="s">
        <v>2040</v>
      </c>
      <c r="C1803">
        <v>18.57</v>
      </c>
    </row>
    <row r="1804" spans="1:3">
      <c r="A1804">
        <v>8941</v>
      </c>
      <c r="B1804" t="s">
        <v>2041</v>
      </c>
      <c r="C1804">
        <v>13.66</v>
      </c>
    </row>
    <row r="1805" spans="1:3">
      <c r="A1805">
        <v>8942</v>
      </c>
      <c r="B1805" t="s">
        <v>2042</v>
      </c>
      <c r="C1805">
        <v>8.8000000000000007</v>
      </c>
    </row>
    <row r="1806" spans="1:3">
      <c r="A1806">
        <v>9949</v>
      </c>
      <c r="B1806" t="s">
        <v>2043</v>
      </c>
      <c r="C1806" t="s">
        <v>1259</v>
      </c>
    </row>
    <row r="1807" spans="1:3">
      <c r="A1807">
        <v>9950</v>
      </c>
      <c r="B1807" t="s">
        <v>2044</v>
      </c>
      <c r="C1807">
        <v>3.79</v>
      </c>
    </row>
    <row r="1808" spans="1:3">
      <c r="A1808">
        <v>9951</v>
      </c>
      <c r="B1808" t="s">
        <v>2045</v>
      </c>
      <c r="C1808">
        <v>12.33</v>
      </c>
    </row>
    <row r="1809" spans="1:3">
      <c r="A1809">
        <v>9960</v>
      </c>
      <c r="B1809" t="s">
        <v>2046</v>
      </c>
      <c r="C1809">
        <v>9.8000000000000007</v>
      </c>
    </row>
    <row r="1810" spans="1:3">
      <c r="A1810">
        <v>9962</v>
      </c>
      <c r="B1810" t="s">
        <v>2047</v>
      </c>
      <c r="C1810">
        <v>10.74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342EB-8F11-4615-96C5-C7EE87BB0BA4}">
  <sheetPr codeName="工作表24"/>
  <dimension ref="A1:G999"/>
  <sheetViews>
    <sheetView topLeftCell="A886" workbookViewId="0">
      <selection activeCell="A3" sqref="A3:B970"/>
    </sheetView>
  </sheetViews>
  <sheetFormatPr baseColWidth="10" defaultColWidth="8.83203125" defaultRowHeight="15"/>
  <cols>
    <col min="1" max="1" width="55.33203125" bestFit="1" customWidth="1"/>
    <col min="2" max="2" width="17.1640625" bestFit="1" customWidth="1"/>
    <col min="3" max="3" width="11.5" bestFit="1" customWidth="1"/>
    <col min="4" max="4" width="10.5" bestFit="1" customWidth="1"/>
    <col min="5" max="5" width="8.6640625" bestFit="1" customWidth="1"/>
    <col min="6" max="6" width="12.83203125" bestFit="1" customWidth="1"/>
    <col min="7" max="7" width="11.1640625" bestFit="1" customWidth="1"/>
  </cols>
  <sheetData>
    <row r="1" spans="1:7">
      <c r="A1" t="s">
        <v>2073</v>
      </c>
    </row>
    <row r="2" spans="1:7">
      <c r="A2" t="s">
        <v>261</v>
      </c>
      <c r="B2" t="s">
        <v>262</v>
      </c>
      <c r="C2" t="s">
        <v>263</v>
      </c>
      <c r="D2" t="s">
        <v>264</v>
      </c>
      <c r="E2" t="s">
        <v>265</v>
      </c>
      <c r="F2" t="s">
        <v>266</v>
      </c>
      <c r="G2" t="s">
        <v>267</v>
      </c>
    </row>
    <row r="3" spans="1:7">
      <c r="A3">
        <v>1101</v>
      </c>
      <c r="B3" t="s">
        <v>268</v>
      </c>
      <c r="C3">
        <v>1.43</v>
      </c>
      <c r="D3">
        <v>111</v>
      </c>
      <c r="E3">
        <v>29.53</v>
      </c>
      <c r="F3">
        <v>1.1499999999999999</v>
      </c>
      <c r="G3" t="s">
        <v>2074</v>
      </c>
    </row>
    <row r="4" spans="1:7">
      <c r="A4">
        <v>1102</v>
      </c>
      <c r="B4" t="s">
        <v>269</v>
      </c>
      <c r="C4">
        <v>5.55</v>
      </c>
      <c r="D4">
        <v>111</v>
      </c>
      <c r="E4">
        <v>14.44</v>
      </c>
      <c r="F4">
        <v>0.87</v>
      </c>
      <c r="G4" t="s">
        <v>2074</v>
      </c>
    </row>
    <row r="5" spans="1:7">
      <c r="A5">
        <v>1103</v>
      </c>
      <c r="B5" t="s">
        <v>270</v>
      </c>
      <c r="C5">
        <v>2.62</v>
      </c>
      <c r="D5">
        <v>111</v>
      </c>
      <c r="E5">
        <v>73.27</v>
      </c>
      <c r="F5">
        <v>0.59</v>
      </c>
      <c r="G5" t="s">
        <v>2074</v>
      </c>
    </row>
    <row r="6" spans="1:7">
      <c r="A6">
        <v>1104</v>
      </c>
      <c r="B6" t="s">
        <v>272</v>
      </c>
      <c r="C6">
        <v>6.06</v>
      </c>
      <c r="D6">
        <v>111</v>
      </c>
      <c r="E6">
        <v>8.8699999999999992</v>
      </c>
      <c r="F6">
        <v>0.91</v>
      </c>
      <c r="G6" t="s">
        <v>2074</v>
      </c>
    </row>
    <row r="7" spans="1:7">
      <c r="A7">
        <v>1108</v>
      </c>
      <c r="B7" t="s">
        <v>273</v>
      </c>
      <c r="C7">
        <v>5.0599999999999996</v>
      </c>
      <c r="D7">
        <v>111</v>
      </c>
      <c r="E7">
        <v>8.59</v>
      </c>
      <c r="F7">
        <v>1.28</v>
      </c>
      <c r="G7" t="s">
        <v>2074</v>
      </c>
    </row>
    <row r="8" spans="1:7">
      <c r="A8">
        <v>1109</v>
      </c>
      <c r="B8" t="s">
        <v>274</v>
      </c>
      <c r="C8">
        <v>4.38</v>
      </c>
      <c r="D8">
        <v>111</v>
      </c>
      <c r="E8">
        <v>10.74</v>
      </c>
      <c r="F8">
        <v>0.78</v>
      </c>
      <c r="G8" t="s">
        <v>2074</v>
      </c>
    </row>
    <row r="9" spans="1:7">
      <c r="A9">
        <v>1110</v>
      </c>
      <c r="B9" t="s">
        <v>275</v>
      </c>
      <c r="C9">
        <v>0.53</v>
      </c>
      <c r="D9">
        <v>111</v>
      </c>
      <c r="E9">
        <v>40</v>
      </c>
      <c r="F9">
        <v>1.2</v>
      </c>
      <c r="G9" t="s">
        <v>2074</v>
      </c>
    </row>
    <row r="10" spans="1:7">
      <c r="A10">
        <v>1201</v>
      </c>
      <c r="B10" t="s">
        <v>276</v>
      </c>
      <c r="C10">
        <v>1.26</v>
      </c>
      <c r="D10">
        <v>111</v>
      </c>
      <c r="E10">
        <v>68.040000000000006</v>
      </c>
      <c r="F10">
        <v>1.3</v>
      </c>
      <c r="G10" t="s">
        <v>2074</v>
      </c>
    </row>
    <row r="11" spans="1:7">
      <c r="A11">
        <v>1203</v>
      </c>
      <c r="B11" t="s">
        <v>277</v>
      </c>
      <c r="C11">
        <v>1.93</v>
      </c>
      <c r="D11">
        <v>111</v>
      </c>
      <c r="E11">
        <v>33.08</v>
      </c>
      <c r="F11">
        <v>2.41</v>
      </c>
      <c r="G11" t="s">
        <v>2074</v>
      </c>
    </row>
    <row r="12" spans="1:7">
      <c r="A12">
        <v>1210</v>
      </c>
      <c r="B12" t="s">
        <v>278</v>
      </c>
      <c r="C12">
        <v>2.56</v>
      </c>
      <c r="D12">
        <v>111</v>
      </c>
      <c r="E12">
        <v>13.3</v>
      </c>
      <c r="F12">
        <v>2.16</v>
      </c>
      <c r="G12" t="s">
        <v>2074</v>
      </c>
    </row>
    <row r="13" spans="1:7">
      <c r="A13">
        <v>1213</v>
      </c>
      <c r="B13" t="s">
        <v>279</v>
      </c>
      <c r="C13">
        <v>0</v>
      </c>
      <c r="D13">
        <v>111</v>
      </c>
      <c r="E13" t="s">
        <v>271</v>
      </c>
      <c r="F13">
        <v>1.46</v>
      </c>
      <c r="G13" t="s">
        <v>2074</v>
      </c>
    </row>
    <row r="14" spans="1:7">
      <c r="A14">
        <v>1215</v>
      </c>
      <c r="B14" t="s">
        <v>280</v>
      </c>
      <c r="C14">
        <v>3.64</v>
      </c>
      <c r="D14">
        <v>111</v>
      </c>
      <c r="E14">
        <v>13.93</v>
      </c>
      <c r="F14">
        <v>3.07</v>
      </c>
      <c r="G14" t="s">
        <v>2074</v>
      </c>
    </row>
    <row r="15" spans="1:7">
      <c r="A15">
        <v>1216</v>
      </c>
      <c r="B15" t="s">
        <v>281</v>
      </c>
      <c r="C15">
        <v>4.2300000000000004</v>
      </c>
      <c r="D15">
        <v>111</v>
      </c>
      <c r="E15">
        <v>21.91</v>
      </c>
      <c r="F15">
        <v>3.34</v>
      </c>
      <c r="G15" t="s">
        <v>2074</v>
      </c>
    </row>
    <row r="16" spans="1:7">
      <c r="A16">
        <v>1217</v>
      </c>
      <c r="B16" t="s">
        <v>282</v>
      </c>
      <c r="C16">
        <v>3.32</v>
      </c>
      <c r="D16">
        <v>111</v>
      </c>
      <c r="E16">
        <v>36.520000000000003</v>
      </c>
      <c r="F16">
        <v>0.88</v>
      </c>
      <c r="G16" t="s">
        <v>2074</v>
      </c>
    </row>
    <row r="17" spans="1:7">
      <c r="A17">
        <v>1218</v>
      </c>
      <c r="B17" t="s">
        <v>283</v>
      </c>
      <c r="C17">
        <v>2.5299999999999998</v>
      </c>
      <c r="D17">
        <v>111</v>
      </c>
      <c r="E17">
        <v>2.1</v>
      </c>
      <c r="F17">
        <v>0.91</v>
      </c>
      <c r="G17" t="s">
        <v>2074</v>
      </c>
    </row>
    <row r="18" spans="1:7">
      <c r="A18">
        <v>1219</v>
      </c>
      <c r="B18" t="s">
        <v>284</v>
      </c>
      <c r="C18">
        <v>4.1500000000000004</v>
      </c>
      <c r="D18">
        <v>111</v>
      </c>
      <c r="E18">
        <v>25.73</v>
      </c>
      <c r="F18">
        <v>1.43</v>
      </c>
      <c r="G18" t="s">
        <v>2074</v>
      </c>
    </row>
    <row r="19" spans="1:7">
      <c r="A19">
        <v>1220</v>
      </c>
      <c r="B19" t="s">
        <v>285</v>
      </c>
      <c r="C19">
        <v>1.39</v>
      </c>
      <c r="D19">
        <v>111</v>
      </c>
      <c r="E19">
        <v>32.61</v>
      </c>
      <c r="F19">
        <v>1.1200000000000001</v>
      </c>
      <c r="G19" t="s">
        <v>2074</v>
      </c>
    </row>
    <row r="20" spans="1:7">
      <c r="A20">
        <v>1225</v>
      </c>
      <c r="B20" t="s">
        <v>286</v>
      </c>
      <c r="C20" s="47">
        <v>3.66</v>
      </c>
      <c r="D20">
        <v>111</v>
      </c>
      <c r="E20">
        <v>47.98</v>
      </c>
      <c r="F20">
        <v>3.71</v>
      </c>
      <c r="G20" t="s">
        <v>2074</v>
      </c>
    </row>
    <row r="21" spans="1:7">
      <c r="A21">
        <v>1227</v>
      </c>
      <c r="B21" t="s">
        <v>287</v>
      </c>
      <c r="C21">
        <v>3.32</v>
      </c>
      <c r="D21">
        <v>111</v>
      </c>
      <c r="E21">
        <v>29.92</v>
      </c>
      <c r="F21">
        <v>2.0299999999999998</v>
      </c>
      <c r="G21" t="s">
        <v>2074</v>
      </c>
    </row>
    <row r="22" spans="1:7">
      <c r="A22">
        <v>1229</v>
      </c>
      <c r="B22" t="s">
        <v>288</v>
      </c>
      <c r="C22">
        <v>3</v>
      </c>
      <c r="D22">
        <v>111</v>
      </c>
      <c r="E22">
        <v>26.36</v>
      </c>
      <c r="F22">
        <v>2.4500000000000002</v>
      </c>
      <c r="G22" t="s">
        <v>2074</v>
      </c>
    </row>
    <row r="23" spans="1:7">
      <c r="A23">
        <v>1231</v>
      </c>
      <c r="B23" t="s">
        <v>289</v>
      </c>
      <c r="C23">
        <v>2.97</v>
      </c>
      <c r="D23">
        <v>111</v>
      </c>
      <c r="E23">
        <v>28.38</v>
      </c>
      <c r="F23">
        <v>4.07</v>
      </c>
      <c r="G23" t="s">
        <v>2074</v>
      </c>
    </row>
    <row r="24" spans="1:7">
      <c r="A24">
        <v>1232</v>
      </c>
      <c r="B24" t="s">
        <v>290</v>
      </c>
      <c r="C24">
        <v>4.21</v>
      </c>
      <c r="D24">
        <v>111</v>
      </c>
      <c r="E24">
        <v>20.3</v>
      </c>
      <c r="F24">
        <v>4.5</v>
      </c>
      <c r="G24" t="s">
        <v>2074</v>
      </c>
    </row>
    <row r="25" spans="1:7">
      <c r="A25">
        <v>1233</v>
      </c>
      <c r="B25" t="s">
        <v>291</v>
      </c>
      <c r="C25">
        <v>2.44</v>
      </c>
      <c r="D25">
        <v>111</v>
      </c>
      <c r="E25">
        <v>30.3</v>
      </c>
      <c r="F25">
        <v>2.16</v>
      </c>
      <c r="G25" t="s">
        <v>2074</v>
      </c>
    </row>
    <row r="26" spans="1:7">
      <c r="A26">
        <v>1234</v>
      </c>
      <c r="B26" t="s">
        <v>292</v>
      </c>
      <c r="C26">
        <v>4.4400000000000004</v>
      </c>
      <c r="D26">
        <v>111</v>
      </c>
      <c r="E26">
        <v>16.88</v>
      </c>
      <c r="F26">
        <v>0.88</v>
      </c>
      <c r="G26" t="s">
        <v>2074</v>
      </c>
    </row>
    <row r="27" spans="1:7">
      <c r="A27">
        <v>1235</v>
      </c>
      <c r="B27" t="s">
        <v>293</v>
      </c>
      <c r="C27">
        <v>2.81</v>
      </c>
      <c r="D27">
        <v>111</v>
      </c>
      <c r="E27">
        <v>48.63</v>
      </c>
      <c r="F27">
        <v>1.66</v>
      </c>
      <c r="G27" t="s">
        <v>2074</v>
      </c>
    </row>
    <row r="28" spans="1:7">
      <c r="A28">
        <v>1236</v>
      </c>
      <c r="B28" t="s">
        <v>294</v>
      </c>
      <c r="C28">
        <v>4.1900000000000004</v>
      </c>
      <c r="D28">
        <v>111</v>
      </c>
      <c r="E28">
        <v>55.47</v>
      </c>
      <c r="F28">
        <v>0.86</v>
      </c>
      <c r="G28" t="s">
        <v>2074</v>
      </c>
    </row>
    <row r="29" spans="1:7">
      <c r="A29">
        <v>1256</v>
      </c>
      <c r="B29" t="s">
        <v>295</v>
      </c>
      <c r="C29">
        <v>2.69</v>
      </c>
      <c r="D29">
        <v>111</v>
      </c>
      <c r="E29">
        <v>16.38</v>
      </c>
      <c r="F29">
        <v>2.11</v>
      </c>
      <c r="G29" t="s">
        <v>2074</v>
      </c>
    </row>
    <row r="30" spans="1:7">
      <c r="A30">
        <v>1301</v>
      </c>
      <c r="B30" t="s">
        <v>296</v>
      </c>
      <c r="C30">
        <v>5.3</v>
      </c>
      <c r="D30">
        <v>111</v>
      </c>
      <c r="E30">
        <v>176</v>
      </c>
      <c r="F30">
        <v>1.44</v>
      </c>
      <c r="G30" t="s">
        <v>2074</v>
      </c>
    </row>
    <row r="31" spans="1:7">
      <c r="A31">
        <v>1303</v>
      </c>
      <c r="B31" t="s">
        <v>297</v>
      </c>
      <c r="C31">
        <v>4.51</v>
      </c>
      <c r="D31">
        <v>111</v>
      </c>
      <c r="E31">
        <v>96.38</v>
      </c>
      <c r="F31">
        <v>1.44</v>
      </c>
      <c r="G31" t="s">
        <v>2074</v>
      </c>
    </row>
    <row r="32" spans="1:7">
      <c r="A32">
        <v>1304</v>
      </c>
      <c r="B32" t="s">
        <v>298</v>
      </c>
      <c r="C32">
        <v>3.54</v>
      </c>
      <c r="D32">
        <v>111</v>
      </c>
      <c r="E32">
        <v>32.380000000000003</v>
      </c>
      <c r="F32">
        <v>0.89</v>
      </c>
      <c r="G32" t="s">
        <v>2074</v>
      </c>
    </row>
    <row r="33" spans="1:7">
      <c r="A33">
        <v>1305</v>
      </c>
      <c r="B33" t="s">
        <v>299</v>
      </c>
      <c r="C33">
        <v>1.35</v>
      </c>
      <c r="D33">
        <v>111</v>
      </c>
      <c r="E33">
        <v>39.82</v>
      </c>
      <c r="F33">
        <v>1.34</v>
      </c>
      <c r="G33" t="s">
        <v>2074</v>
      </c>
    </row>
    <row r="34" spans="1:7">
      <c r="A34">
        <v>1307</v>
      </c>
      <c r="B34" t="s">
        <v>300</v>
      </c>
      <c r="C34">
        <v>3.09</v>
      </c>
      <c r="D34">
        <v>111</v>
      </c>
      <c r="E34">
        <v>15.12</v>
      </c>
      <c r="F34">
        <v>1.1299999999999999</v>
      </c>
      <c r="G34" t="s">
        <v>2074</v>
      </c>
    </row>
    <row r="35" spans="1:7">
      <c r="A35">
        <v>1308</v>
      </c>
      <c r="B35" t="s">
        <v>301</v>
      </c>
      <c r="C35">
        <v>5.13</v>
      </c>
      <c r="D35">
        <v>111</v>
      </c>
      <c r="E35">
        <v>24.38</v>
      </c>
      <c r="F35">
        <v>1.02</v>
      </c>
      <c r="G35" t="s">
        <v>2074</v>
      </c>
    </row>
    <row r="36" spans="1:7">
      <c r="A36">
        <v>1309</v>
      </c>
      <c r="B36" t="s">
        <v>302</v>
      </c>
      <c r="C36">
        <v>3.04</v>
      </c>
      <c r="D36">
        <v>111</v>
      </c>
      <c r="E36" t="s">
        <v>271</v>
      </c>
      <c r="F36">
        <v>0.95</v>
      </c>
      <c r="G36" t="s">
        <v>2074</v>
      </c>
    </row>
    <row r="37" spans="1:7">
      <c r="A37">
        <v>1310</v>
      </c>
      <c r="B37" t="s">
        <v>303</v>
      </c>
      <c r="C37">
        <v>1.28</v>
      </c>
      <c r="D37">
        <v>111</v>
      </c>
      <c r="E37" t="s">
        <v>271</v>
      </c>
      <c r="F37">
        <v>1.3</v>
      </c>
      <c r="G37" t="s">
        <v>2074</v>
      </c>
    </row>
    <row r="38" spans="1:7">
      <c r="A38">
        <v>1312</v>
      </c>
      <c r="B38" t="s">
        <v>304</v>
      </c>
      <c r="C38">
        <v>3.29</v>
      </c>
      <c r="D38">
        <v>111</v>
      </c>
      <c r="E38" t="s">
        <v>271</v>
      </c>
      <c r="F38">
        <v>0.45</v>
      </c>
      <c r="G38" t="s">
        <v>2074</v>
      </c>
    </row>
    <row r="39" spans="1:7">
      <c r="A39">
        <v>1313</v>
      </c>
      <c r="B39" t="s">
        <v>305</v>
      </c>
      <c r="C39">
        <v>1.32</v>
      </c>
      <c r="D39">
        <v>111</v>
      </c>
      <c r="E39" t="s">
        <v>271</v>
      </c>
      <c r="F39">
        <v>0.67</v>
      </c>
      <c r="G39" t="s">
        <v>2074</v>
      </c>
    </row>
    <row r="40" spans="1:7">
      <c r="A40">
        <v>1314</v>
      </c>
      <c r="B40" t="s">
        <v>306</v>
      </c>
      <c r="C40">
        <v>0</v>
      </c>
      <c r="D40">
        <v>111</v>
      </c>
      <c r="E40" t="s">
        <v>271</v>
      </c>
      <c r="F40">
        <v>0.48</v>
      </c>
      <c r="G40" t="s">
        <v>2074</v>
      </c>
    </row>
    <row r="41" spans="1:7">
      <c r="A41">
        <v>1315</v>
      </c>
      <c r="B41" t="s">
        <v>307</v>
      </c>
      <c r="C41">
        <v>8.24</v>
      </c>
      <c r="D41">
        <v>111</v>
      </c>
      <c r="E41">
        <v>17.010000000000002</v>
      </c>
      <c r="F41">
        <v>0.66</v>
      </c>
      <c r="G41" t="s">
        <v>2074</v>
      </c>
    </row>
    <row r="42" spans="1:7">
      <c r="A42">
        <v>1316</v>
      </c>
      <c r="B42" t="s">
        <v>308</v>
      </c>
      <c r="C42">
        <v>4.33</v>
      </c>
      <c r="D42">
        <v>111</v>
      </c>
      <c r="E42" t="s">
        <v>271</v>
      </c>
      <c r="F42">
        <v>1.08</v>
      </c>
      <c r="G42" t="s">
        <v>2074</v>
      </c>
    </row>
    <row r="43" spans="1:7">
      <c r="A43">
        <v>1319</v>
      </c>
      <c r="B43" t="s">
        <v>309</v>
      </c>
      <c r="C43">
        <v>3.29</v>
      </c>
      <c r="D43">
        <v>111</v>
      </c>
      <c r="E43">
        <v>17.510000000000002</v>
      </c>
      <c r="F43">
        <v>1.81</v>
      </c>
      <c r="G43" t="s">
        <v>2074</v>
      </c>
    </row>
    <row r="44" spans="1:7">
      <c r="A44">
        <v>1321</v>
      </c>
      <c r="B44" t="s">
        <v>310</v>
      </c>
      <c r="C44">
        <v>0</v>
      </c>
      <c r="D44">
        <v>111</v>
      </c>
      <c r="E44">
        <v>100.14</v>
      </c>
      <c r="F44">
        <v>1.42</v>
      </c>
      <c r="G44" t="s">
        <v>2074</v>
      </c>
    </row>
    <row r="45" spans="1:7">
      <c r="A45">
        <v>1323</v>
      </c>
      <c r="B45" t="s">
        <v>311</v>
      </c>
      <c r="C45">
        <v>3.5</v>
      </c>
      <c r="D45">
        <v>111</v>
      </c>
      <c r="E45">
        <v>22.75</v>
      </c>
      <c r="F45">
        <v>1.1599999999999999</v>
      </c>
      <c r="G45" t="s">
        <v>2074</v>
      </c>
    </row>
    <row r="46" spans="1:7">
      <c r="A46">
        <v>1324</v>
      </c>
      <c r="B46" t="s">
        <v>312</v>
      </c>
      <c r="C46">
        <v>1.1399999999999999</v>
      </c>
      <c r="D46">
        <v>111</v>
      </c>
      <c r="E46">
        <v>30.88</v>
      </c>
      <c r="F46">
        <v>1.36</v>
      </c>
      <c r="G46" t="s">
        <v>2074</v>
      </c>
    </row>
    <row r="47" spans="1:7">
      <c r="A47">
        <v>1325</v>
      </c>
      <c r="B47" t="s">
        <v>313</v>
      </c>
      <c r="C47">
        <v>1.27</v>
      </c>
      <c r="D47">
        <v>111</v>
      </c>
      <c r="E47">
        <v>101.03</v>
      </c>
      <c r="F47">
        <v>1.2</v>
      </c>
      <c r="G47" t="s">
        <v>2074</v>
      </c>
    </row>
    <row r="48" spans="1:7">
      <c r="A48">
        <v>1326</v>
      </c>
      <c r="B48" t="s">
        <v>314</v>
      </c>
      <c r="C48">
        <v>1.52</v>
      </c>
      <c r="D48">
        <v>111</v>
      </c>
      <c r="E48">
        <v>389.38</v>
      </c>
      <c r="F48">
        <v>1.0900000000000001</v>
      </c>
      <c r="G48" t="s">
        <v>2074</v>
      </c>
    </row>
    <row r="49" spans="1:7">
      <c r="A49">
        <v>1337</v>
      </c>
      <c r="B49" t="s">
        <v>315</v>
      </c>
      <c r="C49">
        <v>0</v>
      </c>
      <c r="D49">
        <v>111</v>
      </c>
      <c r="E49" t="s">
        <v>271</v>
      </c>
      <c r="F49">
        <v>0.44</v>
      </c>
      <c r="G49" t="s">
        <v>2074</v>
      </c>
    </row>
    <row r="50" spans="1:7">
      <c r="A50">
        <v>1338</v>
      </c>
      <c r="B50" t="s">
        <v>316</v>
      </c>
      <c r="C50">
        <v>4.66</v>
      </c>
      <c r="D50">
        <v>111</v>
      </c>
      <c r="E50" t="s">
        <v>271</v>
      </c>
      <c r="F50">
        <v>0.57999999999999996</v>
      </c>
      <c r="G50" t="s">
        <v>2074</v>
      </c>
    </row>
    <row r="51" spans="1:7">
      <c r="A51">
        <v>1339</v>
      </c>
      <c r="B51" t="s">
        <v>317</v>
      </c>
      <c r="C51">
        <v>4.6900000000000004</v>
      </c>
      <c r="D51">
        <v>111</v>
      </c>
      <c r="E51">
        <v>14.75</v>
      </c>
      <c r="F51">
        <v>1.24</v>
      </c>
      <c r="G51" t="s">
        <v>2074</v>
      </c>
    </row>
    <row r="52" spans="1:7">
      <c r="A52">
        <v>1340</v>
      </c>
      <c r="B52" t="s">
        <v>318</v>
      </c>
      <c r="C52">
        <v>0</v>
      </c>
      <c r="D52">
        <v>111</v>
      </c>
      <c r="E52" t="s">
        <v>271</v>
      </c>
      <c r="F52">
        <v>0.4</v>
      </c>
      <c r="G52" t="s">
        <v>2074</v>
      </c>
    </row>
    <row r="53" spans="1:7">
      <c r="A53">
        <v>1341</v>
      </c>
      <c r="B53" t="s">
        <v>319</v>
      </c>
      <c r="C53">
        <v>9.64</v>
      </c>
      <c r="D53">
        <v>111</v>
      </c>
      <c r="E53">
        <v>13.17</v>
      </c>
      <c r="F53">
        <v>2.52</v>
      </c>
      <c r="G53" t="s">
        <v>2074</v>
      </c>
    </row>
    <row r="54" spans="1:7">
      <c r="A54">
        <v>1342</v>
      </c>
      <c r="B54" t="s">
        <v>320</v>
      </c>
      <c r="C54">
        <v>4.49</v>
      </c>
      <c r="D54">
        <v>111</v>
      </c>
      <c r="E54">
        <v>15.79</v>
      </c>
      <c r="F54">
        <v>4.03</v>
      </c>
      <c r="G54" t="s">
        <v>2074</v>
      </c>
    </row>
    <row r="55" spans="1:7">
      <c r="A55">
        <v>1402</v>
      </c>
      <c r="B55" t="s">
        <v>321</v>
      </c>
      <c r="C55">
        <v>4.33</v>
      </c>
      <c r="D55">
        <v>111</v>
      </c>
      <c r="E55">
        <v>29.16</v>
      </c>
      <c r="F55">
        <v>0.77</v>
      </c>
      <c r="G55" t="s">
        <v>2074</v>
      </c>
    </row>
    <row r="56" spans="1:7">
      <c r="A56">
        <v>1409</v>
      </c>
      <c r="B56" t="s">
        <v>322</v>
      </c>
      <c r="C56">
        <v>6.43</v>
      </c>
      <c r="D56">
        <v>111</v>
      </c>
      <c r="E56">
        <v>36.159999999999997</v>
      </c>
      <c r="F56">
        <v>0.7</v>
      </c>
      <c r="G56" t="s">
        <v>2074</v>
      </c>
    </row>
    <row r="57" spans="1:7">
      <c r="A57">
        <v>1410</v>
      </c>
      <c r="B57" t="s">
        <v>323</v>
      </c>
      <c r="C57">
        <v>2.0499999999999998</v>
      </c>
      <c r="D57">
        <v>111</v>
      </c>
      <c r="E57">
        <v>64.92</v>
      </c>
      <c r="F57">
        <v>2.2799999999999998</v>
      </c>
      <c r="G57" t="s">
        <v>2074</v>
      </c>
    </row>
    <row r="58" spans="1:7">
      <c r="A58">
        <v>1413</v>
      </c>
      <c r="B58" t="s">
        <v>324</v>
      </c>
      <c r="C58">
        <v>0</v>
      </c>
      <c r="D58">
        <v>111</v>
      </c>
      <c r="E58" t="s">
        <v>271</v>
      </c>
      <c r="F58">
        <v>1</v>
      </c>
      <c r="G58" t="s">
        <v>2074</v>
      </c>
    </row>
    <row r="59" spans="1:7">
      <c r="A59">
        <v>1414</v>
      </c>
      <c r="B59" t="s">
        <v>325</v>
      </c>
      <c r="C59">
        <v>1.8</v>
      </c>
      <c r="D59">
        <v>111</v>
      </c>
      <c r="E59">
        <v>254.29</v>
      </c>
      <c r="F59">
        <v>1.27</v>
      </c>
      <c r="G59" t="s">
        <v>2074</v>
      </c>
    </row>
    <row r="60" spans="1:7">
      <c r="A60">
        <v>1416</v>
      </c>
      <c r="B60" t="s">
        <v>326</v>
      </c>
      <c r="C60">
        <v>4.26</v>
      </c>
      <c r="D60">
        <v>111</v>
      </c>
      <c r="E60">
        <v>19.920000000000002</v>
      </c>
      <c r="F60">
        <v>0.61</v>
      </c>
      <c r="G60" t="s">
        <v>2074</v>
      </c>
    </row>
    <row r="61" spans="1:7">
      <c r="A61">
        <v>1417</v>
      </c>
      <c r="B61" t="s">
        <v>327</v>
      </c>
      <c r="C61">
        <v>3.1</v>
      </c>
      <c r="D61">
        <v>111</v>
      </c>
      <c r="E61">
        <v>37.340000000000003</v>
      </c>
      <c r="F61">
        <v>0.85</v>
      </c>
      <c r="G61" t="s">
        <v>2074</v>
      </c>
    </row>
    <row r="62" spans="1:7">
      <c r="A62">
        <v>1418</v>
      </c>
      <c r="B62" t="s">
        <v>328</v>
      </c>
      <c r="C62">
        <v>0</v>
      </c>
      <c r="D62">
        <v>111</v>
      </c>
      <c r="E62">
        <v>38.770000000000003</v>
      </c>
      <c r="F62">
        <v>0.97</v>
      </c>
      <c r="G62" t="s">
        <v>2074</v>
      </c>
    </row>
    <row r="63" spans="1:7">
      <c r="A63">
        <v>1419</v>
      </c>
      <c r="B63" t="s">
        <v>329</v>
      </c>
      <c r="C63">
        <v>3.13</v>
      </c>
      <c r="D63">
        <v>111</v>
      </c>
      <c r="E63">
        <v>22.18</v>
      </c>
      <c r="F63">
        <v>1.1499999999999999</v>
      </c>
      <c r="G63" t="s">
        <v>2074</v>
      </c>
    </row>
    <row r="64" spans="1:7">
      <c r="A64">
        <v>1423</v>
      </c>
      <c r="B64" t="s">
        <v>330</v>
      </c>
      <c r="C64">
        <v>0.64</v>
      </c>
      <c r="D64">
        <v>111</v>
      </c>
      <c r="E64">
        <v>32.840000000000003</v>
      </c>
      <c r="F64">
        <v>1.1299999999999999</v>
      </c>
      <c r="G64" t="s">
        <v>2074</v>
      </c>
    </row>
    <row r="65" spans="1:7">
      <c r="A65">
        <v>1432</v>
      </c>
      <c r="B65" t="s">
        <v>331</v>
      </c>
      <c r="C65">
        <v>0</v>
      </c>
      <c r="D65">
        <v>111</v>
      </c>
      <c r="E65">
        <v>26.34</v>
      </c>
      <c r="F65">
        <v>2.12</v>
      </c>
      <c r="G65" t="s">
        <v>2074</v>
      </c>
    </row>
    <row r="66" spans="1:7">
      <c r="A66">
        <v>1434</v>
      </c>
      <c r="B66" t="s">
        <v>332</v>
      </c>
      <c r="C66">
        <v>5.95</v>
      </c>
      <c r="D66">
        <v>111</v>
      </c>
      <c r="E66">
        <v>51.43</v>
      </c>
      <c r="F66">
        <v>0.78</v>
      </c>
      <c r="G66" t="s">
        <v>2074</v>
      </c>
    </row>
    <row r="67" spans="1:7">
      <c r="A67">
        <v>1435</v>
      </c>
      <c r="B67" t="s">
        <v>2050</v>
      </c>
      <c r="C67">
        <v>0</v>
      </c>
      <c r="D67">
        <v>111</v>
      </c>
      <c r="E67" t="s">
        <v>271</v>
      </c>
      <c r="F67">
        <v>7.78</v>
      </c>
      <c r="G67" t="s">
        <v>2074</v>
      </c>
    </row>
    <row r="68" spans="1:7">
      <c r="A68">
        <v>1436</v>
      </c>
      <c r="B68" t="s">
        <v>333</v>
      </c>
      <c r="C68">
        <v>6.2</v>
      </c>
      <c r="D68">
        <v>111</v>
      </c>
      <c r="E68">
        <v>121.91</v>
      </c>
      <c r="F68">
        <v>2.91</v>
      </c>
      <c r="G68" t="s">
        <v>2074</v>
      </c>
    </row>
    <row r="69" spans="1:7">
      <c r="A69">
        <v>1437</v>
      </c>
      <c r="B69" t="s">
        <v>334</v>
      </c>
      <c r="C69">
        <v>2.54</v>
      </c>
      <c r="D69">
        <v>111</v>
      </c>
      <c r="E69">
        <v>11.21</v>
      </c>
      <c r="F69">
        <v>0.86</v>
      </c>
      <c r="G69" t="s">
        <v>2074</v>
      </c>
    </row>
    <row r="70" spans="1:7">
      <c r="A70">
        <v>1438</v>
      </c>
      <c r="B70" t="s">
        <v>335</v>
      </c>
      <c r="C70">
        <v>3.04</v>
      </c>
      <c r="D70">
        <v>111</v>
      </c>
      <c r="E70" t="s">
        <v>271</v>
      </c>
      <c r="F70">
        <v>1.59</v>
      </c>
      <c r="G70" t="s">
        <v>2074</v>
      </c>
    </row>
    <row r="71" spans="1:7">
      <c r="A71">
        <v>1439</v>
      </c>
      <c r="B71" t="s">
        <v>336</v>
      </c>
      <c r="C71">
        <v>1.24</v>
      </c>
      <c r="D71">
        <v>111</v>
      </c>
      <c r="E71">
        <v>19.670000000000002</v>
      </c>
      <c r="F71">
        <v>0.92</v>
      </c>
      <c r="G71" t="s">
        <v>2074</v>
      </c>
    </row>
    <row r="72" spans="1:7">
      <c r="A72">
        <v>1440</v>
      </c>
      <c r="B72" t="s">
        <v>337</v>
      </c>
      <c r="C72">
        <v>2.2200000000000002</v>
      </c>
      <c r="D72">
        <v>111</v>
      </c>
      <c r="E72" t="s">
        <v>271</v>
      </c>
      <c r="F72">
        <v>0.97</v>
      </c>
      <c r="G72" t="s">
        <v>2074</v>
      </c>
    </row>
    <row r="73" spans="1:7">
      <c r="A73">
        <v>1441</v>
      </c>
      <c r="B73" t="s">
        <v>338</v>
      </c>
      <c r="C73">
        <v>0</v>
      </c>
      <c r="D73">
        <v>111</v>
      </c>
      <c r="E73" t="s">
        <v>271</v>
      </c>
      <c r="F73">
        <v>2.11</v>
      </c>
      <c r="G73" t="s">
        <v>2074</v>
      </c>
    </row>
    <row r="74" spans="1:7">
      <c r="A74">
        <v>1442</v>
      </c>
      <c r="B74" t="s">
        <v>339</v>
      </c>
      <c r="C74">
        <v>4.1500000000000004</v>
      </c>
      <c r="D74">
        <v>111</v>
      </c>
      <c r="E74">
        <v>19.010000000000002</v>
      </c>
      <c r="F74">
        <v>2.4700000000000002</v>
      </c>
      <c r="G74" t="s">
        <v>2074</v>
      </c>
    </row>
    <row r="75" spans="1:7">
      <c r="A75">
        <v>1443</v>
      </c>
      <c r="B75" t="s">
        <v>340</v>
      </c>
      <c r="C75">
        <v>0</v>
      </c>
      <c r="D75">
        <v>111</v>
      </c>
      <c r="E75">
        <v>21.4</v>
      </c>
      <c r="F75">
        <v>2.0699999999999998</v>
      </c>
      <c r="G75" t="s">
        <v>2074</v>
      </c>
    </row>
    <row r="76" spans="1:7">
      <c r="A76">
        <v>1444</v>
      </c>
      <c r="B76" t="s">
        <v>341</v>
      </c>
      <c r="C76" s="47">
        <v>3.86</v>
      </c>
      <c r="D76">
        <v>111</v>
      </c>
      <c r="E76" t="s">
        <v>271</v>
      </c>
      <c r="F76">
        <v>0.93</v>
      </c>
      <c r="G76" t="s">
        <v>2074</v>
      </c>
    </row>
    <row r="77" spans="1:7">
      <c r="A77">
        <v>1445</v>
      </c>
      <c r="B77" t="s">
        <v>342</v>
      </c>
      <c r="C77">
        <v>0.49</v>
      </c>
      <c r="D77">
        <v>111</v>
      </c>
      <c r="E77">
        <v>47.67</v>
      </c>
      <c r="F77">
        <v>1.53</v>
      </c>
      <c r="G77" t="s">
        <v>2074</v>
      </c>
    </row>
    <row r="78" spans="1:7">
      <c r="A78">
        <v>1446</v>
      </c>
      <c r="B78" t="s">
        <v>343</v>
      </c>
      <c r="C78">
        <v>0.54</v>
      </c>
      <c r="D78">
        <v>111</v>
      </c>
      <c r="E78" t="s">
        <v>271</v>
      </c>
      <c r="F78">
        <v>3.67</v>
      </c>
      <c r="G78" t="s">
        <v>2074</v>
      </c>
    </row>
    <row r="79" spans="1:7">
      <c r="A79">
        <v>1447</v>
      </c>
      <c r="B79" t="s">
        <v>344</v>
      </c>
      <c r="C79">
        <v>0</v>
      </c>
      <c r="D79">
        <v>111</v>
      </c>
      <c r="E79" t="s">
        <v>271</v>
      </c>
      <c r="F79">
        <v>0.72</v>
      </c>
      <c r="G79" t="s">
        <v>2074</v>
      </c>
    </row>
    <row r="80" spans="1:7">
      <c r="A80">
        <v>1449</v>
      </c>
      <c r="B80" t="s">
        <v>345</v>
      </c>
      <c r="C80">
        <v>1.44</v>
      </c>
      <c r="D80">
        <v>111</v>
      </c>
      <c r="E80">
        <v>38.020000000000003</v>
      </c>
      <c r="F80">
        <v>1.01</v>
      </c>
      <c r="G80" t="s">
        <v>2074</v>
      </c>
    </row>
    <row r="81" spans="1:7">
      <c r="A81">
        <v>1451</v>
      </c>
      <c r="B81" t="s">
        <v>346</v>
      </c>
      <c r="C81">
        <v>10.58</v>
      </c>
      <c r="D81">
        <v>111</v>
      </c>
      <c r="E81" t="s">
        <v>271</v>
      </c>
      <c r="F81">
        <v>0.55000000000000004</v>
      </c>
      <c r="G81" t="s">
        <v>2074</v>
      </c>
    </row>
    <row r="82" spans="1:7">
      <c r="A82">
        <v>1452</v>
      </c>
      <c r="B82" t="s">
        <v>347</v>
      </c>
      <c r="C82">
        <v>4.5999999999999996</v>
      </c>
      <c r="D82">
        <v>111</v>
      </c>
      <c r="E82">
        <v>124.29</v>
      </c>
      <c r="F82">
        <v>0.87</v>
      </c>
      <c r="G82" t="s">
        <v>2074</v>
      </c>
    </row>
    <row r="83" spans="1:7">
      <c r="A83">
        <v>1453</v>
      </c>
      <c r="B83" t="s">
        <v>348</v>
      </c>
      <c r="C83">
        <v>2</v>
      </c>
      <c r="D83">
        <v>111</v>
      </c>
      <c r="E83">
        <v>500</v>
      </c>
      <c r="F83">
        <v>1.1599999999999999</v>
      </c>
      <c r="G83" t="s">
        <v>2074</v>
      </c>
    </row>
    <row r="84" spans="1:7">
      <c r="A84">
        <v>1454</v>
      </c>
      <c r="B84" t="s">
        <v>349</v>
      </c>
      <c r="C84">
        <v>1.5</v>
      </c>
      <c r="D84">
        <v>111</v>
      </c>
      <c r="E84">
        <v>208.13</v>
      </c>
      <c r="F84">
        <v>1.27</v>
      </c>
      <c r="G84" t="s">
        <v>2074</v>
      </c>
    </row>
    <row r="85" spans="1:7">
      <c r="A85">
        <v>1455</v>
      </c>
      <c r="B85" t="s">
        <v>350</v>
      </c>
      <c r="C85" s="47">
        <v>0.91</v>
      </c>
      <c r="D85">
        <v>111</v>
      </c>
      <c r="E85" t="s">
        <v>271</v>
      </c>
      <c r="F85">
        <v>0.93</v>
      </c>
      <c r="G85" t="s">
        <v>2074</v>
      </c>
    </row>
    <row r="86" spans="1:7">
      <c r="A86">
        <v>1456</v>
      </c>
      <c r="B86" t="s">
        <v>351</v>
      </c>
      <c r="C86">
        <v>0</v>
      </c>
      <c r="D86">
        <v>111</v>
      </c>
      <c r="E86">
        <v>20.059999999999999</v>
      </c>
      <c r="F86">
        <v>1</v>
      </c>
      <c r="G86" t="s">
        <v>2074</v>
      </c>
    </row>
    <row r="87" spans="1:7">
      <c r="A87">
        <v>1457</v>
      </c>
      <c r="B87" t="s">
        <v>352</v>
      </c>
      <c r="C87">
        <v>5.38</v>
      </c>
      <c r="D87">
        <v>111</v>
      </c>
      <c r="E87">
        <v>84.55</v>
      </c>
      <c r="F87">
        <v>0.84</v>
      </c>
      <c r="G87" t="s">
        <v>2074</v>
      </c>
    </row>
    <row r="88" spans="1:7">
      <c r="A88">
        <v>1459</v>
      </c>
      <c r="B88" t="s">
        <v>353</v>
      </c>
      <c r="C88">
        <v>0</v>
      </c>
      <c r="D88">
        <v>111</v>
      </c>
      <c r="E88">
        <v>31.56</v>
      </c>
      <c r="F88">
        <v>1.1399999999999999</v>
      </c>
      <c r="G88" t="s">
        <v>2074</v>
      </c>
    </row>
    <row r="89" spans="1:7">
      <c r="A89">
        <v>1460</v>
      </c>
      <c r="B89" t="s">
        <v>354</v>
      </c>
      <c r="C89">
        <v>0</v>
      </c>
      <c r="D89">
        <v>111</v>
      </c>
      <c r="E89" t="s">
        <v>271</v>
      </c>
      <c r="F89">
        <v>0.77</v>
      </c>
      <c r="G89" t="s">
        <v>2074</v>
      </c>
    </row>
    <row r="90" spans="1:7">
      <c r="A90">
        <v>1463</v>
      </c>
      <c r="B90" t="s">
        <v>355</v>
      </c>
      <c r="C90">
        <v>2.2200000000000002</v>
      </c>
      <c r="D90">
        <v>111</v>
      </c>
      <c r="E90">
        <v>22.78</v>
      </c>
      <c r="F90">
        <v>1.31</v>
      </c>
      <c r="G90" t="s">
        <v>2074</v>
      </c>
    </row>
    <row r="91" spans="1:7">
      <c r="A91">
        <v>1464</v>
      </c>
      <c r="B91" t="s">
        <v>356</v>
      </c>
      <c r="C91">
        <v>7.49</v>
      </c>
      <c r="D91">
        <v>111</v>
      </c>
      <c r="E91">
        <v>222.5</v>
      </c>
      <c r="F91">
        <v>1.05</v>
      </c>
      <c r="G91" t="s">
        <v>2074</v>
      </c>
    </row>
    <row r="92" spans="1:7">
      <c r="A92">
        <v>1465</v>
      </c>
      <c r="B92" t="s">
        <v>357</v>
      </c>
      <c r="C92">
        <v>6.12</v>
      </c>
      <c r="D92">
        <v>111</v>
      </c>
      <c r="E92">
        <v>21.06</v>
      </c>
      <c r="F92">
        <v>0.86</v>
      </c>
      <c r="G92" t="s">
        <v>2074</v>
      </c>
    </row>
    <row r="93" spans="1:7">
      <c r="A93">
        <v>1466</v>
      </c>
      <c r="B93" t="s">
        <v>358</v>
      </c>
      <c r="C93">
        <v>0</v>
      </c>
      <c r="D93">
        <v>111</v>
      </c>
      <c r="E93" t="s">
        <v>271</v>
      </c>
      <c r="F93">
        <v>1.03</v>
      </c>
      <c r="G93" t="s">
        <v>2074</v>
      </c>
    </row>
    <row r="94" spans="1:7">
      <c r="A94">
        <v>1467</v>
      </c>
      <c r="B94" t="s">
        <v>359</v>
      </c>
      <c r="C94">
        <v>0</v>
      </c>
      <c r="D94">
        <v>111</v>
      </c>
      <c r="E94" t="s">
        <v>271</v>
      </c>
      <c r="F94">
        <v>0.93</v>
      </c>
      <c r="G94" t="s">
        <v>2074</v>
      </c>
    </row>
    <row r="95" spans="1:7">
      <c r="A95">
        <v>1468</v>
      </c>
      <c r="B95" t="s">
        <v>360</v>
      </c>
      <c r="C95">
        <v>0</v>
      </c>
      <c r="D95">
        <v>111</v>
      </c>
      <c r="E95" t="s">
        <v>271</v>
      </c>
      <c r="F95">
        <v>1.97</v>
      </c>
      <c r="G95" t="s">
        <v>2074</v>
      </c>
    </row>
    <row r="96" spans="1:7">
      <c r="A96">
        <v>1470</v>
      </c>
      <c r="B96" t="s">
        <v>361</v>
      </c>
      <c r="C96">
        <v>2.33</v>
      </c>
      <c r="D96">
        <v>111</v>
      </c>
      <c r="E96">
        <v>33.86</v>
      </c>
      <c r="F96">
        <v>1.68</v>
      </c>
      <c r="G96" t="s">
        <v>2074</v>
      </c>
    </row>
    <row r="97" spans="1:7">
      <c r="A97">
        <v>1471</v>
      </c>
      <c r="B97" t="s">
        <v>362</v>
      </c>
      <c r="C97">
        <v>0</v>
      </c>
      <c r="D97">
        <v>111</v>
      </c>
      <c r="E97" t="s">
        <v>271</v>
      </c>
      <c r="F97">
        <v>1.74</v>
      </c>
      <c r="G97" t="s">
        <v>2074</v>
      </c>
    </row>
    <row r="98" spans="1:7">
      <c r="A98">
        <v>1472</v>
      </c>
      <c r="B98" t="s">
        <v>363</v>
      </c>
      <c r="C98">
        <v>0</v>
      </c>
      <c r="D98">
        <v>111</v>
      </c>
      <c r="E98">
        <v>26.67</v>
      </c>
      <c r="F98">
        <v>1.91</v>
      </c>
      <c r="G98" t="s">
        <v>2074</v>
      </c>
    </row>
    <row r="99" spans="1:7">
      <c r="A99">
        <v>1473</v>
      </c>
      <c r="B99" t="s">
        <v>364</v>
      </c>
      <c r="C99">
        <v>3.42</v>
      </c>
      <c r="D99">
        <v>111</v>
      </c>
      <c r="E99">
        <v>14.2</v>
      </c>
      <c r="F99">
        <v>1.1399999999999999</v>
      </c>
      <c r="G99" t="s">
        <v>2074</v>
      </c>
    </row>
    <row r="100" spans="1:7">
      <c r="A100">
        <v>1474</v>
      </c>
      <c r="B100" t="s">
        <v>365</v>
      </c>
      <c r="C100">
        <v>3.33</v>
      </c>
      <c r="D100">
        <v>111</v>
      </c>
      <c r="E100" t="s">
        <v>271</v>
      </c>
      <c r="F100">
        <v>0.79</v>
      </c>
      <c r="G100" t="s">
        <v>2074</v>
      </c>
    </row>
    <row r="101" spans="1:7">
      <c r="A101">
        <v>1475</v>
      </c>
      <c r="B101" t="s">
        <v>366</v>
      </c>
      <c r="C101">
        <v>1.18</v>
      </c>
      <c r="D101">
        <v>111</v>
      </c>
      <c r="E101">
        <v>10.45</v>
      </c>
      <c r="F101">
        <v>2.31</v>
      </c>
      <c r="G101" t="s">
        <v>2074</v>
      </c>
    </row>
    <row r="102" spans="1:7">
      <c r="A102">
        <v>1476</v>
      </c>
      <c r="B102" t="s">
        <v>367</v>
      </c>
      <c r="C102">
        <v>3.02</v>
      </c>
      <c r="D102">
        <v>111</v>
      </c>
      <c r="E102">
        <v>33.75</v>
      </c>
      <c r="F102">
        <v>6.28</v>
      </c>
      <c r="G102" t="s">
        <v>2074</v>
      </c>
    </row>
    <row r="103" spans="1:7">
      <c r="A103">
        <v>1477</v>
      </c>
      <c r="B103" t="s">
        <v>368</v>
      </c>
      <c r="C103">
        <v>4.09</v>
      </c>
      <c r="D103">
        <v>111</v>
      </c>
      <c r="E103">
        <v>22.25</v>
      </c>
      <c r="F103">
        <v>5.66</v>
      </c>
      <c r="G103" t="s">
        <v>2074</v>
      </c>
    </row>
    <row r="104" spans="1:7">
      <c r="A104">
        <v>1503</v>
      </c>
      <c r="B104" t="s">
        <v>369</v>
      </c>
      <c r="C104">
        <v>1.69</v>
      </c>
      <c r="D104">
        <v>111</v>
      </c>
      <c r="E104">
        <v>26.57</v>
      </c>
      <c r="F104">
        <v>1.94</v>
      </c>
      <c r="G104" t="s">
        <v>2074</v>
      </c>
    </row>
    <row r="105" spans="1:7">
      <c r="A105">
        <v>1504</v>
      </c>
      <c r="B105" t="s">
        <v>370</v>
      </c>
      <c r="C105">
        <v>3.21</v>
      </c>
      <c r="D105">
        <v>111</v>
      </c>
      <c r="E105">
        <v>17.21</v>
      </c>
      <c r="F105">
        <v>1.25</v>
      </c>
      <c r="G105" t="s">
        <v>2074</v>
      </c>
    </row>
    <row r="106" spans="1:7">
      <c r="A106">
        <v>1506</v>
      </c>
      <c r="B106" t="s">
        <v>371</v>
      </c>
      <c r="C106">
        <v>0</v>
      </c>
      <c r="D106">
        <v>111</v>
      </c>
      <c r="E106">
        <v>50.44</v>
      </c>
      <c r="F106">
        <v>1.91</v>
      </c>
      <c r="G106" t="s">
        <v>2074</v>
      </c>
    </row>
    <row r="107" spans="1:7">
      <c r="A107">
        <v>1512</v>
      </c>
      <c r="B107" t="s">
        <v>372</v>
      </c>
      <c r="C107">
        <v>0</v>
      </c>
      <c r="D107">
        <v>111</v>
      </c>
      <c r="E107" t="s">
        <v>271</v>
      </c>
      <c r="F107">
        <v>3.15</v>
      </c>
      <c r="G107" t="s">
        <v>2074</v>
      </c>
    </row>
    <row r="108" spans="1:7">
      <c r="A108">
        <v>1513</v>
      </c>
      <c r="B108" t="s">
        <v>373</v>
      </c>
      <c r="C108">
        <v>2.84</v>
      </c>
      <c r="D108">
        <v>111</v>
      </c>
      <c r="E108">
        <v>37.22</v>
      </c>
      <c r="F108">
        <v>3.9</v>
      </c>
      <c r="G108" t="s">
        <v>2074</v>
      </c>
    </row>
    <row r="109" spans="1:7">
      <c r="A109">
        <v>1514</v>
      </c>
      <c r="B109" t="s">
        <v>374</v>
      </c>
      <c r="C109">
        <v>1.73</v>
      </c>
      <c r="D109">
        <v>111</v>
      </c>
      <c r="E109">
        <v>32.229999999999997</v>
      </c>
      <c r="F109">
        <v>4.43</v>
      </c>
      <c r="G109" t="s">
        <v>2074</v>
      </c>
    </row>
    <row r="110" spans="1:7">
      <c r="A110">
        <v>1515</v>
      </c>
      <c r="B110" t="s">
        <v>375</v>
      </c>
      <c r="C110">
        <v>0</v>
      </c>
      <c r="D110">
        <v>111</v>
      </c>
      <c r="E110">
        <v>344</v>
      </c>
      <c r="F110">
        <v>2.57</v>
      </c>
      <c r="G110" t="s">
        <v>2074</v>
      </c>
    </row>
    <row r="111" spans="1:7">
      <c r="A111">
        <v>1516</v>
      </c>
      <c r="B111" t="s">
        <v>376</v>
      </c>
      <c r="C111">
        <v>6.74</v>
      </c>
      <c r="D111">
        <v>111</v>
      </c>
      <c r="E111">
        <v>24.29</v>
      </c>
      <c r="F111">
        <v>1.6</v>
      </c>
      <c r="G111" t="s">
        <v>2074</v>
      </c>
    </row>
    <row r="112" spans="1:7">
      <c r="A112">
        <v>1517</v>
      </c>
      <c r="B112" t="s">
        <v>377</v>
      </c>
      <c r="C112">
        <v>5.79</v>
      </c>
      <c r="D112">
        <v>111</v>
      </c>
      <c r="E112" t="s">
        <v>271</v>
      </c>
      <c r="F112">
        <v>0.92</v>
      </c>
      <c r="G112" t="s">
        <v>2074</v>
      </c>
    </row>
    <row r="113" spans="1:7">
      <c r="A113">
        <v>1519</v>
      </c>
      <c r="B113" t="s">
        <v>378</v>
      </c>
      <c r="C113">
        <v>0.76</v>
      </c>
      <c r="D113">
        <v>111</v>
      </c>
      <c r="E113">
        <v>44.01</v>
      </c>
      <c r="F113">
        <v>17.3</v>
      </c>
      <c r="G113" t="s">
        <v>2074</v>
      </c>
    </row>
    <row r="114" spans="1:7">
      <c r="A114">
        <v>1521</v>
      </c>
      <c r="B114" t="s">
        <v>379</v>
      </c>
      <c r="C114">
        <v>1.54</v>
      </c>
      <c r="D114">
        <v>111</v>
      </c>
      <c r="E114">
        <v>40.270000000000003</v>
      </c>
      <c r="F114">
        <v>1.89</v>
      </c>
      <c r="G114" t="s">
        <v>2074</v>
      </c>
    </row>
    <row r="115" spans="1:7">
      <c r="A115">
        <v>1522</v>
      </c>
      <c r="B115" t="s">
        <v>380</v>
      </c>
      <c r="C115">
        <v>4.4400000000000004</v>
      </c>
      <c r="D115">
        <v>111</v>
      </c>
      <c r="E115">
        <v>14.16</v>
      </c>
      <c r="F115">
        <v>1.53</v>
      </c>
      <c r="G115" t="s">
        <v>2074</v>
      </c>
    </row>
    <row r="116" spans="1:7">
      <c r="A116">
        <v>1524</v>
      </c>
      <c r="B116" t="s">
        <v>381</v>
      </c>
      <c r="C116">
        <v>2.99</v>
      </c>
      <c r="D116">
        <v>111</v>
      </c>
      <c r="E116">
        <v>17.89</v>
      </c>
      <c r="F116">
        <v>2.08</v>
      </c>
      <c r="G116" t="s">
        <v>2074</v>
      </c>
    </row>
    <row r="117" spans="1:7">
      <c r="A117">
        <v>1525</v>
      </c>
      <c r="B117" t="s">
        <v>382</v>
      </c>
      <c r="C117">
        <v>2.68</v>
      </c>
      <c r="D117">
        <v>111</v>
      </c>
      <c r="E117">
        <v>15.11</v>
      </c>
      <c r="F117">
        <v>1.2</v>
      </c>
      <c r="G117" t="s">
        <v>2074</v>
      </c>
    </row>
    <row r="118" spans="1:7">
      <c r="A118">
        <v>1526</v>
      </c>
      <c r="B118" t="s">
        <v>383</v>
      </c>
      <c r="C118">
        <v>10.26</v>
      </c>
      <c r="D118">
        <v>111</v>
      </c>
      <c r="E118">
        <v>13.87</v>
      </c>
      <c r="F118">
        <v>1.36</v>
      </c>
      <c r="G118" t="s">
        <v>2074</v>
      </c>
    </row>
    <row r="119" spans="1:7">
      <c r="A119">
        <v>1527</v>
      </c>
      <c r="B119" t="s">
        <v>384</v>
      </c>
      <c r="C119">
        <v>5.81</v>
      </c>
      <c r="D119">
        <v>111</v>
      </c>
      <c r="E119">
        <v>14.24</v>
      </c>
      <c r="F119">
        <v>1.22</v>
      </c>
      <c r="G119" t="s">
        <v>2074</v>
      </c>
    </row>
    <row r="120" spans="1:7">
      <c r="A120">
        <v>1528</v>
      </c>
      <c r="B120" t="s">
        <v>385</v>
      </c>
      <c r="C120">
        <v>0.87</v>
      </c>
      <c r="D120">
        <v>111</v>
      </c>
      <c r="E120">
        <v>34.85</v>
      </c>
      <c r="F120">
        <v>0.9</v>
      </c>
      <c r="G120" t="s">
        <v>2074</v>
      </c>
    </row>
    <row r="121" spans="1:7">
      <c r="A121">
        <v>1529</v>
      </c>
      <c r="B121" t="s">
        <v>386</v>
      </c>
      <c r="C121">
        <v>1.66</v>
      </c>
      <c r="D121">
        <v>111</v>
      </c>
      <c r="E121">
        <v>51.75</v>
      </c>
      <c r="F121">
        <v>2.87</v>
      </c>
      <c r="G121" t="s">
        <v>2074</v>
      </c>
    </row>
    <row r="122" spans="1:7">
      <c r="A122">
        <v>1530</v>
      </c>
      <c r="B122" t="s">
        <v>387</v>
      </c>
      <c r="C122">
        <v>4.92</v>
      </c>
      <c r="D122">
        <v>111</v>
      </c>
      <c r="E122">
        <v>13.95</v>
      </c>
      <c r="F122">
        <v>0.95</v>
      </c>
      <c r="G122" t="s">
        <v>2074</v>
      </c>
    </row>
    <row r="123" spans="1:7">
      <c r="A123">
        <v>1531</v>
      </c>
      <c r="B123" t="s">
        <v>388</v>
      </c>
      <c r="C123">
        <v>5.84</v>
      </c>
      <c r="D123">
        <v>111</v>
      </c>
      <c r="E123">
        <v>114.17</v>
      </c>
      <c r="F123">
        <v>0.68</v>
      </c>
      <c r="G123" t="s">
        <v>2074</v>
      </c>
    </row>
    <row r="124" spans="1:7">
      <c r="A124">
        <v>1532</v>
      </c>
      <c r="B124" t="s">
        <v>389</v>
      </c>
      <c r="C124">
        <v>2.86</v>
      </c>
      <c r="D124">
        <v>111</v>
      </c>
      <c r="E124">
        <v>18.559999999999999</v>
      </c>
      <c r="F124">
        <v>1.21</v>
      </c>
      <c r="G124" t="s">
        <v>2074</v>
      </c>
    </row>
    <row r="125" spans="1:7">
      <c r="A125">
        <v>1533</v>
      </c>
      <c r="B125" t="s">
        <v>390</v>
      </c>
      <c r="C125">
        <v>0</v>
      </c>
      <c r="D125">
        <v>111</v>
      </c>
      <c r="E125" t="s">
        <v>271</v>
      </c>
      <c r="F125">
        <v>2.11</v>
      </c>
      <c r="G125" t="s">
        <v>2074</v>
      </c>
    </row>
    <row r="126" spans="1:7">
      <c r="A126">
        <v>1535</v>
      </c>
      <c r="B126" t="s">
        <v>391</v>
      </c>
      <c r="C126">
        <v>5.32</v>
      </c>
      <c r="D126">
        <v>111</v>
      </c>
      <c r="E126">
        <v>15.2</v>
      </c>
      <c r="F126">
        <v>1.98</v>
      </c>
      <c r="G126" t="s">
        <v>2074</v>
      </c>
    </row>
    <row r="127" spans="1:7">
      <c r="A127">
        <v>1536</v>
      </c>
      <c r="B127" t="s">
        <v>392</v>
      </c>
      <c r="C127">
        <v>2.68</v>
      </c>
      <c r="D127">
        <v>111</v>
      </c>
      <c r="E127">
        <v>33.729999999999997</v>
      </c>
      <c r="F127">
        <v>1.89</v>
      </c>
      <c r="G127" t="s">
        <v>2074</v>
      </c>
    </row>
    <row r="128" spans="1:7">
      <c r="A128">
        <v>1537</v>
      </c>
      <c r="B128" t="s">
        <v>393</v>
      </c>
      <c r="C128">
        <v>7.58</v>
      </c>
      <c r="D128">
        <v>111</v>
      </c>
      <c r="E128">
        <v>18.78</v>
      </c>
      <c r="F128">
        <v>2.62</v>
      </c>
      <c r="G128" t="s">
        <v>2074</v>
      </c>
    </row>
    <row r="129" spans="1:7">
      <c r="A129">
        <v>1538</v>
      </c>
      <c r="B129" t="s">
        <v>394</v>
      </c>
      <c r="C129">
        <v>0</v>
      </c>
      <c r="D129">
        <v>111</v>
      </c>
      <c r="E129" t="s">
        <v>271</v>
      </c>
      <c r="F129">
        <v>5.26</v>
      </c>
      <c r="G129" t="s">
        <v>2074</v>
      </c>
    </row>
    <row r="130" spans="1:7">
      <c r="A130">
        <v>1539</v>
      </c>
      <c r="B130" t="s">
        <v>395</v>
      </c>
      <c r="C130">
        <v>10.27</v>
      </c>
      <c r="D130">
        <v>111</v>
      </c>
      <c r="E130">
        <v>37.46</v>
      </c>
      <c r="F130">
        <v>1.01</v>
      </c>
      <c r="G130" t="s">
        <v>2074</v>
      </c>
    </row>
    <row r="131" spans="1:7">
      <c r="A131">
        <v>1540</v>
      </c>
      <c r="B131" t="s">
        <v>396</v>
      </c>
      <c r="C131">
        <v>3.45</v>
      </c>
      <c r="D131">
        <v>111</v>
      </c>
      <c r="E131">
        <v>16.73</v>
      </c>
      <c r="F131">
        <v>1.05</v>
      </c>
      <c r="G131" t="s">
        <v>2074</v>
      </c>
    </row>
    <row r="132" spans="1:7">
      <c r="A132">
        <v>1541</v>
      </c>
      <c r="B132" t="s">
        <v>397</v>
      </c>
      <c r="C132">
        <v>3.04</v>
      </c>
      <c r="D132">
        <v>111</v>
      </c>
      <c r="E132" t="s">
        <v>271</v>
      </c>
      <c r="F132">
        <v>1.36</v>
      </c>
      <c r="G132" t="s">
        <v>2074</v>
      </c>
    </row>
    <row r="133" spans="1:7">
      <c r="A133">
        <v>1558</v>
      </c>
      <c r="B133" t="s">
        <v>398</v>
      </c>
      <c r="C133">
        <v>5.16</v>
      </c>
      <c r="D133">
        <v>111</v>
      </c>
      <c r="E133">
        <v>31.89</v>
      </c>
      <c r="F133">
        <v>1.31</v>
      </c>
      <c r="G133" t="s">
        <v>2074</v>
      </c>
    </row>
    <row r="134" spans="1:7">
      <c r="A134">
        <v>1560</v>
      </c>
      <c r="B134" t="s">
        <v>399</v>
      </c>
      <c r="C134">
        <v>2.08</v>
      </c>
      <c r="D134">
        <v>111</v>
      </c>
      <c r="E134">
        <v>31.27</v>
      </c>
      <c r="F134">
        <v>4.6900000000000004</v>
      </c>
      <c r="G134" t="s">
        <v>2074</v>
      </c>
    </row>
    <row r="135" spans="1:7">
      <c r="A135">
        <v>1568</v>
      </c>
      <c r="B135" t="s">
        <v>400</v>
      </c>
      <c r="C135">
        <v>3.34</v>
      </c>
      <c r="D135">
        <v>111</v>
      </c>
      <c r="E135">
        <v>9.9700000000000006</v>
      </c>
      <c r="F135">
        <v>1.85</v>
      </c>
      <c r="G135" t="s">
        <v>2074</v>
      </c>
    </row>
    <row r="136" spans="1:7">
      <c r="A136">
        <v>1582</v>
      </c>
      <c r="B136" t="s">
        <v>401</v>
      </c>
      <c r="C136">
        <v>3.75</v>
      </c>
      <c r="D136">
        <v>111</v>
      </c>
      <c r="E136">
        <v>20.28</v>
      </c>
      <c r="F136">
        <v>1.71</v>
      </c>
      <c r="G136" t="s">
        <v>2074</v>
      </c>
    </row>
    <row r="137" spans="1:7">
      <c r="A137">
        <v>1583</v>
      </c>
      <c r="B137" t="s">
        <v>402</v>
      </c>
      <c r="C137">
        <v>4.4400000000000004</v>
      </c>
      <c r="D137">
        <v>111</v>
      </c>
      <c r="E137">
        <v>11.78</v>
      </c>
      <c r="F137">
        <v>1.39</v>
      </c>
      <c r="G137" t="s">
        <v>2074</v>
      </c>
    </row>
    <row r="138" spans="1:7">
      <c r="A138">
        <v>1587</v>
      </c>
      <c r="B138" t="s">
        <v>403</v>
      </c>
      <c r="C138">
        <v>4.3600000000000003</v>
      </c>
      <c r="D138">
        <v>111</v>
      </c>
      <c r="E138">
        <v>27</v>
      </c>
      <c r="F138">
        <v>1.1200000000000001</v>
      </c>
      <c r="G138" t="s">
        <v>2074</v>
      </c>
    </row>
    <row r="139" spans="1:7">
      <c r="A139">
        <v>1589</v>
      </c>
      <c r="B139" t="s">
        <v>404</v>
      </c>
      <c r="C139">
        <v>0</v>
      </c>
      <c r="D139">
        <v>111</v>
      </c>
      <c r="E139" t="s">
        <v>271</v>
      </c>
      <c r="F139">
        <v>0.7</v>
      </c>
      <c r="G139" t="s">
        <v>2074</v>
      </c>
    </row>
    <row r="140" spans="1:7">
      <c r="A140">
        <v>1590</v>
      </c>
      <c r="B140" t="s">
        <v>405</v>
      </c>
      <c r="C140">
        <v>1.3</v>
      </c>
      <c r="D140">
        <v>111</v>
      </c>
      <c r="E140">
        <v>30.57</v>
      </c>
      <c r="F140">
        <v>4.8600000000000003</v>
      </c>
      <c r="G140" t="s">
        <v>2074</v>
      </c>
    </row>
    <row r="141" spans="1:7">
      <c r="A141">
        <v>1597</v>
      </c>
      <c r="B141" t="s">
        <v>406</v>
      </c>
      <c r="C141">
        <v>3.13</v>
      </c>
      <c r="D141">
        <v>111</v>
      </c>
      <c r="E141">
        <v>27.9</v>
      </c>
      <c r="F141">
        <v>2.35</v>
      </c>
      <c r="G141" t="s">
        <v>2074</v>
      </c>
    </row>
    <row r="142" spans="1:7">
      <c r="A142">
        <v>1598</v>
      </c>
      <c r="B142" t="s">
        <v>407</v>
      </c>
      <c r="C142">
        <v>1.43</v>
      </c>
      <c r="D142">
        <v>111</v>
      </c>
      <c r="E142" t="s">
        <v>271</v>
      </c>
      <c r="F142">
        <v>1.18</v>
      </c>
      <c r="G142" t="s">
        <v>2074</v>
      </c>
    </row>
    <row r="143" spans="1:7">
      <c r="A143">
        <v>1603</v>
      </c>
      <c r="B143" t="s">
        <v>408</v>
      </c>
      <c r="C143">
        <v>1.3</v>
      </c>
      <c r="D143">
        <v>111</v>
      </c>
      <c r="E143">
        <v>14.98</v>
      </c>
      <c r="F143">
        <v>0.98</v>
      </c>
      <c r="G143" t="s">
        <v>2074</v>
      </c>
    </row>
    <row r="144" spans="1:7">
      <c r="A144">
        <v>1604</v>
      </c>
      <c r="B144" t="s">
        <v>409</v>
      </c>
      <c r="C144">
        <v>5.15</v>
      </c>
      <c r="D144">
        <v>111</v>
      </c>
      <c r="E144">
        <v>15.48</v>
      </c>
      <c r="F144">
        <v>1.3</v>
      </c>
      <c r="G144" t="s">
        <v>2074</v>
      </c>
    </row>
    <row r="145" spans="1:7">
      <c r="A145">
        <v>1605</v>
      </c>
      <c r="B145" t="s">
        <v>410</v>
      </c>
      <c r="C145">
        <v>4.66</v>
      </c>
      <c r="D145">
        <v>111</v>
      </c>
      <c r="E145">
        <v>29.06</v>
      </c>
      <c r="F145">
        <v>1.08</v>
      </c>
      <c r="G145" t="s">
        <v>2074</v>
      </c>
    </row>
    <row r="146" spans="1:7">
      <c r="A146">
        <v>1608</v>
      </c>
      <c r="B146" t="s">
        <v>411</v>
      </c>
      <c r="C146">
        <v>1.86</v>
      </c>
      <c r="D146">
        <v>111</v>
      </c>
      <c r="E146">
        <v>11</v>
      </c>
      <c r="F146">
        <v>1.23</v>
      </c>
      <c r="G146" t="s">
        <v>2074</v>
      </c>
    </row>
    <row r="147" spans="1:7">
      <c r="A147">
        <v>1609</v>
      </c>
      <c r="B147" t="s">
        <v>412</v>
      </c>
      <c r="C147">
        <v>1.68</v>
      </c>
      <c r="D147">
        <v>111</v>
      </c>
      <c r="E147">
        <v>8.8000000000000007</v>
      </c>
      <c r="F147">
        <v>1.8</v>
      </c>
      <c r="G147" t="s">
        <v>2074</v>
      </c>
    </row>
    <row r="148" spans="1:7">
      <c r="A148">
        <v>1611</v>
      </c>
      <c r="B148" t="s">
        <v>413</v>
      </c>
      <c r="C148">
        <v>1.81</v>
      </c>
      <c r="D148">
        <v>111</v>
      </c>
      <c r="E148">
        <v>39.520000000000003</v>
      </c>
      <c r="F148">
        <v>1.25</v>
      </c>
      <c r="G148" t="s">
        <v>2074</v>
      </c>
    </row>
    <row r="149" spans="1:7">
      <c r="A149">
        <v>1612</v>
      </c>
      <c r="B149" t="s">
        <v>414</v>
      </c>
      <c r="C149">
        <v>5.3</v>
      </c>
      <c r="D149">
        <v>111</v>
      </c>
      <c r="E149">
        <v>15.3</v>
      </c>
      <c r="F149">
        <v>1.23</v>
      </c>
      <c r="G149" t="s">
        <v>2074</v>
      </c>
    </row>
    <row r="150" spans="1:7">
      <c r="A150">
        <v>1614</v>
      </c>
      <c r="B150" t="s">
        <v>415</v>
      </c>
      <c r="C150">
        <v>2.57</v>
      </c>
      <c r="D150">
        <v>111</v>
      </c>
      <c r="E150">
        <v>31.3</v>
      </c>
      <c r="F150">
        <v>1.82</v>
      </c>
      <c r="G150" t="s">
        <v>2074</v>
      </c>
    </row>
    <row r="151" spans="1:7">
      <c r="A151">
        <v>1615</v>
      </c>
      <c r="B151" t="s">
        <v>416</v>
      </c>
      <c r="C151" s="47">
        <v>5.68</v>
      </c>
      <c r="D151">
        <v>111</v>
      </c>
      <c r="E151">
        <v>13.71</v>
      </c>
      <c r="F151">
        <v>2.59</v>
      </c>
      <c r="G151" t="s">
        <v>2074</v>
      </c>
    </row>
    <row r="152" spans="1:7">
      <c r="A152">
        <v>1616</v>
      </c>
      <c r="B152" t="s">
        <v>417</v>
      </c>
      <c r="C152">
        <v>0</v>
      </c>
      <c r="D152">
        <v>111</v>
      </c>
      <c r="E152">
        <v>14.84</v>
      </c>
      <c r="F152">
        <v>1.52</v>
      </c>
      <c r="G152" t="s">
        <v>2074</v>
      </c>
    </row>
    <row r="153" spans="1:7">
      <c r="A153">
        <v>1617</v>
      </c>
      <c r="B153" t="s">
        <v>418</v>
      </c>
      <c r="C153">
        <v>1.81</v>
      </c>
      <c r="D153">
        <v>111</v>
      </c>
      <c r="E153">
        <v>50.15</v>
      </c>
      <c r="F153">
        <v>1.22</v>
      </c>
      <c r="G153" t="s">
        <v>2074</v>
      </c>
    </row>
    <row r="154" spans="1:7">
      <c r="A154">
        <v>1618</v>
      </c>
      <c r="B154" t="s">
        <v>419</v>
      </c>
      <c r="C154">
        <v>1.84</v>
      </c>
      <c r="D154">
        <v>111</v>
      </c>
      <c r="E154">
        <v>20.149999999999999</v>
      </c>
      <c r="F154">
        <v>1.32</v>
      </c>
      <c r="G154" t="s">
        <v>2074</v>
      </c>
    </row>
    <row r="155" spans="1:7">
      <c r="A155">
        <v>1626</v>
      </c>
      <c r="B155" t="s">
        <v>420</v>
      </c>
      <c r="C155">
        <v>6.06</v>
      </c>
      <c r="D155">
        <v>111</v>
      </c>
      <c r="E155" t="s">
        <v>271</v>
      </c>
      <c r="F155">
        <v>0.78</v>
      </c>
      <c r="G155" t="s">
        <v>2074</v>
      </c>
    </row>
    <row r="156" spans="1:7">
      <c r="A156">
        <v>1701</v>
      </c>
      <c r="B156" t="s">
        <v>421</v>
      </c>
      <c r="C156">
        <v>3.29</v>
      </c>
      <c r="D156">
        <v>111</v>
      </c>
      <c r="E156">
        <v>22.76</v>
      </c>
      <c r="F156">
        <v>0.99</v>
      </c>
      <c r="G156" t="s">
        <v>2074</v>
      </c>
    </row>
    <row r="157" spans="1:7">
      <c r="A157">
        <v>1702</v>
      </c>
      <c r="B157" t="s">
        <v>422</v>
      </c>
      <c r="C157">
        <v>3.94</v>
      </c>
      <c r="D157">
        <v>111</v>
      </c>
      <c r="E157">
        <v>16.440000000000001</v>
      </c>
      <c r="F157">
        <v>1.31</v>
      </c>
      <c r="G157" t="s">
        <v>2074</v>
      </c>
    </row>
    <row r="158" spans="1:7">
      <c r="A158">
        <v>1707</v>
      </c>
      <c r="B158" t="s">
        <v>423</v>
      </c>
      <c r="C158">
        <v>4.42</v>
      </c>
      <c r="D158">
        <v>111</v>
      </c>
      <c r="E158">
        <v>15.87</v>
      </c>
      <c r="F158">
        <v>2.42</v>
      </c>
      <c r="G158" t="s">
        <v>2074</v>
      </c>
    </row>
    <row r="159" spans="1:7">
      <c r="A159">
        <v>1708</v>
      </c>
      <c r="B159" t="s">
        <v>424</v>
      </c>
      <c r="C159">
        <v>9.16</v>
      </c>
      <c r="D159">
        <v>111</v>
      </c>
      <c r="E159" t="s">
        <v>271</v>
      </c>
      <c r="F159">
        <v>1.26</v>
      </c>
      <c r="G159" t="s">
        <v>2074</v>
      </c>
    </row>
    <row r="160" spans="1:7">
      <c r="A160">
        <v>1709</v>
      </c>
      <c r="B160" t="s">
        <v>425</v>
      </c>
      <c r="C160">
        <v>8.61</v>
      </c>
      <c r="D160">
        <v>111</v>
      </c>
      <c r="E160">
        <v>19.170000000000002</v>
      </c>
      <c r="F160">
        <v>1.24</v>
      </c>
      <c r="G160" t="s">
        <v>2074</v>
      </c>
    </row>
    <row r="161" spans="1:7">
      <c r="A161">
        <v>1710</v>
      </c>
      <c r="B161" t="s">
        <v>426</v>
      </c>
      <c r="C161">
        <v>0.99</v>
      </c>
      <c r="D161">
        <v>111</v>
      </c>
      <c r="E161">
        <v>18.32</v>
      </c>
      <c r="F161">
        <v>1.42</v>
      </c>
      <c r="G161" t="s">
        <v>2074</v>
      </c>
    </row>
    <row r="162" spans="1:7">
      <c r="A162">
        <v>1711</v>
      </c>
      <c r="B162" t="s">
        <v>427</v>
      </c>
      <c r="C162">
        <v>1.79</v>
      </c>
      <c r="D162">
        <v>111</v>
      </c>
      <c r="E162">
        <v>72.59</v>
      </c>
      <c r="F162">
        <v>1.29</v>
      </c>
      <c r="G162" t="s">
        <v>2074</v>
      </c>
    </row>
    <row r="163" spans="1:7">
      <c r="A163">
        <v>1712</v>
      </c>
      <c r="B163" t="s">
        <v>428</v>
      </c>
      <c r="C163">
        <v>7.28</v>
      </c>
      <c r="D163">
        <v>111</v>
      </c>
      <c r="E163">
        <v>14.96</v>
      </c>
      <c r="F163">
        <v>1.95</v>
      </c>
      <c r="G163" t="s">
        <v>2074</v>
      </c>
    </row>
    <row r="164" spans="1:7">
      <c r="A164">
        <v>1713</v>
      </c>
      <c r="B164" t="s">
        <v>429</v>
      </c>
      <c r="C164">
        <v>2.5</v>
      </c>
      <c r="D164">
        <v>111</v>
      </c>
      <c r="E164">
        <v>16.13</v>
      </c>
      <c r="F164">
        <v>2.17</v>
      </c>
      <c r="G164" t="s">
        <v>2074</v>
      </c>
    </row>
    <row r="165" spans="1:7">
      <c r="A165">
        <v>1714</v>
      </c>
      <c r="B165" t="s">
        <v>430</v>
      </c>
      <c r="C165">
        <v>1.1000000000000001</v>
      </c>
      <c r="D165">
        <v>111</v>
      </c>
      <c r="E165">
        <v>17.899999999999999</v>
      </c>
      <c r="F165">
        <v>0.73</v>
      </c>
      <c r="G165" t="s">
        <v>2074</v>
      </c>
    </row>
    <row r="166" spans="1:7">
      <c r="A166">
        <v>1717</v>
      </c>
      <c r="B166" t="s">
        <v>431</v>
      </c>
      <c r="C166">
        <v>4.12</v>
      </c>
      <c r="D166">
        <v>111</v>
      </c>
      <c r="E166">
        <v>23.66</v>
      </c>
      <c r="F166">
        <v>1.37</v>
      </c>
      <c r="G166" t="s">
        <v>2074</v>
      </c>
    </row>
    <row r="167" spans="1:7">
      <c r="A167">
        <v>1718</v>
      </c>
      <c r="B167" t="s">
        <v>432</v>
      </c>
      <c r="C167">
        <v>0</v>
      </c>
      <c r="D167">
        <v>111</v>
      </c>
      <c r="E167" t="s">
        <v>271</v>
      </c>
      <c r="F167">
        <v>0.51</v>
      </c>
      <c r="G167" t="s">
        <v>2074</v>
      </c>
    </row>
    <row r="168" spans="1:7">
      <c r="A168">
        <v>1720</v>
      </c>
      <c r="B168" t="s">
        <v>433</v>
      </c>
      <c r="C168" s="47">
        <v>3.79</v>
      </c>
      <c r="D168">
        <v>111</v>
      </c>
      <c r="E168">
        <v>13.87</v>
      </c>
      <c r="F168">
        <v>2.34</v>
      </c>
      <c r="G168" t="s">
        <v>2074</v>
      </c>
    </row>
    <row r="169" spans="1:7">
      <c r="A169">
        <v>1721</v>
      </c>
      <c r="B169" t="s">
        <v>434</v>
      </c>
      <c r="C169">
        <v>0.65</v>
      </c>
      <c r="D169">
        <v>111</v>
      </c>
      <c r="E169" t="s">
        <v>271</v>
      </c>
      <c r="F169">
        <v>1.31</v>
      </c>
      <c r="G169" t="s">
        <v>2074</v>
      </c>
    </row>
    <row r="170" spans="1:7">
      <c r="A170">
        <v>1722</v>
      </c>
      <c r="B170" t="s">
        <v>435</v>
      </c>
      <c r="C170">
        <v>3.7</v>
      </c>
      <c r="D170">
        <v>111</v>
      </c>
      <c r="E170">
        <v>15.76</v>
      </c>
      <c r="F170">
        <v>1.21</v>
      </c>
      <c r="G170" t="s">
        <v>2074</v>
      </c>
    </row>
    <row r="171" spans="1:7">
      <c r="A171">
        <v>1723</v>
      </c>
      <c r="B171" t="s">
        <v>436</v>
      </c>
      <c r="C171">
        <v>4.22</v>
      </c>
      <c r="D171">
        <v>111</v>
      </c>
      <c r="E171">
        <v>18.37</v>
      </c>
      <c r="F171">
        <v>3.5</v>
      </c>
      <c r="G171" t="s">
        <v>2074</v>
      </c>
    </row>
    <row r="172" spans="1:7">
      <c r="A172">
        <v>1725</v>
      </c>
      <c r="B172" t="s">
        <v>437</v>
      </c>
      <c r="C172">
        <v>4.5599999999999996</v>
      </c>
      <c r="D172">
        <v>111</v>
      </c>
      <c r="E172">
        <v>20.32</v>
      </c>
      <c r="F172">
        <v>0.92</v>
      </c>
      <c r="G172" t="s">
        <v>2074</v>
      </c>
    </row>
    <row r="173" spans="1:7">
      <c r="A173">
        <v>1726</v>
      </c>
      <c r="B173" t="s">
        <v>438</v>
      </c>
      <c r="C173">
        <v>4.63</v>
      </c>
      <c r="D173">
        <v>111</v>
      </c>
      <c r="E173">
        <v>14.62</v>
      </c>
      <c r="F173">
        <v>1.26</v>
      </c>
      <c r="G173" t="s">
        <v>2074</v>
      </c>
    </row>
    <row r="174" spans="1:7">
      <c r="A174">
        <v>1727</v>
      </c>
      <c r="B174" t="s">
        <v>439</v>
      </c>
      <c r="C174">
        <v>2.5299999999999998</v>
      </c>
      <c r="D174">
        <v>111</v>
      </c>
      <c r="E174">
        <v>31.7</v>
      </c>
      <c r="F174">
        <v>1.85</v>
      </c>
      <c r="G174" t="s">
        <v>2074</v>
      </c>
    </row>
    <row r="175" spans="1:7">
      <c r="A175">
        <v>1730</v>
      </c>
      <c r="B175" t="s">
        <v>440</v>
      </c>
      <c r="C175">
        <v>5.2</v>
      </c>
      <c r="D175">
        <v>111</v>
      </c>
      <c r="E175">
        <v>16.39</v>
      </c>
      <c r="F175">
        <v>2.0299999999999998</v>
      </c>
      <c r="G175" t="s">
        <v>2074</v>
      </c>
    </row>
    <row r="176" spans="1:7">
      <c r="A176">
        <v>1731</v>
      </c>
      <c r="B176" t="s">
        <v>441</v>
      </c>
      <c r="C176">
        <v>4.9000000000000004</v>
      </c>
      <c r="D176">
        <v>111</v>
      </c>
      <c r="E176">
        <v>18.399999999999999</v>
      </c>
      <c r="F176">
        <v>1.48</v>
      </c>
      <c r="G176" t="s">
        <v>2074</v>
      </c>
    </row>
    <row r="177" spans="1:7">
      <c r="A177">
        <v>1732</v>
      </c>
      <c r="B177" t="s">
        <v>442</v>
      </c>
      <c r="C177">
        <v>0</v>
      </c>
      <c r="D177">
        <v>111</v>
      </c>
      <c r="E177" t="s">
        <v>271</v>
      </c>
      <c r="F177">
        <v>2.73</v>
      </c>
      <c r="G177" t="s">
        <v>2074</v>
      </c>
    </row>
    <row r="178" spans="1:7">
      <c r="A178">
        <v>1733</v>
      </c>
      <c r="B178" t="s">
        <v>443</v>
      </c>
      <c r="C178">
        <v>3.47</v>
      </c>
      <c r="D178">
        <v>111</v>
      </c>
      <c r="E178">
        <v>27.99</v>
      </c>
      <c r="F178">
        <v>2.2599999999999998</v>
      </c>
      <c r="G178" t="s">
        <v>2074</v>
      </c>
    </row>
    <row r="179" spans="1:7">
      <c r="A179">
        <v>1734</v>
      </c>
      <c r="B179" t="s">
        <v>444</v>
      </c>
      <c r="C179">
        <v>2.95</v>
      </c>
      <c r="D179">
        <v>111</v>
      </c>
      <c r="E179">
        <v>20.58</v>
      </c>
      <c r="F179">
        <v>1.88</v>
      </c>
      <c r="G179" t="s">
        <v>2074</v>
      </c>
    </row>
    <row r="180" spans="1:7">
      <c r="A180">
        <v>1735</v>
      </c>
      <c r="B180" t="s">
        <v>445</v>
      </c>
      <c r="C180">
        <v>2.87</v>
      </c>
      <c r="D180">
        <v>111</v>
      </c>
      <c r="E180">
        <v>23.2</v>
      </c>
      <c r="F180">
        <v>1.1599999999999999</v>
      </c>
      <c r="G180" t="s">
        <v>2074</v>
      </c>
    </row>
    <row r="181" spans="1:7">
      <c r="A181">
        <v>1736</v>
      </c>
      <c r="B181" t="s">
        <v>446</v>
      </c>
      <c r="C181">
        <v>0.87</v>
      </c>
      <c r="D181">
        <v>111</v>
      </c>
      <c r="E181">
        <v>35.229999999999997</v>
      </c>
      <c r="F181">
        <v>2.2000000000000002</v>
      </c>
      <c r="G181" t="s">
        <v>2074</v>
      </c>
    </row>
    <row r="182" spans="1:7">
      <c r="A182">
        <v>1737</v>
      </c>
      <c r="B182" t="s">
        <v>447</v>
      </c>
      <c r="C182" s="47">
        <v>4.3899999999999997</v>
      </c>
      <c r="D182">
        <v>111</v>
      </c>
      <c r="E182">
        <v>17.63</v>
      </c>
      <c r="F182">
        <v>1.05</v>
      </c>
      <c r="G182" t="s">
        <v>2074</v>
      </c>
    </row>
    <row r="183" spans="1:7">
      <c r="A183">
        <v>1752</v>
      </c>
      <c r="B183" t="s">
        <v>448</v>
      </c>
      <c r="C183">
        <v>4.32</v>
      </c>
      <c r="D183">
        <v>111</v>
      </c>
      <c r="E183">
        <v>13.63</v>
      </c>
      <c r="F183">
        <v>2.23</v>
      </c>
      <c r="G183" t="s">
        <v>2074</v>
      </c>
    </row>
    <row r="184" spans="1:7">
      <c r="A184">
        <v>1760</v>
      </c>
      <c r="B184" t="s">
        <v>449</v>
      </c>
      <c r="C184">
        <v>1.79</v>
      </c>
      <c r="D184">
        <v>111</v>
      </c>
      <c r="E184" t="s">
        <v>271</v>
      </c>
      <c r="F184">
        <v>5.08</v>
      </c>
      <c r="G184" t="s">
        <v>2074</v>
      </c>
    </row>
    <row r="185" spans="1:7">
      <c r="A185">
        <v>1762</v>
      </c>
      <c r="B185" t="s">
        <v>450</v>
      </c>
      <c r="C185">
        <v>2.2599999999999998</v>
      </c>
      <c r="D185">
        <v>111</v>
      </c>
      <c r="E185">
        <v>15.35</v>
      </c>
      <c r="F185">
        <v>1.34</v>
      </c>
      <c r="G185" t="s">
        <v>2074</v>
      </c>
    </row>
    <row r="186" spans="1:7">
      <c r="A186">
        <v>1773</v>
      </c>
      <c r="B186" t="s">
        <v>451</v>
      </c>
      <c r="C186">
        <v>2.68</v>
      </c>
      <c r="D186">
        <v>111</v>
      </c>
      <c r="E186">
        <v>21.69</v>
      </c>
      <c r="F186">
        <v>4.05</v>
      </c>
      <c r="G186" t="s">
        <v>2074</v>
      </c>
    </row>
    <row r="187" spans="1:7">
      <c r="A187">
        <v>1776</v>
      </c>
      <c r="B187" t="s">
        <v>452</v>
      </c>
      <c r="C187">
        <v>3.51</v>
      </c>
      <c r="D187">
        <v>111</v>
      </c>
      <c r="E187">
        <v>114</v>
      </c>
      <c r="F187">
        <v>1.1599999999999999</v>
      </c>
      <c r="G187" t="s">
        <v>2074</v>
      </c>
    </row>
    <row r="188" spans="1:7">
      <c r="A188">
        <v>1783</v>
      </c>
      <c r="B188" t="s">
        <v>453</v>
      </c>
      <c r="C188" s="47">
        <v>2.0699999999999998</v>
      </c>
      <c r="D188">
        <v>111</v>
      </c>
      <c r="E188">
        <v>22.51</v>
      </c>
      <c r="F188">
        <v>3.14</v>
      </c>
      <c r="G188" t="s">
        <v>2074</v>
      </c>
    </row>
    <row r="189" spans="1:7">
      <c r="A189">
        <v>1786</v>
      </c>
      <c r="B189" t="s">
        <v>454</v>
      </c>
      <c r="C189">
        <v>2.5499999999999998</v>
      </c>
      <c r="D189">
        <v>111</v>
      </c>
      <c r="E189">
        <v>31.04</v>
      </c>
      <c r="F189">
        <v>3.29</v>
      </c>
      <c r="G189" t="s">
        <v>2074</v>
      </c>
    </row>
    <row r="190" spans="1:7">
      <c r="A190">
        <v>1789</v>
      </c>
      <c r="B190" t="s">
        <v>455</v>
      </c>
      <c r="C190">
        <v>1.36</v>
      </c>
      <c r="D190">
        <v>111</v>
      </c>
      <c r="E190">
        <v>91.03</v>
      </c>
      <c r="F190">
        <v>2.04</v>
      </c>
      <c r="G190" t="s">
        <v>2074</v>
      </c>
    </row>
    <row r="191" spans="1:7">
      <c r="A191">
        <v>1795</v>
      </c>
      <c r="B191" t="s">
        <v>456</v>
      </c>
      <c r="C191">
        <v>1.27</v>
      </c>
      <c r="D191">
        <v>111</v>
      </c>
      <c r="E191">
        <v>18.57</v>
      </c>
      <c r="F191">
        <v>4.29</v>
      </c>
      <c r="G191" t="s">
        <v>2074</v>
      </c>
    </row>
    <row r="192" spans="1:7">
      <c r="A192">
        <v>1802</v>
      </c>
      <c r="B192" t="s">
        <v>457</v>
      </c>
      <c r="C192">
        <v>0</v>
      </c>
      <c r="D192">
        <v>111</v>
      </c>
      <c r="E192" t="s">
        <v>271</v>
      </c>
      <c r="F192">
        <v>1.1299999999999999</v>
      </c>
      <c r="G192" t="s">
        <v>2074</v>
      </c>
    </row>
    <row r="193" spans="1:7">
      <c r="A193">
        <v>1805</v>
      </c>
      <c r="B193" t="s">
        <v>458</v>
      </c>
      <c r="C193">
        <v>0</v>
      </c>
      <c r="D193">
        <v>111</v>
      </c>
      <c r="E193" t="s">
        <v>271</v>
      </c>
      <c r="F193">
        <v>1.84</v>
      </c>
      <c r="G193" t="s">
        <v>2074</v>
      </c>
    </row>
    <row r="194" spans="1:7">
      <c r="A194">
        <v>1806</v>
      </c>
      <c r="B194" t="s">
        <v>459</v>
      </c>
      <c r="C194">
        <v>0</v>
      </c>
      <c r="D194">
        <v>111</v>
      </c>
      <c r="E194" t="s">
        <v>271</v>
      </c>
      <c r="F194">
        <v>0.82</v>
      </c>
      <c r="G194" t="s">
        <v>2074</v>
      </c>
    </row>
    <row r="195" spans="1:7">
      <c r="A195">
        <v>1808</v>
      </c>
      <c r="B195" t="s">
        <v>460</v>
      </c>
      <c r="C195">
        <v>0.6</v>
      </c>
      <c r="D195">
        <v>111</v>
      </c>
      <c r="E195" s="47">
        <v>6.86</v>
      </c>
      <c r="F195">
        <v>3.71</v>
      </c>
      <c r="G195" t="s">
        <v>2074</v>
      </c>
    </row>
    <row r="196" spans="1:7">
      <c r="A196">
        <v>1809</v>
      </c>
      <c r="B196" t="s">
        <v>461</v>
      </c>
      <c r="C196">
        <v>1.59</v>
      </c>
      <c r="D196">
        <v>111</v>
      </c>
      <c r="E196" t="s">
        <v>271</v>
      </c>
      <c r="F196">
        <v>0.9</v>
      </c>
      <c r="G196" t="s">
        <v>2074</v>
      </c>
    </row>
    <row r="197" spans="1:7">
      <c r="A197">
        <v>1810</v>
      </c>
      <c r="B197" t="s">
        <v>462</v>
      </c>
      <c r="C197">
        <v>1.1000000000000001</v>
      </c>
      <c r="D197">
        <v>111</v>
      </c>
      <c r="E197" t="s">
        <v>271</v>
      </c>
      <c r="F197">
        <v>0.83</v>
      </c>
      <c r="G197" t="s">
        <v>2074</v>
      </c>
    </row>
    <row r="198" spans="1:7">
      <c r="A198">
        <v>1817</v>
      </c>
      <c r="B198" t="s">
        <v>463</v>
      </c>
      <c r="C198">
        <v>6.23</v>
      </c>
      <c r="D198">
        <v>111</v>
      </c>
      <c r="E198">
        <v>12.22</v>
      </c>
      <c r="F198">
        <v>1.35</v>
      </c>
      <c r="G198" t="s">
        <v>2074</v>
      </c>
    </row>
    <row r="199" spans="1:7">
      <c r="A199">
        <v>1903</v>
      </c>
      <c r="B199" t="s">
        <v>464</v>
      </c>
      <c r="C199">
        <v>0</v>
      </c>
      <c r="D199">
        <v>111</v>
      </c>
      <c r="E199">
        <v>221.15</v>
      </c>
      <c r="F199">
        <v>3.68</v>
      </c>
      <c r="G199" t="s">
        <v>2074</v>
      </c>
    </row>
    <row r="200" spans="1:7">
      <c r="A200">
        <v>1904</v>
      </c>
      <c r="B200" t="s">
        <v>465</v>
      </c>
      <c r="C200">
        <v>3.7</v>
      </c>
      <c r="D200">
        <v>111</v>
      </c>
      <c r="E200">
        <v>42.5</v>
      </c>
      <c r="F200">
        <v>1.17</v>
      </c>
      <c r="G200" t="s">
        <v>2074</v>
      </c>
    </row>
    <row r="201" spans="1:7">
      <c r="A201">
        <v>1905</v>
      </c>
      <c r="B201" t="s">
        <v>466</v>
      </c>
      <c r="C201">
        <v>1.27</v>
      </c>
      <c r="D201">
        <v>111</v>
      </c>
      <c r="E201" t="s">
        <v>271</v>
      </c>
      <c r="F201">
        <v>1.71</v>
      </c>
      <c r="G201" t="s">
        <v>2074</v>
      </c>
    </row>
    <row r="202" spans="1:7">
      <c r="A202">
        <v>1906</v>
      </c>
      <c r="B202" t="s">
        <v>467</v>
      </c>
      <c r="C202">
        <v>3.23</v>
      </c>
      <c r="D202">
        <v>111</v>
      </c>
      <c r="E202">
        <v>81.58</v>
      </c>
      <c r="F202">
        <v>0.54</v>
      </c>
      <c r="G202" t="s">
        <v>2074</v>
      </c>
    </row>
    <row r="203" spans="1:7">
      <c r="A203">
        <v>1907</v>
      </c>
      <c r="B203" t="s">
        <v>468</v>
      </c>
      <c r="C203">
        <v>2.76</v>
      </c>
      <c r="D203">
        <v>111</v>
      </c>
      <c r="E203">
        <v>42.34</v>
      </c>
      <c r="F203">
        <v>0.96</v>
      </c>
      <c r="G203" t="s">
        <v>2074</v>
      </c>
    </row>
    <row r="204" spans="1:7">
      <c r="A204">
        <v>1909</v>
      </c>
      <c r="B204" t="s">
        <v>469</v>
      </c>
      <c r="C204">
        <v>1.69</v>
      </c>
      <c r="D204">
        <v>111</v>
      </c>
      <c r="E204" t="s">
        <v>271</v>
      </c>
      <c r="F204">
        <v>0.88</v>
      </c>
      <c r="G204" t="s">
        <v>2074</v>
      </c>
    </row>
    <row r="205" spans="1:7">
      <c r="A205">
        <v>2002</v>
      </c>
      <c r="B205" t="s">
        <v>470</v>
      </c>
      <c r="C205">
        <v>3.7</v>
      </c>
      <c r="D205">
        <v>111</v>
      </c>
      <c r="E205" t="s">
        <v>271</v>
      </c>
      <c r="F205">
        <v>1.34</v>
      </c>
      <c r="G205" t="s">
        <v>2074</v>
      </c>
    </row>
    <row r="206" spans="1:7">
      <c r="A206">
        <v>2006</v>
      </c>
      <c r="B206" t="s">
        <v>471</v>
      </c>
      <c r="C206">
        <v>4.95</v>
      </c>
      <c r="D206">
        <v>111</v>
      </c>
      <c r="E206">
        <v>12.25</v>
      </c>
      <c r="F206">
        <v>1.73</v>
      </c>
      <c r="G206" t="s">
        <v>2074</v>
      </c>
    </row>
    <row r="207" spans="1:7">
      <c r="A207">
        <v>2007</v>
      </c>
      <c r="B207" t="s">
        <v>472</v>
      </c>
      <c r="C207">
        <v>0</v>
      </c>
      <c r="D207">
        <v>111</v>
      </c>
      <c r="E207" t="s">
        <v>271</v>
      </c>
      <c r="F207">
        <v>1.1299999999999999</v>
      </c>
      <c r="G207" t="s">
        <v>2074</v>
      </c>
    </row>
    <row r="208" spans="1:7">
      <c r="A208">
        <v>2008</v>
      </c>
      <c r="B208" t="s">
        <v>473</v>
      </c>
      <c r="C208">
        <v>2.27</v>
      </c>
      <c r="D208">
        <v>111</v>
      </c>
      <c r="E208">
        <v>9.67</v>
      </c>
      <c r="F208">
        <v>1.38</v>
      </c>
      <c r="G208" t="s">
        <v>2074</v>
      </c>
    </row>
    <row r="209" spans="1:7">
      <c r="A209">
        <v>2009</v>
      </c>
      <c r="B209" t="s">
        <v>474</v>
      </c>
      <c r="C209">
        <v>1.25</v>
      </c>
      <c r="D209">
        <v>111</v>
      </c>
      <c r="E209">
        <v>290.91000000000003</v>
      </c>
      <c r="F209">
        <v>1.96</v>
      </c>
      <c r="G209" t="s">
        <v>2074</v>
      </c>
    </row>
    <row r="210" spans="1:7">
      <c r="A210">
        <v>2010</v>
      </c>
      <c r="B210" t="s">
        <v>475</v>
      </c>
      <c r="C210">
        <v>3.21</v>
      </c>
      <c r="D210">
        <v>111</v>
      </c>
      <c r="E210">
        <v>16.55</v>
      </c>
      <c r="F210">
        <v>1.06</v>
      </c>
      <c r="G210" t="s">
        <v>2074</v>
      </c>
    </row>
    <row r="211" spans="1:7">
      <c r="A211">
        <v>2012</v>
      </c>
      <c r="B211" t="s">
        <v>476</v>
      </c>
      <c r="C211">
        <v>5.94</v>
      </c>
      <c r="D211">
        <v>111</v>
      </c>
      <c r="E211">
        <v>30.42</v>
      </c>
      <c r="F211">
        <v>1.66</v>
      </c>
      <c r="G211" t="s">
        <v>2074</v>
      </c>
    </row>
    <row r="212" spans="1:7">
      <c r="A212">
        <v>2013</v>
      </c>
      <c r="B212" t="s">
        <v>477</v>
      </c>
      <c r="C212">
        <v>3.07</v>
      </c>
      <c r="D212">
        <v>111</v>
      </c>
      <c r="E212">
        <v>23.43</v>
      </c>
      <c r="F212">
        <v>2.14</v>
      </c>
      <c r="G212" t="s">
        <v>2074</v>
      </c>
    </row>
    <row r="213" spans="1:7">
      <c r="A213">
        <v>2014</v>
      </c>
      <c r="B213" t="s">
        <v>478</v>
      </c>
      <c r="C213">
        <v>1.34</v>
      </c>
      <c r="D213">
        <v>111</v>
      </c>
      <c r="E213" t="s">
        <v>271</v>
      </c>
      <c r="F213">
        <v>2.34</v>
      </c>
      <c r="G213" t="s">
        <v>2074</v>
      </c>
    </row>
    <row r="214" spans="1:7">
      <c r="A214">
        <v>2015</v>
      </c>
      <c r="B214" t="s">
        <v>479</v>
      </c>
      <c r="C214">
        <v>5.79</v>
      </c>
      <c r="D214">
        <v>111</v>
      </c>
      <c r="E214">
        <v>16.489999999999998</v>
      </c>
      <c r="F214">
        <v>1.9</v>
      </c>
      <c r="G214" t="s">
        <v>2074</v>
      </c>
    </row>
    <row r="215" spans="1:7">
      <c r="A215">
        <v>2017</v>
      </c>
      <c r="B215" t="s">
        <v>480</v>
      </c>
      <c r="C215">
        <v>5.33</v>
      </c>
      <c r="D215">
        <v>111</v>
      </c>
      <c r="E215" t="s">
        <v>271</v>
      </c>
      <c r="F215">
        <v>1.21</v>
      </c>
      <c r="G215" t="s">
        <v>2074</v>
      </c>
    </row>
    <row r="216" spans="1:7">
      <c r="A216">
        <v>2020</v>
      </c>
      <c r="B216" t="s">
        <v>481</v>
      </c>
      <c r="C216">
        <v>3.12</v>
      </c>
      <c r="D216">
        <v>111</v>
      </c>
      <c r="E216">
        <v>10.050000000000001</v>
      </c>
      <c r="F216">
        <v>1.96</v>
      </c>
      <c r="G216" t="s">
        <v>2074</v>
      </c>
    </row>
    <row r="217" spans="1:7">
      <c r="A217">
        <v>2022</v>
      </c>
      <c r="B217" t="s">
        <v>482</v>
      </c>
      <c r="C217">
        <v>0</v>
      </c>
      <c r="D217">
        <v>111</v>
      </c>
      <c r="E217" t="s">
        <v>271</v>
      </c>
      <c r="F217">
        <v>1.22</v>
      </c>
      <c r="G217" t="s">
        <v>2074</v>
      </c>
    </row>
    <row r="218" spans="1:7">
      <c r="A218">
        <v>2023</v>
      </c>
      <c r="B218" t="s">
        <v>483</v>
      </c>
      <c r="C218">
        <v>1.68</v>
      </c>
      <c r="D218">
        <v>111</v>
      </c>
      <c r="E218" t="s">
        <v>271</v>
      </c>
      <c r="F218">
        <v>1.1299999999999999</v>
      </c>
      <c r="G218" t="s">
        <v>2074</v>
      </c>
    </row>
    <row r="219" spans="1:7">
      <c r="A219">
        <v>2024</v>
      </c>
      <c r="B219" t="s">
        <v>484</v>
      </c>
      <c r="C219">
        <v>1.66</v>
      </c>
      <c r="D219">
        <v>111</v>
      </c>
      <c r="E219" t="s">
        <v>271</v>
      </c>
      <c r="F219">
        <v>1.84</v>
      </c>
      <c r="G219" t="s">
        <v>2074</v>
      </c>
    </row>
    <row r="220" spans="1:7">
      <c r="A220">
        <v>2025</v>
      </c>
      <c r="B220" t="s">
        <v>485</v>
      </c>
      <c r="C220">
        <v>0</v>
      </c>
      <c r="D220">
        <v>111</v>
      </c>
      <c r="E220">
        <v>4.55</v>
      </c>
      <c r="F220">
        <v>1.1399999999999999</v>
      </c>
      <c r="G220" t="s">
        <v>2074</v>
      </c>
    </row>
    <row r="221" spans="1:7">
      <c r="A221">
        <v>2027</v>
      </c>
      <c r="B221" t="s">
        <v>486</v>
      </c>
      <c r="C221">
        <v>11.11</v>
      </c>
      <c r="D221">
        <v>111</v>
      </c>
      <c r="E221">
        <v>15.53</v>
      </c>
      <c r="F221">
        <v>1.28</v>
      </c>
      <c r="G221" t="s">
        <v>2074</v>
      </c>
    </row>
    <row r="222" spans="1:7">
      <c r="A222">
        <v>2028</v>
      </c>
      <c r="B222" t="s">
        <v>487</v>
      </c>
      <c r="C222">
        <v>4.95</v>
      </c>
      <c r="D222">
        <v>111</v>
      </c>
      <c r="E222">
        <v>23.03</v>
      </c>
      <c r="F222">
        <v>1.97</v>
      </c>
      <c r="G222" t="s">
        <v>2074</v>
      </c>
    </row>
    <row r="223" spans="1:7">
      <c r="A223">
        <v>2029</v>
      </c>
      <c r="B223" t="s">
        <v>488</v>
      </c>
      <c r="C223">
        <v>3.52</v>
      </c>
      <c r="D223">
        <v>111</v>
      </c>
      <c r="E223">
        <v>18.28</v>
      </c>
      <c r="F223">
        <v>0.95</v>
      </c>
      <c r="G223" t="s">
        <v>2074</v>
      </c>
    </row>
    <row r="224" spans="1:7">
      <c r="A224">
        <v>2030</v>
      </c>
      <c r="B224" t="s">
        <v>489</v>
      </c>
      <c r="C224">
        <v>7.59</v>
      </c>
      <c r="D224">
        <v>111</v>
      </c>
      <c r="E224">
        <v>63.71</v>
      </c>
      <c r="F224">
        <v>1.1200000000000001</v>
      </c>
      <c r="G224" t="s">
        <v>2074</v>
      </c>
    </row>
    <row r="225" spans="1:7">
      <c r="A225">
        <v>2031</v>
      </c>
      <c r="B225" t="s">
        <v>490</v>
      </c>
      <c r="C225">
        <v>1.73</v>
      </c>
      <c r="D225">
        <v>111</v>
      </c>
      <c r="E225">
        <v>12.46</v>
      </c>
      <c r="F225">
        <v>1.76</v>
      </c>
      <c r="G225" t="s">
        <v>2074</v>
      </c>
    </row>
    <row r="226" spans="1:7">
      <c r="A226">
        <v>2032</v>
      </c>
      <c r="B226" t="s">
        <v>491</v>
      </c>
      <c r="C226">
        <v>1.04</v>
      </c>
      <c r="D226">
        <v>111</v>
      </c>
      <c r="E226" t="s">
        <v>271</v>
      </c>
      <c r="F226">
        <v>1.51</v>
      </c>
      <c r="G226" t="s">
        <v>2074</v>
      </c>
    </row>
    <row r="227" spans="1:7">
      <c r="A227">
        <v>2033</v>
      </c>
      <c r="B227" t="s">
        <v>492</v>
      </c>
      <c r="C227">
        <v>0</v>
      </c>
      <c r="D227">
        <v>111</v>
      </c>
      <c r="E227" t="s">
        <v>271</v>
      </c>
      <c r="F227">
        <v>1.43</v>
      </c>
      <c r="G227" t="s">
        <v>2074</v>
      </c>
    </row>
    <row r="228" spans="1:7">
      <c r="A228">
        <v>2034</v>
      </c>
      <c r="B228" t="s">
        <v>493</v>
      </c>
      <c r="C228">
        <v>5.48</v>
      </c>
      <c r="D228">
        <v>111</v>
      </c>
      <c r="E228" t="s">
        <v>271</v>
      </c>
      <c r="F228">
        <v>1.38</v>
      </c>
      <c r="G228" t="s">
        <v>2074</v>
      </c>
    </row>
    <row r="229" spans="1:7">
      <c r="A229">
        <v>2038</v>
      </c>
      <c r="B229" t="s">
        <v>494</v>
      </c>
      <c r="C229">
        <v>2.2799999999999998</v>
      </c>
      <c r="D229">
        <v>111</v>
      </c>
      <c r="E229">
        <v>39.909999999999997</v>
      </c>
      <c r="F229">
        <v>1.1299999999999999</v>
      </c>
      <c r="G229" t="s">
        <v>2074</v>
      </c>
    </row>
    <row r="230" spans="1:7">
      <c r="A230">
        <v>2049</v>
      </c>
      <c r="B230" t="s">
        <v>495</v>
      </c>
      <c r="C230">
        <v>2.34</v>
      </c>
      <c r="D230">
        <v>111</v>
      </c>
      <c r="E230">
        <v>38.46</v>
      </c>
      <c r="F230">
        <v>2.4</v>
      </c>
      <c r="G230" t="s">
        <v>2074</v>
      </c>
    </row>
    <row r="231" spans="1:7">
      <c r="A231">
        <v>2059</v>
      </c>
      <c r="B231" t="s">
        <v>496</v>
      </c>
      <c r="C231">
        <v>2.19</v>
      </c>
      <c r="D231">
        <v>111</v>
      </c>
      <c r="E231">
        <v>30.9</v>
      </c>
      <c r="F231">
        <v>5.47</v>
      </c>
      <c r="G231" t="s">
        <v>2074</v>
      </c>
    </row>
    <row r="232" spans="1:7">
      <c r="A232">
        <v>2062</v>
      </c>
      <c r="B232" t="s">
        <v>497</v>
      </c>
      <c r="C232">
        <v>3.96</v>
      </c>
      <c r="D232">
        <v>111</v>
      </c>
      <c r="E232">
        <v>21.96</v>
      </c>
      <c r="F232">
        <v>0.68</v>
      </c>
      <c r="G232" t="s">
        <v>2074</v>
      </c>
    </row>
    <row r="233" spans="1:7">
      <c r="A233">
        <v>2069</v>
      </c>
      <c r="B233" t="s">
        <v>498</v>
      </c>
      <c r="C233">
        <v>5.57</v>
      </c>
      <c r="D233">
        <v>111</v>
      </c>
      <c r="E233" t="s">
        <v>271</v>
      </c>
      <c r="F233">
        <v>0.78</v>
      </c>
      <c r="G233" t="s">
        <v>2074</v>
      </c>
    </row>
    <row r="234" spans="1:7">
      <c r="A234">
        <v>2101</v>
      </c>
      <c r="B234" t="s">
        <v>499</v>
      </c>
      <c r="C234">
        <v>0</v>
      </c>
      <c r="D234">
        <v>111</v>
      </c>
      <c r="E234" t="s">
        <v>271</v>
      </c>
      <c r="F234">
        <v>3.35</v>
      </c>
      <c r="G234" t="s">
        <v>2074</v>
      </c>
    </row>
    <row r="235" spans="1:7">
      <c r="A235">
        <v>2102</v>
      </c>
      <c r="B235" t="s">
        <v>500</v>
      </c>
      <c r="C235">
        <v>0</v>
      </c>
      <c r="D235">
        <v>111</v>
      </c>
      <c r="E235" t="s">
        <v>271</v>
      </c>
      <c r="F235">
        <v>1.1399999999999999</v>
      </c>
      <c r="G235" t="s">
        <v>2074</v>
      </c>
    </row>
    <row r="236" spans="1:7">
      <c r="A236">
        <v>2103</v>
      </c>
      <c r="B236" t="s">
        <v>501</v>
      </c>
      <c r="C236">
        <v>4.4800000000000004</v>
      </c>
      <c r="D236">
        <v>111</v>
      </c>
      <c r="E236">
        <v>44.63</v>
      </c>
      <c r="F236">
        <v>1.01</v>
      </c>
      <c r="G236" t="s">
        <v>2074</v>
      </c>
    </row>
    <row r="237" spans="1:7">
      <c r="A237">
        <v>2104</v>
      </c>
      <c r="B237" t="s">
        <v>502</v>
      </c>
      <c r="C237">
        <v>0.51</v>
      </c>
      <c r="D237">
        <v>111</v>
      </c>
      <c r="E237" t="s">
        <v>271</v>
      </c>
      <c r="F237">
        <v>0.55000000000000004</v>
      </c>
      <c r="G237" t="s">
        <v>2074</v>
      </c>
    </row>
    <row r="238" spans="1:7">
      <c r="A238">
        <v>2105</v>
      </c>
      <c r="B238" t="s">
        <v>503</v>
      </c>
      <c r="C238">
        <v>3.12</v>
      </c>
      <c r="D238">
        <v>111</v>
      </c>
      <c r="E238">
        <v>22.23</v>
      </c>
      <c r="F238">
        <v>1.71</v>
      </c>
      <c r="G238" t="s">
        <v>2074</v>
      </c>
    </row>
    <row r="239" spans="1:7">
      <c r="A239">
        <v>2106</v>
      </c>
      <c r="B239" t="s">
        <v>504</v>
      </c>
      <c r="C239">
        <v>3.24</v>
      </c>
      <c r="D239">
        <v>111</v>
      </c>
      <c r="E239" t="s">
        <v>271</v>
      </c>
      <c r="F239">
        <v>1.47</v>
      </c>
      <c r="G239" t="s">
        <v>2074</v>
      </c>
    </row>
    <row r="240" spans="1:7">
      <c r="A240">
        <v>2107</v>
      </c>
      <c r="B240" t="s">
        <v>505</v>
      </c>
      <c r="C240">
        <v>4.93</v>
      </c>
      <c r="D240">
        <v>111</v>
      </c>
      <c r="E240">
        <v>14.08</v>
      </c>
      <c r="F240">
        <v>0.61</v>
      </c>
      <c r="G240" t="s">
        <v>2074</v>
      </c>
    </row>
    <row r="241" spans="1:7">
      <c r="A241">
        <v>2108</v>
      </c>
      <c r="B241" t="s">
        <v>506</v>
      </c>
      <c r="C241">
        <v>5.32</v>
      </c>
      <c r="D241">
        <v>111</v>
      </c>
      <c r="E241">
        <v>26.67</v>
      </c>
      <c r="F241">
        <v>1.29</v>
      </c>
      <c r="G241" t="s">
        <v>2074</v>
      </c>
    </row>
    <row r="242" spans="1:7">
      <c r="A242">
        <v>2109</v>
      </c>
      <c r="B242" t="s">
        <v>507</v>
      </c>
      <c r="C242">
        <v>6.12</v>
      </c>
      <c r="D242">
        <v>111</v>
      </c>
      <c r="E242">
        <v>13.01</v>
      </c>
      <c r="F242">
        <v>1.24</v>
      </c>
      <c r="G242" t="s">
        <v>2074</v>
      </c>
    </row>
    <row r="243" spans="1:7">
      <c r="A243">
        <v>2114</v>
      </c>
      <c r="B243" t="s">
        <v>508</v>
      </c>
      <c r="C243">
        <v>4.6500000000000004</v>
      </c>
      <c r="D243">
        <v>111</v>
      </c>
      <c r="E243">
        <v>18.22</v>
      </c>
      <c r="F243">
        <v>2.83</v>
      </c>
      <c r="G243" t="s">
        <v>2074</v>
      </c>
    </row>
    <row r="244" spans="1:7">
      <c r="A244">
        <v>2115</v>
      </c>
      <c r="B244" t="s">
        <v>509</v>
      </c>
      <c r="C244">
        <v>4.41</v>
      </c>
      <c r="D244">
        <v>111</v>
      </c>
      <c r="E244">
        <v>14.58</v>
      </c>
      <c r="F244">
        <v>0.95</v>
      </c>
      <c r="G244" t="s">
        <v>2074</v>
      </c>
    </row>
    <row r="245" spans="1:7">
      <c r="A245">
        <v>2201</v>
      </c>
      <c r="B245" t="s">
        <v>510</v>
      </c>
      <c r="C245">
        <v>1.24</v>
      </c>
      <c r="D245">
        <v>111</v>
      </c>
      <c r="E245">
        <v>99.73</v>
      </c>
      <c r="F245">
        <v>1.41</v>
      </c>
      <c r="G245" t="s">
        <v>2074</v>
      </c>
    </row>
    <row r="246" spans="1:7">
      <c r="A246">
        <v>2204</v>
      </c>
      <c r="B246" t="s">
        <v>511</v>
      </c>
      <c r="C246">
        <v>3.54</v>
      </c>
      <c r="D246">
        <v>111</v>
      </c>
      <c r="E246">
        <v>50</v>
      </c>
      <c r="F246">
        <v>1.83</v>
      </c>
      <c r="G246" t="s">
        <v>2074</v>
      </c>
    </row>
    <row r="247" spans="1:7">
      <c r="A247">
        <v>2206</v>
      </c>
      <c r="B247" t="s">
        <v>512</v>
      </c>
      <c r="C247">
        <v>2.52</v>
      </c>
      <c r="D247">
        <v>111</v>
      </c>
      <c r="E247">
        <v>10.42</v>
      </c>
      <c r="F247">
        <v>2.64</v>
      </c>
      <c r="G247" t="s">
        <v>2074</v>
      </c>
    </row>
    <row r="248" spans="1:7">
      <c r="A248">
        <v>2207</v>
      </c>
      <c r="B248" t="s">
        <v>513</v>
      </c>
      <c r="C248">
        <v>0.31</v>
      </c>
      <c r="D248">
        <v>111</v>
      </c>
      <c r="E248">
        <v>42.48</v>
      </c>
      <c r="F248">
        <v>6.31</v>
      </c>
      <c r="G248" t="s">
        <v>2074</v>
      </c>
    </row>
    <row r="249" spans="1:7">
      <c r="A249">
        <v>2208</v>
      </c>
      <c r="B249" t="s">
        <v>514</v>
      </c>
      <c r="C249">
        <v>0</v>
      </c>
      <c r="D249">
        <v>111</v>
      </c>
      <c r="E249" t="s">
        <v>271</v>
      </c>
      <c r="F249">
        <v>3.03</v>
      </c>
      <c r="G249" t="s">
        <v>2074</v>
      </c>
    </row>
    <row r="250" spans="1:7">
      <c r="A250">
        <v>2211</v>
      </c>
      <c r="B250" t="s">
        <v>515</v>
      </c>
      <c r="C250">
        <v>4.8099999999999996</v>
      </c>
      <c r="D250">
        <v>111</v>
      </c>
      <c r="E250">
        <v>11.5</v>
      </c>
      <c r="F250">
        <v>1.88</v>
      </c>
      <c r="G250" t="s">
        <v>2074</v>
      </c>
    </row>
    <row r="251" spans="1:7">
      <c r="A251">
        <v>2227</v>
      </c>
      <c r="B251" t="s">
        <v>516</v>
      </c>
      <c r="C251">
        <v>3.79</v>
      </c>
      <c r="D251">
        <v>111</v>
      </c>
      <c r="E251">
        <v>42.52</v>
      </c>
      <c r="F251">
        <v>3.14</v>
      </c>
      <c r="G251" t="s">
        <v>2074</v>
      </c>
    </row>
    <row r="252" spans="1:7">
      <c r="A252">
        <v>2228</v>
      </c>
      <c r="B252" t="s">
        <v>517</v>
      </c>
      <c r="C252">
        <v>4.37</v>
      </c>
      <c r="D252">
        <v>111</v>
      </c>
      <c r="E252">
        <v>15.51</v>
      </c>
      <c r="F252">
        <v>1.63</v>
      </c>
      <c r="G252" t="s">
        <v>2074</v>
      </c>
    </row>
    <row r="253" spans="1:7">
      <c r="A253">
        <v>2231</v>
      </c>
      <c r="B253" t="s">
        <v>518</v>
      </c>
      <c r="C253">
        <v>2.08</v>
      </c>
      <c r="D253">
        <v>111</v>
      </c>
      <c r="E253">
        <v>30.16</v>
      </c>
      <c r="F253">
        <v>4.46</v>
      </c>
      <c r="G253" t="s">
        <v>2074</v>
      </c>
    </row>
    <row r="254" spans="1:7">
      <c r="A254">
        <v>2233</v>
      </c>
      <c r="B254" t="s">
        <v>519</v>
      </c>
      <c r="C254">
        <v>4.32</v>
      </c>
      <c r="D254">
        <v>111</v>
      </c>
      <c r="E254">
        <v>17.010000000000002</v>
      </c>
      <c r="F254">
        <v>2.4</v>
      </c>
      <c r="G254" t="s">
        <v>2074</v>
      </c>
    </row>
    <row r="255" spans="1:7">
      <c r="A255">
        <v>2236</v>
      </c>
      <c r="B255" t="s">
        <v>520</v>
      </c>
      <c r="C255">
        <v>0.39</v>
      </c>
      <c r="D255">
        <v>111</v>
      </c>
      <c r="E255">
        <v>28.88</v>
      </c>
      <c r="F255">
        <v>2.5299999999999998</v>
      </c>
      <c r="G255" t="s">
        <v>2074</v>
      </c>
    </row>
    <row r="256" spans="1:7">
      <c r="A256">
        <v>2239</v>
      </c>
      <c r="B256" t="s">
        <v>521</v>
      </c>
      <c r="C256">
        <v>0.77</v>
      </c>
      <c r="D256">
        <v>111</v>
      </c>
      <c r="E256" s="47">
        <v>33.619999999999997</v>
      </c>
      <c r="F256">
        <v>0.65</v>
      </c>
      <c r="G256" t="s">
        <v>2074</v>
      </c>
    </row>
    <row r="257" spans="1:7">
      <c r="A257">
        <v>2241</v>
      </c>
      <c r="B257" t="s">
        <v>522</v>
      </c>
      <c r="C257">
        <v>0</v>
      </c>
      <c r="D257">
        <v>111</v>
      </c>
      <c r="E257" t="s">
        <v>271</v>
      </c>
      <c r="F257">
        <v>2.25</v>
      </c>
      <c r="G257" t="s">
        <v>2074</v>
      </c>
    </row>
    <row r="258" spans="1:7">
      <c r="A258">
        <v>2243</v>
      </c>
      <c r="B258" t="s">
        <v>523</v>
      </c>
      <c r="C258">
        <v>0</v>
      </c>
      <c r="D258">
        <v>111</v>
      </c>
      <c r="E258" t="s">
        <v>271</v>
      </c>
      <c r="F258">
        <v>1.66</v>
      </c>
      <c r="G258" t="s">
        <v>2074</v>
      </c>
    </row>
    <row r="259" spans="1:7">
      <c r="A259">
        <v>2247</v>
      </c>
      <c r="B259" t="s">
        <v>524</v>
      </c>
      <c r="C259">
        <v>5.01</v>
      </c>
      <c r="D259">
        <v>111</v>
      </c>
      <c r="E259">
        <v>13.47</v>
      </c>
      <c r="F259">
        <v>1.95</v>
      </c>
      <c r="G259" t="s">
        <v>2074</v>
      </c>
    </row>
    <row r="260" spans="1:7">
      <c r="A260">
        <v>2250</v>
      </c>
      <c r="B260" t="s">
        <v>525</v>
      </c>
      <c r="C260">
        <v>3.53</v>
      </c>
      <c r="D260">
        <v>111</v>
      </c>
      <c r="E260">
        <v>22.74</v>
      </c>
      <c r="F260">
        <v>1.5</v>
      </c>
      <c r="G260" t="s">
        <v>2074</v>
      </c>
    </row>
    <row r="261" spans="1:7">
      <c r="A261">
        <v>2254</v>
      </c>
      <c r="B261" t="s">
        <v>2075</v>
      </c>
      <c r="C261">
        <v>2.93</v>
      </c>
      <c r="D261">
        <v>111</v>
      </c>
      <c r="E261" t="s">
        <v>271</v>
      </c>
      <c r="F261">
        <v>7.42</v>
      </c>
      <c r="G261" t="s">
        <v>2074</v>
      </c>
    </row>
    <row r="262" spans="1:7">
      <c r="A262">
        <v>2258</v>
      </c>
      <c r="B262" t="s">
        <v>2076</v>
      </c>
      <c r="C262">
        <v>0</v>
      </c>
      <c r="D262">
        <v>111</v>
      </c>
      <c r="E262" t="s">
        <v>271</v>
      </c>
      <c r="F262">
        <v>5.85</v>
      </c>
      <c r="G262" t="s">
        <v>2074</v>
      </c>
    </row>
    <row r="263" spans="1:7">
      <c r="A263">
        <v>2301</v>
      </c>
      <c r="B263" t="s">
        <v>526</v>
      </c>
      <c r="C263">
        <v>3.85</v>
      </c>
      <c r="D263">
        <v>111</v>
      </c>
      <c r="E263">
        <v>18.03</v>
      </c>
      <c r="F263">
        <v>3.22</v>
      </c>
      <c r="G263" t="s">
        <v>2074</v>
      </c>
    </row>
    <row r="264" spans="1:7">
      <c r="A264">
        <v>2302</v>
      </c>
      <c r="B264" t="s">
        <v>527</v>
      </c>
      <c r="C264">
        <v>4.34</v>
      </c>
      <c r="D264">
        <v>111</v>
      </c>
      <c r="E264">
        <v>28.38</v>
      </c>
      <c r="F264">
        <v>1.73</v>
      </c>
      <c r="G264" t="s">
        <v>2074</v>
      </c>
    </row>
    <row r="265" spans="1:7">
      <c r="A265">
        <v>2303</v>
      </c>
      <c r="B265" t="s">
        <v>528</v>
      </c>
      <c r="C265">
        <v>6.84</v>
      </c>
      <c r="D265">
        <v>111</v>
      </c>
      <c r="E265">
        <v>9.83</v>
      </c>
      <c r="F265">
        <v>1.88</v>
      </c>
      <c r="G265" t="s">
        <v>2074</v>
      </c>
    </row>
    <row r="266" spans="1:7">
      <c r="A266">
        <v>2305</v>
      </c>
      <c r="B266" t="s">
        <v>529</v>
      </c>
      <c r="C266">
        <v>0</v>
      </c>
      <c r="D266">
        <v>111</v>
      </c>
      <c r="E266" t="s">
        <v>271</v>
      </c>
      <c r="F266">
        <v>2.0699999999999998</v>
      </c>
      <c r="G266" t="s">
        <v>2074</v>
      </c>
    </row>
    <row r="267" spans="1:7">
      <c r="A267">
        <v>2308</v>
      </c>
      <c r="B267" t="s">
        <v>530</v>
      </c>
      <c r="C267">
        <v>3.14</v>
      </c>
      <c r="D267">
        <v>111</v>
      </c>
      <c r="E267">
        <v>25.18</v>
      </c>
      <c r="F267">
        <v>4.12</v>
      </c>
      <c r="G267" t="s">
        <v>2074</v>
      </c>
    </row>
    <row r="268" spans="1:7">
      <c r="A268">
        <v>2312</v>
      </c>
      <c r="B268" t="s">
        <v>531</v>
      </c>
      <c r="C268">
        <v>1.85</v>
      </c>
      <c r="D268">
        <v>111</v>
      </c>
      <c r="E268">
        <v>33.159999999999997</v>
      </c>
      <c r="F268">
        <v>1.17</v>
      </c>
      <c r="G268" t="s">
        <v>2074</v>
      </c>
    </row>
    <row r="269" spans="1:7">
      <c r="A269">
        <v>2313</v>
      </c>
      <c r="B269" t="s">
        <v>532</v>
      </c>
      <c r="C269">
        <v>3.82</v>
      </c>
      <c r="D269">
        <v>111</v>
      </c>
      <c r="E269">
        <v>17.54</v>
      </c>
      <c r="F269">
        <v>2.1800000000000002</v>
      </c>
      <c r="G269" t="s">
        <v>2074</v>
      </c>
    </row>
    <row r="270" spans="1:7">
      <c r="A270">
        <v>2314</v>
      </c>
      <c r="B270" t="s">
        <v>533</v>
      </c>
      <c r="C270">
        <v>0</v>
      </c>
      <c r="D270">
        <v>111</v>
      </c>
      <c r="E270" t="s">
        <v>271</v>
      </c>
      <c r="F270">
        <v>5.0999999999999996</v>
      </c>
      <c r="G270" t="s">
        <v>2074</v>
      </c>
    </row>
    <row r="271" spans="1:7">
      <c r="A271">
        <v>2316</v>
      </c>
      <c r="B271" t="s">
        <v>534</v>
      </c>
      <c r="C271">
        <v>1.29</v>
      </c>
      <c r="D271">
        <v>111</v>
      </c>
      <c r="E271">
        <v>51.05</v>
      </c>
      <c r="F271">
        <v>0.86</v>
      </c>
      <c r="G271" t="s">
        <v>2074</v>
      </c>
    </row>
    <row r="272" spans="1:7">
      <c r="A272">
        <v>2317</v>
      </c>
      <c r="B272" t="s">
        <v>535</v>
      </c>
      <c r="C272">
        <v>5.07</v>
      </c>
      <c r="D272">
        <v>111</v>
      </c>
      <c r="E272">
        <v>11.24</v>
      </c>
      <c r="F272">
        <v>0.98</v>
      </c>
      <c r="G272" t="s">
        <v>2074</v>
      </c>
    </row>
    <row r="273" spans="1:7">
      <c r="A273">
        <v>2321</v>
      </c>
      <c r="B273" t="s">
        <v>536</v>
      </c>
      <c r="C273">
        <v>0</v>
      </c>
      <c r="D273">
        <v>111</v>
      </c>
      <c r="E273" t="s">
        <v>271</v>
      </c>
      <c r="F273">
        <v>2.2599999999999998</v>
      </c>
      <c r="G273" t="s">
        <v>2074</v>
      </c>
    </row>
    <row r="274" spans="1:7">
      <c r="A274">
        <v>2323</v>
      </c>
      <c r="B274" t="s">
        <v>537</v>
      </c>
      <c r="C274">
        <v>0</v>
      </c>
      <c r="D274">
        <v>111</v>
      </c>
      <c r="E274">
        <v>13.86</v>
      </c>
      <c r="F274">
        <v>0.71</v>
      </c>
      <c r="G274" t="s">
        <v>2074</v>
      </c>
    </row>
    <row r="275" spans="1:7">
      <c r="A275">
        <v>2324</v>
      </c>
      <c r="B275" t="s">
        <v>538</v>
      </c>
      <c r="C275">
        <v>3.01</v>
      </c>
      <c r="D275">
        <v>111</v>
      </c>
      <c r="E275">
        <v>24.91</v>
      </c>
      <c r="F275">
        <v>1.43</v>
      </c>
      <c r="G275" t="s">
        <v>2074</v>
      </c>
    </row>
    <row r="276" spans="1:7">
      <c r="A276">
        <v>2327</v>
      </c>
      <c r="B276" t="s">
        <v>539</v>
      </c>
      <c r="C276">
        <v>1.67</v>
      </c>
      <c r="D276">
        <v>111</v>
      </c>
      <c r="E276">
        <v>14.83</v>
      </c>
      <c r="F276">
        <v>1.83</v>
      </c>
      <c r="G276" t="s">
        <v>2074</v>
      </c>
    </row>
    <row r="277" spans="1:7">
      <c r="A277">
        <v>2328</v>
      </c>
      <c r="B277" t="s">
        <v>540</v>
      </c>
      <c r="C277">
        <v>3.95</v>
      </c>
      <c r="D277">
        <v>111</v>
      </c>
      <c r="E277">
        <v>14.18</v>
      </c>
      <c r="F277">
        <v>1.38</v>
      </c>
      <c r="G277" t="s">
        <v>2074</v>
      </c>
    </row>
    <row r="278" spans="1:7">
      <c r="A278">
        <v>2329</v>
      </c>
      <c r="B278" t="s">
        <v>541</v>
      </c>
      <c r="C278">
        <v>1.56</v>
      </c>
      <c r="D278">
        <v>111</v>
      </c>
      <c r="E278">
        <v>26.59</v>
      </c>
      <c r="F278">
        <v>3.76</v>
      </c>
      <c r="G278" t="s">
        <v>2074</v>
      </c>
    </row>
    <row r="279" spans="1:7">
      <c r="A279">
        <v>2330</v>
      </c>
      <c r="B279" t="s">
        <v>542</v>
      </c>
      <c r="C279">
        <v>1.85</v>
      </c>
      <c r="D279">
        <v>111</v>
      </c>
      <c r="E279">
        <v>17.170000000000002</v>
      </c>
      <c r="F279">
        <v>4.59</v>
      </c>
      <c r="G279" t="s">
        <v>2074</v>
      </c>
    </row>
    <row r="280" spans="1:7">
      <c r="A280">
        <v>2331</v>
      </c>
      <c r="B280" t="s">
        <v>543</v>
      </c>
      <c r="C280">
        <v>2.54</v>
      </c>
      <c r="D280">
        <v>111</v>
      </c>
      <c r="E280">
        <v>26.47</v>
      </c>
      <c r="F280">
        <v>1.47</v>
      </c>
      <c r="G280" t="s">
        <v>2074</v>
      </c>
    </row>
    <row r="281" spans="1:7">
      <c r="A281">
        <v>2332</v>
      </c>
      <c r="B281" t="s">
        <v>544</v>
      </c>
      <c r="C281">
        <v>1.1000000000000001</v>
      </c>
      <c r="D281">
        <v>111</v>
      </c>
      <c r="E281">
        <v>14.46</v>
      </c>
      <c r="F281">
        <v>1.29</v>
      </c>
      <c r="G281" t="s">
        <v>2074</v>
      </c>
    </row>
    <row r="282" spans="1:7">
      <c r="A282">
        <v>2337</v>
      </c>
      <c r="B282" t="s">
        <v>545</v>
      </c>
      <c r="C282">
        <v>5.74</v>
      </c>
      <c r="D282">
        <v>111</v>
      </c>
      <c r="E282" t="s">
        <v>271</v>
      </c>
      <c r="F282">
        <v>1.19</v>
      </c>
      <c r="G282" t="s">
        <v>2074</v>
      </c>
    </row>
    <row r="283" spans="1:7">
      <c r="A283">
        <v>2338</v>
      </c>
      <c r="B283" t="s">
        <v>546</v>
      </c>
      <c r="C283">
        <v>3.52</v>
      </c>
      <c r="D283">
        <v>111</v>
      </c>
      <c r="E283">
        <v>16.77</v>
      </c>
      <c r="F283">
        <v>3.12</v>
      </c>
      <c r="G283" t="s">
        <v>2074</v>
      </c>
    </row>
    <row r="284" spans="1:7">
      <c r="A284">
        <v>2340</v>
      </c>
      <c r="B284" t="s">
        <v>547</v>
      </c>
      <c r="C284">
        <v>2.12</v>
      </c>
      <c r="D284">
        <v>111</v>
      </c>
      <c r="E284">
        <v>68.260000000000005</v>
      </c>
      <c r="F284">
        <v>2.4500000000000002</v>
      </c>
      <c r="G284" t="s">
        <v>2074</v>
      </c>
    </row>
    <row r="285" spans="1:7">
      <c r="A285">
        <v>2342</v>
      </c>
      <c r="B285" t="s">
        <v>548</v>
      </c>
      <c r="C285">
        <v>5.71</v>
      </c>
      <c r="D285">
        <v>111</v>
      </c>
      <c r="E285" t="s">
        <v>271</v>
      </c>
      <c r="F285">
        <v>2.23</v>
      </c>
      <c r="G285" t="s">
        <v>2074</v>
      </c>
    </row>
    <row r="286" spans="1:7">
      <c r="A286">
        <v>2344</v>
      </c>
      <c r="B286" t="s">
        <v>549</v>
      </c>
      <c r="C286">
        <v>3.28</v>
      </c>
      <c r="D286">
        <v>111</v>
      </c>
      <c r="E286" t="s">
        <v>271</v>
      </c>
      <c r="F286">
        <v>1.4</v>
      </c>
      <c r="G286" t="s">
        <v>2074</v>
      </c>
    </row>
    <row r="287" spans="1:7">
      <c r="A287">
        <v>2345</v>
      </c>
      <c r="B287" t="s">
        <v>550</v>
      </c>
      <c r="C287">
        <v>1.43</v>
      </c>
      <c r="D287">
        <v>111</v>
      </c>
      <c r="E287">
        <v>32.380000000000003</v>
      </c>
      <c r="F287">
        <v>12.61</v>
      </c>
      <c r="G287" t="s">
        <v>2074</v>
      </c>
    </row>
    <row r="288" spans="1:7">
      <c r="A288">
        <v>2347</v>
      </c>
      <c r="B288" t="s">
        <v>551</v>
      </c>
      <c r="C288">
        <v>4.99</v>
      </c>
      <c r="D288">
        <v>111</v>
      </c>
      <c r="E288">
        <v>15.43</v>
      </c>
      <c r="F288">
        <v>1.66</v>
      </c>
      <c r="G288" t="s">
        <v>2074</v>
      </c>
    </row>
    <row r="289" spans="1:7">
      <c r="A289">
        <v>2348</v>
      </c>
      <c r="B289" t="s">
        <v>552</v>
      </c>
      <c r="C289">
        <v>5.36</v>
      </c>
      <c r="D289">
        <v>111</v>
      </c>
      <c r="E289">
        <v>13.07</v>
      </c>
      <c r="F289">
        <v>2.25</v>
      </c>
      <c r="G289" t="s">
        <v>2074</v>
      </c>
    </row>
    <row r="290" spans="1:7">
      <c r="A290">
        <v>2349</v>
      </c>
      <c r="B290" t="s">
        <v>553</v>
      </c>
      <c r="C290">
        <v>0</v>
      </c>
      <c r="D290">
        <v>111</v>
      </c>
      <c r="E290" t="s">
        <v>271</v>
      </c>
      <c r="F290">
        <v>1.02</v>
      </c>
      <c r="G290" t="s">
        <v>2074</v>
      </c>
    </row>
    <row r="291" spans="1:7">
      <c r="A291">
        <v>2351</v>
      </c>
      <c r="B291" t="s">
        <v>554</v>
      </c>
      <c r="C291">
        <v>2.82</v>
      </c>
      <c r="D291">
        <v>111</v>
      </c>
      <c r="E291">
        <v>26.33</v>
      </c>
      <c r="F291">
        <v>3.08</v>
      </c>
      <c r="G291" t="s">
        <v>2074</v>
      </c>
    </row>
    <row r="292" spans="1:7">
      <c r="A292">
        <v>2352</v>
      </c>
      <c r="B292" t="s">
        <v>555</v>
      </c>
      <c r="C292">
        <v>4.17</v>
      </c>
      <c r="D292">
        <v>111</v>
      </c>
      <c r="E292">
        <v>32.21</v>
      </c>
      <c r="F292">
        <v>2.54</v>
      </c>
      <c r="G292" t="s">
        <v>2074</v>
      </c>
    </row>
    <row r="293" spans="1:7">
      <c r="A293">
        <v>2353</v>
      </c>
      <c r="B293" t="s">
        <v>556</v>
      </c>
      <c r="C293">
        <v>2.79</v>
      </c>
      <c r="D293">
        <v>111</v>
      </c>
      <c r="E293">
        <v>52.23</v>
      </c>
      <c r="F293">
        <v>2.14</v>
      </c>
      <c r="G293" t="s">
        <v>2074</v>
      </c>
    </row>
    <row r="294" spans="1:7">
      <c r="A294">
        <v>2354</v>
      </c>
      <c r="B294" t="s">
        <v>557</v>
      </c>
      <c r="C294" s="47">
        <v>3.01</v>
      </c>
      <c r="D294">
        <v>111</v>
      </c>
      <c r="E294">
        <v>18.63</v>
      </c>
      <c r="F294">
        <v>0.72</v>
      </c>
      <c r="G294" t="s">
        <v>2074</v>
      </c>
    </row>
    <row r="295" spans="1:7">
      <c r="A295">
        <v>2355</v>
      </c>
      <c r="B295" t="s">
        <v>558</v>
      </c>
      <c r="C295">
        <v>1.69</v>
      </c>
      <c r="D295">
        <v>111</v>
      </c>
      <c r="E295">
        <v>27.34</v>
      </c>
      <c r="F295">
        <v>1.24</v>
      </c>
      <c r="G295" t="s">
        <v>2074</v>
      </c>
    </row>
    <row r="296" spans="1:7">
      <c r="A296">
        <v>2356</v>
      </c>
      <c r="B296" t="s">
        <v>559</v>
      </c>
      <c r="C296">
        <v>2.84</v>
      </c>
      <c r="D296">
        <v>111</v>
      </c>
      <c r="E296">
        <v>34.29</v>
      </c>
      <c r="F296">
        <v>3.12</v>
      </c>
      <c r="G296" t="s">
        <v>2074</v>
      </c>
    </row>
    <row r="297" spans="1:7">
      <c r="A297">
        <v>2357</v>
      </c>
      <c r="B297" t="s">
        <v>560</v>
      </c>
      <c r="C297">
        <v>3.06</v>
      </c>
      <c r="D297">
        <v>111</v>
      </c>
      <c r="E297">
        <v>44.46</v>
      </c>
      <c r="F297">
        <v>1.56</v>
      </c>
      <c r="G297" t="s">
        <v>2074</v>
      </c>
    </row>
    <row r="298" spans="1:7">
      <c r="A298">
        <v>2358</v>
      </c>
      <c r="B298" t="s">
        <v>561</v>
      </c>
      <c r="C298">
        <v>0</v>
      </c>
      <c r="D298">
        <v>111</v>
      </c>
      <c r="E298" t="s">
        <v>271</v>
      </c>
      <c r="F298">
        <v>0.8</v>
      </c>
      <c r="G298" t="s">
        <v>2074</v>
      </c>
    </row>
    <row r="299" spans="1:7">
      <c r="A299">
        <v>2359</v>
      </c>
      <c r="B299" t="s">
        <v>562</v>
      </c>
      <c r="C299">
        <v>3.84</v>
      </c>
      <c r="D299">
        <v>111</v>
      </c>
      <c r="E299">
        <v>12.57</v>
      </c>
      <c r="F299">
        <v>1.29</v>
      </c>
      <c r="G299" t="s">
        <v>2074</v>
      </c>
    </row>
    <row r="300" spans="1:7">
      <c r="A300">
        <v>2360</v>
      </c>
      <c r="B300" t="s">
        <v>563</v>
      </c>
      <c r="C300">
        <v>3.76</v>
      </c>
      <c r="D300">
        <v>111</v>
      </c>
      <c r="E300">
        <v>22.33</v>
      </c>
      <c r="F300">
        <v>4.21</v>
      </c>
      <c r="G300" t="s">
        <v>2074</v>
      </c>
    </row>
    <row r="301" spans="1:7">
      <c r="A301">
        <v>2362</v>
      </c>
      <c r="B301" t="s">
        <v>564</v>
      </c>
      <c r="C301">
        <v>3.69</v>
      </c>
      <c r="D301">
        <v>111</v>
      </c>
      <c r="E301">
        <v>23.94</v>
      </c>
      <c r="F301">
        <v>0.56000000000000005</v>
      </c>
      <c r="G301" t="s">
        <v>2074</v>
      </c>
    </row>
    <row r="302" spans="1:7">
      <c r="A302">
        <v>2363</v>
      </c>
      <c r="B302" t="s">
        <v>565</v>
      </c>
      <c r="C302">
        <v>2.19</v>
      </c>
      <c r="D302">
        <v>111</v>
      </c>
      <c r="E302">
        <v>58.46</v>
      </c>
      <c r="F302">
        <v>1.99</v>
      </c>
      <c r="G302" t="s">
        <v>2074</v>
      </c>
    </row>
    <row r="303" spans="1:7">
      <c r="A303">
        <v>2364</v>
      </c>
      <c r="B303" t="s">
        <v>566</v>
      </c>
      <c r="C303">
        <v>2.2000000000000002</v>
      </c>
      <c r="D303">
        <v>111</v>
      </c>
      <c r="E303">
        <v>27.75</v>
      </c>
      <c r="F303">
        <v>6.41</v>
      </c>
      <c r="G303" t="s">
        <v>2074</v>
      </c>
    </row>
    <row r="304" spans="1:7">
      <c r="A304">
        <v>2365</v>
      </c>
      <c r="B304" t="s">
        <v>567</v>
      </c>
      <c r="C304">
        <v>1.32</v>
      </c>
      <c r="D304">
        <v>111</v>
      </c>
      <c r="E304">
        <v>48.71</v>
      </c>
      <c r="F304">
        <v>1.1100000000000001</v>
      </c>
      <c r="G304" t="s">
        <v>2074</v>
      </c>
    </row>
    <row r="305" spans="1:7">
      <c r="A305">
        <v>2367</v>
      </c>
      <c r="B305" t="s">
        <v>568</v>
      </c>
      <c r="C305">
        <v>1.5</v>
      </c>
      <c r="D305">
        <v>111</v>
      </c>
      <c r="E305" t="s">
        <v>271</v>
      </c>
      <c r="F305">
        <v>1.31</v>
      </c>
      <c r="G305" t="s">
        <v>2074</v>
      </c>
    </row>
    <row r="306" spans="1:7">
      <c r="A306">
        <v>2368</v>
      </c>
      <c r="B306" t="s">
        <v>569</v>
      </c>
      <c r="C306">
        <v>1.61</v>
      </c>
      <c r="D306">
        <v>111</v>
      </c>
      <c r="E306">
        <v>31.59</v>
      </c>
      <c r="F306">
        <v>7</v>
      </c>
      <c r="G306" t="s">
        <v>2074</v>
      </c>
    </row>
    <row r="307" spans="1:7">
      <c r="A307">
        <v>2369</v>
      </c>
      <c r="B307" t="s">
        <v>570</v>
      </c>
      <c r="C307">
        <v>1.31</v>
      </c>
      <c r="D307">
        <v>111</v>
      </c>
      <c r="E307" t="s">
        <v>271</v>
      </c>
      <c r="F307">
        <v>1.56</v>
      </c>
      <c r="G307" t="s">
        <v>2074</v>
      </c>
    </row>
    <row r="308" spans="1:7">
      <c r="A308">
        <v>2371</v>
      </c>
      <c r="B308" t="s">
        <v>571</v>
      </c>
      <c r="C308">
        <v>0</v>
      </c>
      <c r="D308">
        <v>111</v>
      </c>
      <c r="E308">
        <v>51.22</v>
      </c>
      <c r="F308">
        <v>1.81</v>
      </c>
      <c r="G308" t="s">
        <v>2074</v>
      </c>
    </row>
    <row r="309" spans="1:7">
      <c r="A309">
        <v>2373</v>
      </c>
      <c r="B309" t="s">
        <v>572</v>
      </c>
      <c r="C309">
        <v>6.18</v>
      </c>
      <c r="D309">
        <v>111</v>
      </c>
      <c r="E309">
        <v>14.34</v>
      </c>
      <c r="F309">
        <v>2.34</v>
      </c>
      <c r="G309" t="s">
        <v>2074</v>
      </c>
    </row>
    <row r="310" spans="1:7">
      <c r="A310">
        <v>2374</v>
      </c>
      <c r="B310" t="s">
        <v>573</v>
      </c>
      <c r="C310">
        <v>1.7</v>
      </c>
      <c r="D310">
        <v>111</v>
      </c>
      <c r="E310">
        <v>40.619999999999997</v>
      </c>
      <c r="F310">
        <v>1.18</v>
      </c>
      <c r="G310" t="s">
        <v>2074</v>
      </c>
    </row>
    <row r="311" spans="1:7">
      <c r="A311">
        <v>2375</v>
      </c>
      <c r="B311" t="s">
        <v>574</v>
      </c>
      <c r="C311">
        <v>2.13</v>
      </c>
      <c r="D311">
        <v>111</v>
      </c>
      <c r="E311">
        <v>22.67</v>
      </c>
      <c r="F311">
        <v>0.84</v>
      </c>
      <c r="G311" t="s">
        <v>2074</v>
      </c>
    </row>
    <row r="312" spans="1:7">
      <c r="A312">
        <v>2376</v>
      </c>
      <c r="B312" t="s">
        <v>575</v>
      </c>
      <c r="C312">
        <v>2.33</v>
      </c>
      <c r="D312">
        <v>111</v>
      </c>
      <c r="E312">
        <v>35.9</v>
      </c>
      <c r="F312">
        <v>4.68</v>
      </c>
      <c r="G312" t="s">
        <v>2074</v>
      </c>
    </row>
    <row r="313" spans="1:7">
      <c r="A313">
        <v>2377</v>
      </c>
      <c r="B313" t="s">
        <v>576</v>
      </c>
      <c r="C313">
        <v>3.24</v>
      </c>
      <c r="D313">
        <v>111</v>
      </c>
      <c r="E313">
        <v>23.48</v>
      </c>
      <c r="F313">
        <v>3.47</v>
      </c>
      <c r="G313" t="s">
        <v>2074</v>
      </c>
    </row>
    <row r="314" spans="1:7">
      <c r="A314">
        <v>2379</v>
      </c>
      <c r="B314" t="s">
        <v>577</v>
      </c>
      <c r="C314">
        <v>5.73</v>
      </c>
      <c r="D314">
        <v>111</v>
      </c>
      <c r="E314">
        <v>26.55</v>
      </c>
      <c r="F314">
        <v>5.69</v>
      </c>
      <c r="G314" t="s">
        <v>2074</v>
      </c>
    </row>
    <row r="315" spans="1:7">
      <c r="A315">
        <v>2380</v>
      </c>
      <c r="B315" t="s">
        <v>578</v>
      </c>
      <c r="C315">
        <v>0</v>
      </c>
      <c r="D315">
        <v>111</v>
      </c>
      <c r="E315" t="s">
        <v>271</v>
      </c>
      <c r="F315">
        <v>1.76</v>
      </c>
      <c r="G315" t="s">
        <v>2074</v>
      </c>
    </row>
    <row r="316" spans="1:7">
      <c r="A316">
        <v>2382</v>
      </c>
      <c r="B316" t="s">
        <v>579</v>
      </c>
      <c r="C316">
        <v>2.67</v>
      </c>
      <c r="D316">
        <v>111</v>
      </c>
      <c r="E316">
        <v>22.54</v>
      </c>
      <c r="F316">
        <v>4.7699999999999996</v>
      </c>
      <c r="G316" t="s">
        <v>2074</v>
      </c>
    </row>
    <row r="317" spans="1:7">
      <c r="A317">
        <v>2383</v>
      </c>
      <c r="B317" t="s">
        <v>580</v>
      </c>
      <c r="C317">
        <v>2.2000000000000002</v>
      </c>
      <c r="D317">
        <v>111</v>
      </c>
      <c r="E317">
        <v>26.84</v>
      </c>
      <c r="F317">
        <v>5.25</v>
      </c>
      <c r="G317" t="s">
        <v>2074</v>
      </c>
    </row>
    <row r="318" spans="1:7">
      <c r="A318">
        <v>2385</v>
      </c>
      <c r="B318" t="s">
        <v>581</v>
      </c>
      <c r="C318">
        <v>4.29</v>
      </c>
      <c r="D318">
        <v>111</v>
      </c>
      <c r="E318">
        <v>17.82</v>
      </c>
      <c r="F318">
        <v>3.38</v>
      </c>
      <c r="G318" t="s">
        <v>2074</v>
      </c>
    </row>
    <row r="319" spans="1:7">
      <c r="A319">
        <v>2387</v>
      </c>
      <c r="B319" t="s">
        <v>582</v>
      </c>
      <c r="C319">
        <v>5.89</v>
      </c>
      <c r="D319">
        <v>111</v>
      </c>
      <c r="E319">
        <v>8.56</v>
      </c>
      <c r="F319">
        <v>1.24</v>
      </c>
      <c r="G319" t="s">
        <v>2074</v>
      </c>
    </row>
    <row r="320" spans="1:7">
      <c r="A320">
        <v>2388</v>
      </c>
      <c r="B320" t="s">
        <v>583</v>
      </c>
      <c r="C320">
        <v>0.1</v>
      </c>
      <c r="D320">
        <v>111</v>
      </c>
      <c r="E320">
        <v>680.43</v>
      </c>
      <c r="F320">
        <v>5.78</v>
      </c>
      <c r="G320" t="s">
        <v>2074</v>
      </c>
    </row>
    <row r="321" spans="1:7">
      <c r="A321">
        <v>2390</v>
      </c>
      <c r="B321" t="s">
        <v>584</v>
      </c>
      <c r="C321">
        <v>0</v>
      </c>
      <c r="D321">
        <v>111</v>
      </c>
      <c r="E321" t="s">
        <v>271</v>
      </c>
      <c r="F321">
        <v>1.08</v>
      </c>
      <c r="G321" t="s">
        <v>2074</v>
      </c>
    </row>
    <row r="322" spans="1:7">
      <c r="A322">
        <v>2392</v>
      </c>
      <c r="B322" t="s">
        <v>585</v>
      </c>
      <c r="C322">
        <v>4.55</v>
      </c>
      <c r="D322">
        <v>111</v>
      </c>
      <c r="E322">
        <v>16.48</v>
      </c>
      <c r="F322">
        <v>0.92</v>
      </c>
      <c r="G322" t="s">
        <v>2074</v>
      </c>
    </row>
    <row r="323" spans="1:7">
      <c r="A323">
        <v>2393</v>
      </c>
      <c r="B323" t="s">
        <v>586</v>
      </c>
      <c r="C323">
        <v>5</v>
      </c>
      <c r="D323">
        <v>111</v>
      </c>
      <c r="E323">
        <v>17.36</v>
      </c>
      <c r="F323">
        <v>1.2</v>
      </c>
      <c r="G323" t="s">
        <v>2074</v>
      </c>
    </row>
    <row r="324" spans="1:7">
      <c r="A324">
        <v>2395</v>
      </c>
      <c r="B324" t="s">
        <v>587</v>
      </c>
      <c r="C324">
        <v>2.95</v>
      </c>
      <c r="D324">
        <v>111</v>
      </c>
      <c r="E324">
        <v>28.77</v>
      </c>
      <c r="F324">
        <v>6.91</v>
      </c>
      <c r="G324" t="s">
        <v>2074</v>
      </c>
    </row>
    <row r="325" spans="1:7">
      <c r="A325">
        <v>2397</v>
      </c>
      <c r="B325" t="s">
        <v>588</v>
      </c>
      <c r="C325">
        <v>5.98</v>
      </c>
      <c r="D325">
        <v>111</v>
      </c>
      <c r="E325">
        <v>18.579999999999998</v>
      </c>
      <c r="F325">
        <v>2.4700000000000002</v>
      </c>
      <c r="G325" t="s">
        <v>2074</v>
      </c>
    </row>
    <row r="326" spans="1:7">
      <c r="A326">
        <v>2399</v>
      </c>
      <c r="B326" t="s">
        <v>589</v>
      </c>
      <c r="C326">
        <v>0</v>
      </c>
      <c r="D326">
        <v>111</v>
      </c>
      <c r="E326" t="s">
        <v>271</v>
      </c>
      <c r="F326">
        <v>1.92</v>
      </c>
      <c r="G326" t="s">
        <v>2074</v>
      </c>
    </row>
    <row r="327" spans="1:7">
      <c r="A327">
        <v>2401</v>
      </c>
      <c r="B327" t="s">
        <v>590</v>
      </c>
      <c r="C327">
        <v>1.75</v>
      </c>
      <c r="D327">
        <v>111</v>
      </c>
      <c r="E327" t="s">
        <v>271</v>
      </c>
      <c r="F327">
        <v>2.3199999999999998</v>
      </c>
      <c r="G327" t="s">
        <v>2074</v>
      </c>
    </row>
    <row r="328" spans="1:7">
      <c r="A328">
        <v>2402</v>
      </c>
      <c r="B328" t="s">
        <v>591</v>
      </c>
      <c r="C328">
        <v>2.77</v>
      </c>
      <c r="D328">
        <v>111</v>
      </c>
      <c r="E328">
        <v>22.88</v>
      </c>
      <c r="F328">
        <v>1.7</v>
      </c>
      <c r="G328" t="s">
        <v>2074</v>
      </c>
    </row>
    <row r="329" spans="1:7">
      <c r="A329">
        <v>2404</v>
      </c>
      <c r="B329" t="s">
        <v>592</v>
      </c>
      <c r="C329">
        <v>5.67</v>
      </c>
      <c r="D329">
        <v>111</v>
      </c>
      <c r="E329">
        <v>10.61</v>
      </c>
      <c r="F329">
        <v>4.33</v>
      </c>
      <c r="G329" t="s">
        <v>2074</v>
      </c>
    </row>
    <row r="330" spans="1:7">
      <c r="A330">
        <v>2405</v>
      </c>
      <c r="B330" t="s">
        <v>593</v>
      </c>
      <c r="C330">
        <v>1.1000000000000001</v>
      </c>
      <c r="D330">
        <v>111</v>
      </c>
      <c r="E330" t="s">
        <v>271</v>
      </c>
      <c r="F330">
        <v>1.7</v>
      </c>
      <c r="G330" t="s">
        <v>2074</v>
      </c>
    </row>
    <row r="331" spans="1:7">
      <c r="A331">
        <v>2406</v>
      </c>
      <c r="B331" t="s">
        <v>594</v>
      </c>
      <c r="C331">
        <v>0</v>
      </c>
      <c r="D331">
        <v>111</v>
      </c>
      <c r="E331" t="s">
        <v>271</v>
      </c>
      <c r="F331">
        <v>1.39</v>
      </c>
      <c r="G331" t="s">
        <v>2074</v>
      </c>
    </row>
    <row r="332" spans="1:7">
      <c r="A332">
        <v>2408</v>
      </c>
      <c r="B332" t="s">
        <v>595</v>
      </c>
      <c r="C332">
        <v>2.73</v>
      </c>
      <c r="D332">
        <v>111</v>
      </c>
      <c r="E332" t="s">
        <v>271</v>
      </c>
      <c r="F332">
        <v>1.4</v>
      </c>
      <c r="G332" t="s">
        <v>2074</v>
      </c>
    </row>
    <row r="333" spans="1:7">
      <c r="A333">
        <v>2409</v>
      </c>
      <c r="B333" t="s">
        <v>596</v>
      </c>
      <c r="C333">
        <v>4.41</v>
      </c>
      <c r="D333">
        <v>111</v>
      </c>
      <c r="E333" t="s">
        <v>271</v>
      </c>
      <c r="F333">
        <v>0.85</v>
      </c>
      <c r="G333" t="s">
        <v>2074</v>
      </c>
    </row>
    <row r="334" spans="1:7">
      <c r="A334">
        <v>2412</v>
      </c>
      <c r="B334" t="s">
        <v>597</v>
      </c>
      <c r="C334">
        <v>3.92</v>
      </c>
      <c r="D334">
        <v>111</v>
      </c>
      <c r="E334">
        <v>25.1</v>
      </c>
      <c r="F334">
        <v>2.4900000000000002</v>
      </c>
      <c r="G334" t="s">
        <v>2074</v>
      </c>
    </row>
    <row r="335" spans="1:7">
      <c r="A335">
        <v>2413</v>
      </c>
      <c r="B335" t="s">
        <v>598</v>
      </c>
      <c r="C335">
        <v>1.72</v>
      </c>
      <c r="D335">
        <v>111</v>
      </c>
      <c r="E335">
        <v>15.67</v>
      </c>
      <c r="F335">
        <v>1.76</v>
      </c>
      <c r="G335" t="s">
        <v>2074</v>
      </c>
    </row>
    <row r="336" spans="1:7">
      <c r="A336">
        <v>2414</v>
      </c>
      <c r="B336" t="s">
        <v>599</v>
      </c>
      <c r="C336">
        <v>7.27</v>
      </c>
      <c r="D336">
        <v>111</v>
      </c>
      <c r="E336">
        <v>15.15</v>
      </c>
      <c r="F336">
        <v>1.88</v>
      </c>
      <c r="G336" t="s">
        <v>2074</v>
      </c>
    </row>
    <row r="337" spans="1:7">
      <c r="A337">
        <v>2415</v>
      </c>
      <c r="B337" t="s">
        <v>600</v>
      </c>
      <c r="C337">
        <v>2.23</v>
      </c>
      <c r="D337">
        <v>111</v>
      </c>
      <c r="E337" t="s">
        <v>271</v>
      </c>
      <c r="F337">
        <v>1.64</v>
      </c>
      <c r="G337" t="s">
        <v>2074</v>
      </c>
    </row>
    <row r="338" spans="1:7">
      <c r="A338">
        <v>2417</v>
      </c>
      <c r="B338" t="s">
        <v>601</v>
      </c>
      <c r="C338">
        <v>0.56000000000000005</v>
      </c>
      <c r="D338">
        <v>111</v>
      </c>
      <c r="E338" t="s">
        <v>271</v>
      </c>
      <c r="F338">
        <v>1.65</v>
      </c>
      <c r="G338" t="s">
        <v>2074</v>
      </c>
    </row>
    <row r="339" spans="1:7">
      <c r="A339">
        <v>2419</v>
      </c>
      <c r="B339" t="s">
        <v>602</v>
      </c>
      <c r="C339">
        <v>4.37</v>
      </c>
      <c r="D339">
        <v>111</v>
      </c>
      <c r="E339">
        <v>64.72</v>
      </c>
      <c r="F339">
        <v>2.17</v>
      </c>
      <c r="G339" t="s">
        <v>2074</v>
      </c>
    </row>
    <row r="340" spans="1:7">
      <c r="A340">
        <v>2420</v>
      </c>
      <c r="B340" t="s">
        <v>603</v>
      </c>
      <c r="C340">
        <v>7.14</v>
      </c>
      <c r="D340">
        <v>111</v>
      </c>
      <c r="E340">
        <v>12.94</v>
      </c>
      <c r="F340">
        <v>2.09</v>
      </c>
      <c r="G340" t="s">
        <v>2074</v>
      </c>
    </row>
    <row r="341" spans="1:7">
      <c r="A341">
        <v>2421</v>
      </c>
      <c r="B341" t="s">
        <v>604</v>
      </c>
      <c r="C341">
        <v>2.42</v>
      </c>
      <c r="D341">
        <v>111</v>
      </c>
      <c r="E341">
        <v>19.62</v>
      </c>
      <c r="F341">
        <v>3.83</v>
      </c>
      <c r="G341" t="s">
        <v>2074</v>
      </c>
    </row>
    <row r="342" spans="1:7">
      <c r="A342">
        <v>2423</v>
      </c>
      <c r="B342" t="s">
        <v>605</v>
      </c>
      <c r="C342">
        <v>5.27</v>
      </c>
      <c r="D342">
        <v>111</v>
      </c>
      <c r="E342">
        <v>14.21</v>
      </c>
      <c r="F342">
        <v>2.09</v>
      </c>
      <c r="G342" t="s">
        <v>2074</v>
      </c>
    </row>
    <row r="343" spans="1:7">
      <c r="A343">
        <v>2424</v>
      </c>
      <c r="B343" t="s">
        <v>606</v>
      </c>
      <c r="C343">
        <v>0</v>
      </c>
      <c r="D343">
        <v>111</v>
      </c>
      <c r="E343" t="s">
        <v>271</v>
      </c>
      <c r="F343">
        <v>5.98</v>
      </c>
      <c r="G343" t="s">
        <v>2074</v>
      </c>
    </row>
    <row r="344" spans="1:7">
      <c r="A344">
        <v>2425</v>
      </c>
      <c r="B344" t="s">
        <v>607</v>
      </c>
      <c r="C344">
        <v>1.67</v>
      </c>
      <c r="D344">
        <v>111</v>
      </c>
      <c r="E344">
        <v>25.4</v>
      </c>
      <c r="F344">
        <v>2.09</v>
      </c>
      <c r="G344" t="s">
        <v>2074</v>
      </c>
    </row>
    <row r="345" spans="1:7">
      <c r="A345">
        <v>2426</v>
      </c>
      <c r="B345" t="s">
        <v>608</v>
      </c>
      <c r="C345">
        <v>0</v>
      </c>
      <c r="D345">
        <v>111</v>
      </c>
      <c r="E345" t="s">
        <v>271</v>
      </c>
      <c r="F345">
        <v>1.45</v>
      </c>
      <c r="G345" t="s">
        <v>2074</v>
      </c>
    </row>
    <row r="346" spans="1:7">
      <c r="A346">
        <v>2427</v>
      </c>
      <c r="B346" t="s">
        <v>609</v>
      </c>
      <c r="C346">
        <v>1.39</v>
      </c>
      <c r="D346">
        <v>111</v>
      </c>
      <c r="E346">
        <v>23.17</v>
      </c>
      <c r="F346">
        <v>1.81</v>
      </c>
      <c r="G346" t="s">
        <v>2074</v>
      </c>
    </row>
    <row r="347" spans="1:7">
      <c r="A347">
        <v>2428</v>
      </c>
      <c r="B347" t="s">
        <v>610</v>
      </c>
      <c r="C347">
        <v>3.21</v>
      </c>
      <c r="D347">
        <v>111</v>
      </c>
      <c r="E347">
        <v>19.329999999999998</v>
      </c>
      <c r="F347">
        <v>2.33</v>
      </c>
      <c r="G347" t="s">
        <v>2074</v>
      </c>
    </row>
    <row r="348" spans="1:7">
      <c r="A348">
        <v>2429</v>
      </c>
      <c r="B348" t="s">
        <v>611</v>
      </c>
      <c r="C348">
        <v>0</v>
      </c>
      <c r="D348">
        <v>111</v>
      </c>
      <c r="E348" t="s">
        <v>271</v>
      </c>
      <c r="F348">
        <v>3.51</v>
      </c>
      <c r="G348" t="s">
        <v>2074</v>
      </c>
    </row>
    <row r="349" spans="1:7">
      <c r="A349">
        <v>2430</v>
      </c>
      <c r="B349" t="s">
        <v>612</v>
      </c>
      <c r="C349">
        <v>10.24</v>
      </c>
      <c r="D349">
        <v>111</v>
      </c>
      <c r="E349">
        <v>13.95</v>
      </c>
      <c r="F349">
        <v>1.02</v>
      </c>
      <c r="G349" t="s">
        <v>2074</v>
      </c>
    </row>
    <row r="350" spans="1:7">
      <c r="A350">
        <v>2431</v>
      </c>
      <c r="B350" t="s">
        <v>613</v>
      </c>
      <c r="C350">
        <v>0.87</v>
      </c>
      <c r="D350">
        <v>111</v>
      </c>
      <c r="E350" t="s">
        <v>271</v>
      </c>
      <c r="F350">
        <v>0.91</v>
      </c>
      <c r="G350" t="s">
        <v>2074</v>
      </c>
    </row>
    <row r="351" spans="1:7">
      <c r="A351">
        <v>2432</v>
      </c>
      <c r="B351" t="s">
        <v>2051</v>
      </c>
      <c r="C351">
        <v>4.0999999999999996</v>
      </c>
      <c r="D351">
        <v>111</v>
      </c>
      <c r="E351">
        <v>20.62</v>
      </c>
      <c r="F351">
        <v>2.1800000000000002</v>
      </c>
      <c r="G351" t="s">
        <v>2074</v>
      </c>
    </row>
    <row r="352" spans="1:7">
      <c r="A352">
        <v>2433</v>
      </c>
      <c r="B352" t="s">
        <v>614</v>
      </c>
      <c r="C352">
        <v>6.88</v>
      </c>
      <c r="D352">
        <v>111</v>
      </c>
      <c r="E352">
        <v>14.99</v>
      </c>
      <c r="F352">
        <v>2.0099999999999998</v>
      </c>
      <c r="G352" t="s">
        <v>2074</v>
      </c>
    </row>
    <row r="353" spans="1:7">
      <c r="A353">
        <v>2434</v>
      </c>
      <c r="B353" t="s">
        <v>615</v>
      </c>
      <c r="C353">
        <v>0</v>
      </c>
      <c r="D353">
        <v>111</v>
      </c>
      <c r="E353" t="s">
        <v>271</v>
      </c>
      <c r="F353">
        <v>2.72</v>
      </c>
      <c r="G353" t="s">
        <v>2074</v>
      </c>
    </row>
    <row r="354" spans="1:7">
      <c r="A354">
        <v>2436</v>
      </c>
      <c r="B354" t="s">
        <v>616</v>
      </c>
      <c r="C354">
        <v>1.63</v>
      </c>
      <c r="D354">
        <v>111</v>
      </c>
      <c r="E354">
        <v>65.13</v>
      </c>
      <c r="F354">
        <v>3.82</v>
      </c>
      <c r="G354" t="s">
        <v>2074</v>
      </c>
    </row>
    <row r="355" spans="1:7">
      <c r="A355">
        <v>2438</v>
      </c>
      <c r="B355" t="s">
        <v>617</v>
      </c>
      <c r="C355" s="47">
        <v>0</v>
      </c>
      <c r="D355">
        <v>111</v>
      </c>
      <c r="E355" t="s">
        <v>271</v>
      </c>
      <c r="F355">
        <v>2.56</v>
      </c>
      <c r="G355" t="s">
        <v>2074</v>
      </c>
    </row>
    <row r="356" spans="1:7">
      <c r="A356">
        <v>2439</v>
      </c>
      <c r="B356" t="s">
        <v>618</v>
      </c>
      <c r="C356">
        <v>4.08</v>
      </c>
      <c r="D356">
        <v>111</v>
      </c>
      <c r="E356">
        <v>19.91</v>
      </c>
      <c r="F356">
        <v>1.95</v>
      </c>
      <c r="G356" t="s">
        <v>2074</v>
      </c>
    </row>
    <row r="357" spans="1:7">
      <c r="A357">
        <v>2440</v>
      </c>
      <c r="B357" t="s">
        <v>619</v>
      </c>
      <c r="C357">
        <v>0</v>
      </c>
      <c r="D357">
        <v>111</v>
      </c>
      <c r="E357" t="s">
        <v>271</v>
      </c>
      <c r="F357">
        <v>1.36</v>
      </c>
      <c r="G357" t="s">
        <v>2074</v>
      </c>
    </row>
    <row r="358" spans="1:7">
      <c r="A358">
        <v>2441</v>
      </c>
      <c r="B358" t="s">
        <v>620</v>
      </c>
      <c r="C358">
        <v>6.05</v>
      </c>
      <c r="D358">
        <v>111</v>
      </c>
      <c r="E358">
        <v>19.010000000000002</v>
      </c>
      <c r="F358">
        <v>1.69</v>
      </c>
      <c r="G358" t="s">
        <v>2074</v>
      </c>
    </row>
    <row r="359" spans="1:7">
      <c r="A359">
        <v>2442</v>
      </c>
      <c r="B359" t="s">
        <v>621</v>
      </c>
      <c r="C359">
        <v>0.69</v>
      </c>
      <c r="D359">
        <v>111</v>
      </c>
      <c r="E359">
        <v>24.95</v>
      </c>
      <c r="F359">
        <v>1.54</v>
      </c>
      <c r="G359" t="s">
        <v>2074</v>
      </c>
    </row>
    <row r="360" spans="1:7">
      <c r="A360">
        <v>2443</v>
      </c>
      <c r="B360" t="s">
        <v>622</v>
      </c>
      <c r="C360">
        <v>0</v>
      </c>
      <c r="D360">
        <v>111</v>
      </c>
      <c r="E360">
        <v>3.32</v>
      </c>
      <c r="F360">
        <v>1.26</v>
      </c>
      <c r="G360" t="s">
        <v>2074</v>
      </c>
    </row>
    <row r="361" spans="1:7">
      <c r="A361">
        <v>2444</v>
      </c>
      <c r="B361" t="s">
        <v>623</v>
      </c>
      <c r="C361">
        <v>0</v>
      </c>
      <c r="D361">
        <v>111</v>
      </c>
      <c r="E361">
        <v>30</v>
      </c>
      <c r="F361">
        <v>1.34</v>
      </c>
      <c r="G361" t="s">
        <v>2074</v>
      </c>
    </row>
    <row r="362" spans="1:7">
      <c r="A362">
        <v>2449</v>
      </c>
      <c r="B362" t="s">
        <v>624</v>
      </c>
      <c r="C362">
        <v>4.12</v>
      </c>
      <c r="D362">
        <v>111</v>
      </c>
      <c r="E362">
        <v>17.989999999999998</v>
      </c>
      <c r="F362">
        <v>2.79</v>
      </c>
      <c r="G362" t="s">
        <v>2074</v>
      </c>
    </row>
    <row r="363" spans="1:7">
      <c r="A363">
        <v>2450</v>
      </c>
      <c r="B363" t="s">
        <v>625</v>
      </c>
      <c r="C363">
        <v>5.58</v>
      </c>
      <c r="D363">
        <v>111</v>
      </c>
      <c r="E363">
        <v>13.68</v>
      </c>
      <c r="F363">
        <v>1.61</v>
      </c>
      <c r="G363" t="s">
        <v>2074</v>
      </c>
    </row>
    <row r="364" spans="1:7">
      <c r="A364">
        <v>2451</v>
      </c>
      <c r="B364" t="s">
        <v>626</v>
      </c>
      <c r="C364">
        <v>6.95</v>
      </c>
      <c r="D364">
        <v>111</v>
      </c>
      <c r="E364">
        <v>22.96</v>
      </c>
      <c r="F364">
        <v>1.85</v>
      </c>
      <c r="G364" t="s">
        <v>2074</v>
      </c>
    </row>
    <row r="365" spans="1:7">
      <c r="A365">
        <v>2453</v>
      </c>
      <c r="B365" t="s">
        <v>627</v>
      </c>
      <c r="C365">
        <v>3.96</v>
      </c>
      <c r="D365">
        <v>111</v>
      </c>
      <c r="E365">
        <v>19.34</v>
      </c>
      <c r="F365">
        <v>2.74</v>
      </c>
      <c r="G365" t="s">
        <v>2074</v>
      </c>
    </row>
    <row r="366" spans="1:7">
      <c r="A366">
        <v>2454</v>
      </c>
      <c r="B366" t="s">
        <v>628</v>
      </c>
      <c r="C366">
        <v>7.49</v>
      </c>
      <c r="D366">
        <v>111</v>
      </c>
      <c r="E366">
        <v>23.15</v>
      </c>
      <c r="F366">
        <v>4.12</v>
      </c>
      <c r="G366" t="s">
        <v>2074</v>
      </c>
    </row>
    <row r="367" spans="1:7">
      <c r="A367">
        <v>2455</v>
      </c>
      <c r="B367" t="s">
        <v>629</v>
      </c>
      <c r="C367">
        <v>1.43</v>
      </c>
      <c r="D367">
        <v>111</v>
      </c>
      <c r="E367">
        <v>99.07</v>
      </c>
      <c r="F367">
        <v>10.16</v>
      </c>
      <c r="G367" t="s">
        <v>2074</v>
      </c>
    </row>
    <row r="368" spans="1:7">
      <c r="A368">
        <v>2457</v>
      </c>
      <c r="B368" t="s">
        <v>630</v>
      </c>
      <c r="C368">
        <v>0</v>
      </c>
      <c r="D368">
        <v>111</v>
      </c>
      <c r="E368">
        <v>69.290000000000006</v>
      </c>
      <c r="F368">
        <v>3.14</v>
      </c>
      <c r="G368" t="s">
        <v>2074</v>
      </c>
    </row>
    <row r="369" spans="1:7">
      <c r="A369">
        <v>2458</v>
      </c>
      <c r="B369" t="s">
        <v>631</v>
      </c>
      <c r="C369">
        <v>3.78</v>
      </c>
      <c r="D369">
        <v>111</v>
      </c>
      <c r="E369">
        <v>28.66</v>
      </c>
      <c r="F369">
        <v>5.7</v>
      </c>
      <c r="G369" t="s">
        <v>2074</v>
      </c>
    </row>
    <row r="370" spans="1:7">
      <c r="A370">
        <v>2459</v>
      </c>
      <c r="B370" t="s">
        <v>632</v>
      </c>
      <c r="C370">
        <v>6.01</v>
      </c>
      <c r="D370">
        <v>111</v>
      </c>
      <c r="E370" s="47">
        <v>12.98</v>
      </c>
      <c r="F370">
        <v>1.26</v>
      </c>
      <c r="G370" t="s">
        <v>2074</v>
      </c>
    </row>
    <row r="371" spans="1:7">
      <c r="A371">
        <v>2460</v>
      </c>
      <c r="B371" t="s">
        <v>633</v>
      </c>
      <c r="C371">
        <v>0</v>
      </c>
      <c r="D371">
        <v>111</v>
      </c>
      <c r="E371" t="s">
        <v>271</v>
      </c>
      <c r="F371">
        <v>2.11</v>
      </c>
      <c r="G371" t="s">
        <v>2074</v>
      </c>
    </row>
    <row r="372" spans="1:7">
      <c r="A372">
        <v>2461</v>
      </c>
      <c r="B372" t="s">
        <v>634</v>
      </c>
      <c r="C372">
        <v>7.79</v>
      </c>
      <c r="D372">
        <v>111</v>
      </c>
      <c r="E372">
        <v>20.59</v>
      </c>
      <c r="F372">
        <v>1.28</v>
      </c>
      <c r="G372" t="s">
        <v>2074</v>
      </c>
    </row>
    <row r="373" spans="1:7">
      <c r="A373">
        <v>2462</v>
      </c>
      <c r="B373" t="s">
        <v>635</v>
      </c>
      <c r="C373">
        <v>1.56</v>
      </c>
      <c r="D373">
        <v>111</v>
      </c>
      <c r="E373" s="47">
        <v>15.3</v>
      </c>
      <c r="F373">
        <v>1.9</v>
      </c>
      <c r="G373" t="s">
        <v>2074</v>
      </c>
    </row>
    <row r="374" spans="1:7">
      <c r="A374">
        <v>2464</v>
      </c>
      <c r="B374" t="s">
        <v>636</v>
      </c>
      <c r="C374">
        <v>5</v>
      </c>
      <c r="D374">
        <v>111</v>
      </c>
      <c r="E374">
        <v>128.57</v>
      </c>
      <c r="F374">
        <v>1.73</v>
      </c>
      <c r="G374" t="s">
        <v>2074</v>
      </c>
    </row>
    <row r="375" spans="1:7">
      <c r="A375">
        <v>2465</v>
      </c>
      <c r="B375" t="s">
        <v>637</v>
      </c>
      <c r="C375">
        <v>0</v>
      </c>
      <c r="D375">
        <v>111</v>
      </c>
      <c r="E375" t="s">
        <v>271</v>
      </c>
      <c r="F375">
        <v>10.67</v>
      </c>
      <c r="G375" t="s">
        <v>2074</v>
      </c>
    </row>
    <row r="376" spans="1:7">
      <c r="A376">
        <v>2466</v>
      </c>
      <c r="B376" t="s">
        <v>638</v>
      </c>
      <c r="C376">
        <v>0.5</v>
      </c>
      <c r="D376">
        <v>111</v>
      </c>
      <c r="E376" t="s">
        <v>271</v>
      </c>
      <c r="F376">
        <v>3.44</v>
      </c>
      <c r="G376" t="s">
        <v>2074</v>
      </c>
    </row>
    <row r="377" spans="1:7">
      <c r="A377">
        <v>2467</v>
      </c>
      <c r="B377" t="s">
        <v>639</v>
      </c>
      <c r="C377">
        <v>5.81</v>
      </c>
      <c r="D377">
        <v>111</v>
      </c>
      <c r="E377">
        <v>18.899999999999999</v>
      </c>
      <c r="F377">
        <v>2.93</v>
      </c>
      <c r="G377" t="s">
        <v>2074</v>
      </c>
    </row>
    <row r="378" spans="1:7">
      <c r="A378">
        <v>2468</v>
      </c>
      <c r="B378" t="s">
        <v>640</v>
      </c>
      <c r="C378">
        <v>2.0299999999999998</v>
      </c>
      <c r="D378">
        <v>111</v>
      </c>
      <c r="E378">
        <v>28.74</v>
      </c>
      <c r="F378">
        <v>1.71</v>
      </c>
      <c r="G378" t="s">
        <v>2074</v>
      </c>
    </row>
    <row r="379" spans="1:7">
      <c r="A379">
        <v>2471</v>
      </c>
      <c r="B379" t="s">
        <v>641</v>
      </c>
      <c r="C379">
        <v>5.25</v>
      </c>
      <c r="D379">
        <v>111</v>
      </c>
      <c r="E379">
        <v>14.81</v>
      </c>
      <c r="F379">
        <v>2.93</v>
      </c>
      <c r="G379" t="s">
        <v>2074</v>
      </c>
    </row>
    <row r="380" spans="1:7">
      <c r="A380">
        <v>2472</v>
      </c>
      <c r="B380" t="s">
        <v>642</v>
      </c>
      <c r="C380">
        <v>4.84</v>
      </c>
      <c r="D380">
        <v>111</v>
      </c>
      <c r="E380">
        <v>13.73</v>
      </c>
      <c r="F380">
        <v>1.71</v>
      </c>
      <c r="G380" t="s">
        <v>2074</v>
      </c>
    </row>
    <row r="381" spans="1:7">
      <c r="A381">
        <v>2474</v>
      </c>
      <c r="B381" t="s">
        <v>643</v>
      </c>
      <c r="C381">
        <v>5.15</v>
      </c>
      <c r="D381">
        <v>111</v>
      </c>
      <c r="E381">
        <v>13.02</v>
      </c>
      <c r="F381">
        <v>0.81</v>
      </c>
      <c r="G381" t="s">
        <v>2074</v>
      </c>
    </row>
    <row r="382" spans="1:7">
      <c r="A382">
        <v>2476</v>
      </c>
      <c r="B382" t="s">
        <v>644</v>
      </c>
      <c r="C382">
        <v>3.19</v>
      </c>
      <c r="D382">
        <v>111</v>
      </c>
      <c r="E382">
        <v>20.11</v>
      </c>
      <c r="F382">
        <v>2.31</v>
      </c>
      <c r="G382" t="s">
        <v>2074</v>
      </c>
    </row>
    <row r="383" spans="1:7">
      <c r="A383">
        <v>2477</v>
      </c>
      <c r="B383" t="s">
        <v>645</v>
      </c>
      <c r="C383">
        <v>3.49</v>
      </c>
      <c r="D383">
        <v>111</v>
      </c>
      <c r="E383" t="s">
        <v>271</v>
      </c>
      <c r="F383">
        <v>0.89</v>
      </c>
      <c r="G383" t="s">
        <v>2074</v>
      </c>
    </row>
    <row r="384" spans="1:7">
      <c r="A384">
        <v>2478</v>
      </c>
      <c r="B384" t="s">
        <v>646</v>
      </c>
      <c r="C384">
        <v>4.18</v>
      </c>
      <c r="D384">
        <v>111</v>
      </c>
      <c r="E384">
        <v>18.91</v>
      </c>
      <c r="F384">
        <v>1.06</v>
      </c>
      <c r="G384" t="s">
        <v>2074</v>
      </c>
    </row>
    <row r="385" spans="1:7">
      <c r="A385">
        <v>2480</v>
      </c>
      <c r="B385" t="s">
        <v>647</v>
      </c>
      <c r="C385">
        <v>5.2</v>
      </c>
      <c r="D385">
        <v>111</v>
      </c>
      <c r="E385">
        <v>16.309999999999999</v>
      </c>
      <c r="F385">
        <v>4.16</v>
      </c>
      <c r="G385" t="s">
        <v>2074</v>
      </c>
    </row>
    <row r="386" spans="1:7">
      <c r="A386">
        <v>2481</v>
      </c>
      <c r="B386" t="s">
        <v>648</v>
      </c>
      <c r="C386">
        <v>4.46</v>
      </c>
      <c r="D386">
        <v>111</v>
      </c>
      <c r="E386">
        <v>31.16</v>
      </c>
      <c r="F386">
        <v>1.91</v>
      </c>
      <c r="G386" t="s">
        <v>2074</v>
      </c>
    </row>
    <row r="387" spans="1:7">
      <c r="A387">
        <v>2482</v>
      </c>
      <c r="B387" t="s">
        <v>649</v>
      </c>
      <c r="C387">
        <v>3.71</v>
      </c>
      <c r="D387">
        <v>111</v>
      </c>
      <c r="E387">
        <v>12.41</v>
      </c>
      <c r="F387">
        <v>2.36</v>
      </c>
      <c r="G387" t="s">
        <v>2074</v>
      </c>
    </row>
    <row r="388" spans="1:7">
      <c r="A388">
        <v>2483</v>
      </c>
      <c r="B388" t="s">
        <v>650</v>
      </c>
      <c r="C388">
        <v>4.1500000000000004</v>
      </c>
      <c r="D388">
        <v>111</v>
      </c>
      <c r="E388">
        <v>49.18</v>
      </c>
      <c r="F388">
        <v>1.02</v>
      </c>
      <c r="G388" t="s">
        <v>2074</v>
      </c>
    </row>
    <row r="389" spans="1:7">
      <c r="A389">
        <v>2484</v>
      </c>
      <c r="B389" t="s">
        <v>651</v>
      </c>
      <c r="C389">
        <v>6.66</v>
      </c>
      <c r="D389">
        <v>111</v>
      </c>
      <c r="E389">
        <v>15.37</v>
      </c>
      <c r="F389">
        <v>1.37</v>
      </c>
      <c r="G389" t="s">
        <v>2074</v>
      </c>
    </row>
    <row r="390" spans="1:7">
      <c r="A390">
        <v>2485</v>
      </c>
      <c r="B390" t="s">
        <v>652</v>
      </c>
      <c r="C390">
        <v>0</v>
      </c>
      <c r="D390">
        <v>111</v>
      </c>
      <c r="E390">
        <v>91.67</v>
      </c>
      <c r="F390">
        <v>1.1200000000000001</v>
      </c>
      <c r="G390" t="s">
        <v>2074</v>
      </c>
    </row>
    <row r="391" spans="1:7">
      <c r="A391">
        <v>2486</v>
      </c>
      <c r="B391" t="s">
        <v>653</v>
      </c>
      <c r="C391">
        <v>0.85</v>
      </c>
      <c r="D391">
        <v>111</v>
      </c>
      <c r="E391">
        <v>74.290000000000006</v>
      </c>
      <c r="F391">
        <v>2.4700000000000002</v>
      </c>
      <c r="G391" t="s">
        <v>2074</v>
      </c>
    </row>
    <row r="392" spans="1:7">
      <c r="A392">
        <v>2488</v>
      </c>
      <c r="B392" t="s">
        <v>654</v>
      </c>
      <c r="C392">
        <v>6.26</v>
      </c>
      <c r="D392">
        <v>111</v>
      </c>
      <c r="E392">
        <v>9.33</v>
      </c>
      <c r="F392">
        <v>1.31</v>
      </c>
      <c r="G392" t="s">
        <v>2074</v>
      </c>
    </row>
    <row r="393" spans="1:7">
      <c r="A393">
        <v>2489</v>
      </c>
      <c r="B393" t="s">
        <v>655</v>
      </c>
      <c r="C393">
        <v>0</v>
      </c>
      <c r="D393">
        <v>111</v>
      </c>
      <c r="E393" t="s">
        <v>271</v>
      </c>
      <c r="F393">
        <v>0.72</v>
      </c>
      <c r="G393" t="s">
        <v>2074</v>
      </c>
    </row>
    <row r="394" spans="1:7">
      <c r="A394">
        <v>2491</v>
      </c>
      <c r="B394" t="s">
        <v>656</v>
      </c>
      <c r="C394">
        <v>0</v>
      </c>
      <c r="D394">
        <v>111</v>
      </c>
      <c r="E394">
        <v>48.28</v>
      </c>
      <c r="F394">
        <v>1.44</v>
      </c>
      <c r="G394" t="s">
        <v>2074</v>
      </c>
    </row>
    <row r="395" spans="1:7">
      <c r="A395">
        <v>2492</v>
      </c>
      <c r="B395" t="s">
        <v>657</v>
      </c>
      <c r="C395">
        <v>1.95</v>
      </c>
      <c r="D395">
        <v>111</v>
      </c>
      <c r="E395">
        <v>35.24</v>
      </c>
      <c r="F395">
        <v>1.26</v>
      </c>
      <c r="G395" t="s">
        <v>2074</v>
      </c>
    </row>
    <row r="396" spans="1:7">
      <c r="A396">
        <v>2493</v>
      </c>
      <c r="B396" t="s">
        <v>658</v>
      </c>
      <c r="C396">
        <v>5.0599999999999996</v>
      </c>
      <c r="D396">
        <v>111</v>
      </c>
      <c r="E396">
        <v>12.92</v>
      </c>
      <c r="F396">
        <v>3.17</v>
      </c>
      <c r="G396" t="s">
        <v>2074</v>
      </c>
    </row>
    <row r="397" spans="1:7">
      <c r="A397">
        <v>2495</v>
      </c>
      <c r="B397" t="s">
        <v>659</v>
      </c>
      <c r="C397">
        <v>2.82</v>
      </c>
      <c r="D397">
        <v>111</v>
      </c>
      <c r="E397">
        <v>18.850000000000001</v>
      </c>
      <c r="F397">
        <v>1.38</v>
      </c>
      <c r="G397" t="s">
        <v>2074</v>
      </c>
    </row>
    <row r="398" spans="1:7">
      <c r="A398">
        <v>2496</v>
      </c>
      <c r="B398" t="s">
        <v>660</v>
      </c>
      <c r="C398">
        <v>5.27</v>
      </c>
      <c r="D398">
        <v>111</v>
      </c>
      <c r="E398">
        <v>13.23</v>
      </c>
      <c r="F398">
        <v>1.45</v>
      </c>
      <c r="G398" t="s">
        <v>2074</v>
      </c>
    </row>
    <row r="399" spans="1:7">
      <c r="A399">
        <v>2497</v>
      </c>
      <c r="B399" t="s">
        <v>661</v>
      </c>
      <c r="C399" s="47">
        <v>1.08</v>
      </c>
      <c r="D399">
        <v>111</v>
      </c>
      <c r="E399">
        <v>29.28</v>
      </c>
      <c r="F399">
        <v>3.72</v>
      </c>
      <c r="G399" t="s">
        <v>2074</v>
      </c>
    </row>
    <row r="400" spans="1:7">
      <c r="A400">
        <v>2498</v>
      </c>
      <c r="B400" t="s">
        <v>662</v>
      </c>
      <c r="C400">
        <v>0</v>
      </c>
      <c r="D400">
        <v>111</v>
      </c>
      <c r="E400" t="s">
        <v>271</v>
      </c>
      <c r="F400">
        <v>1.75</v>
      </c>
      <c r="G400" t="s">
        <v>2074</v>
      </c>
    </row>
    <row r="401" spans="1:7">
      <c r="A401">
        <v>2501</v>
      </c>
      <c r="B401" t="s">
        <v>663</v>
      </c>
      <c r="C401">
        <v>2.75</v>
      </c>
      <c r="D401">
        <v>111</v>
      </c>
      <c r="E401">
        <v>11.13</v>
      </c>
      <c r="F401">
        <v>0.84</v>
      </c>
      <c r="G401" t="s">
        <v>2074</v>
      </c>
    </row>
    <row r="402" spans="1:7">
      <c r="A402">
        <v>2504</v>
      </c>
      <c r="B402" t="s">
        <v>664</v>
      </c>
      <c r="C402">
        <v>7.1</v>
      </c>
      <c r="D402">
        <v>111</v>
      </c>
      <c r="E402">
        <v>10.95</v>
      </c>
      <c r="F402">
        <v>1.41</v>
      </c>
      <c r="G402" t="s">
        <v>2074</v>
      </c>
    </row>
    <row r="403" spans="1:7">
      <c r="A403">
        <v>2505</v>
      </c>
      <c r="B403" t="s">
        <v>665</v>
      </c>
      <c r="C403">
        <v>0</v>
      </c>
      <c r="D403">
        <v>111</v>
      </c>
      <c r="E403">
        <v>81.03</v>
      </c>
      <c r="F403">
        <v>0.91</v>
      </c>
      <c r="G403" t="s">
        <v>2074</v>
      </c>
    </row>
    <row r="404" spans="1:7">
      <c r="A404">
        <v>2506</v>
      </c>
      <c r="B404" t="s">
        <v>666</v>
      </c>
      <c r="C404">
        <v>2.94</v>
      </c>
      <c r="D404">
        <v>111</v>
      </c>
      <c r="E404" t="s">
        <v>271</v>
      </c>
      <c r="F404">
        <v>0.5</v>
      </c>
      <c r="G404" t="s">
        <v>2074</v>
      </c>
    </row>
    <row r="405" spans="1:7">
      <c r="A405">
        <v>2509</v>
      </c>
      <c r="B405" t="s">
        <v>667</v>
      </c>
      <c r="C405">
        <v>0</v>
      </c>
      <c r="D405">
        <v>111</v>
      </c>
      <c r="E405" t="s">
        <v>271</v>
      </c>
      <c r="F405">
        <v>0.91</v>
      </c>
      <c r="G405" t="s">
        <v>2074</v>
      </c>
    </row>
    <row r="406" spans="1:7">
      <c r="A406">
        <v>2511</v>
      </c>
      <c r="B406" t="s">
        <v>668</v>
      </c>
      <c r="C406">
        <v>4.5</v>
      </c>
      <c r="D406">
        <v>111</v>
      </c>
      <c r="E406">
        <v>22.65</v>
      </c>
      <c r="F406">
        <v>0.71</v>
      </c>
      <c r="G406" t="s">
        <v>2074</v>
      </c>
    </row>
    <row r="407" spans="1:7">
      <c r="A407">
        <v>2514</v>
      </c>
      <c r="B407" t="s">
        <v>669</v>
      </c>
      <c r="C407">
        <v>0</v>
      </c>
      <c r="D407">
        <v>111</v>
      </c>
      <c r="E407">
        <v>11.61</v>
      </c>
      <c r="F407">
        <v>0.52</v>
      </c>
      <c r="G407" t="s">
        <v>2074</v>
      </c>
    </row>
    <row r="408" spans="1:7">
      <c r="A408">
        <v>2515</v>
      </c>
      <c r="B408" t="s">
        <v>670</v>
      </c>
      <c r="C408">
        <v>3.98</v>
      </c>
      <c r="D408">
        <v>111</v>
      </c>
      <c r="E408">
        <v>30.93</v>
      </c>
      <c r="F408">
        <v>0.92</v>
      </c>
      <c r="G408" t="s">
        <v>2074</v>
      </c>
    </row>
    <row r="409" spans="1:7">
      <c r="A409">
        <v>2516</v>
      </c>
      <c r="B409" t="s">
        <v>671</v>
      </c>
      <c r="C409">
        <v>0</v>
      </c>
      <c r="D409">
        <v>111</v>
      </c>
      <c r="E409" t="s">
        <v>271</v>
      </c>
      <c r="F409">
        <v>2.0499999999999998</v>
      </c>
      <c r="G409" t="s">
        <v>2074</v>
      </c>
    </row>
    <row r="410" spans="1:7">
      <c r="A410">
        <v>2520</v>
      </c>
      <c r="B410" t="s">
        <v>672</v>
      </c>
      <c r="C410">
        <v>4.5</v>
      </c>
      <c r="D410">
        <v>111</v>
      </c>
      <c r="E410">
        <v>9.64</v>
      </c>
      <c r="F410">
        <v>1.1100000000000001</v>
      </c>
      <c r="G410" t="s">
        <v>2074</v>
      </c>
    </row>
    <row r="411" spans="1:7">
      <c r="A411">
        <v>2524</v>
      </c>
      <c r="B411" t="s">
        <v>673</v>
      </c>
      <c r="C411">
        <v>0</v>
      </c>
      <c r="D411">
        <v>111</v>
      </c>
      <c r="E411">
        <v>14.19</v>
      </c>
      <c r="F411">
        <v>0.67</v>
      </c>
      <c r="G411" t="s">
        <v>2074</v>
      </c>
    </row>
    <row r="412" spans="1:7">
      <c r="A412">
        <v>2527</v>
      </c>
      <c r="B412" t="s">
        <v>674</v>
      </c>
      <c r="C412">
        <v>3.6</v>
      </c>
      <c r="D412">
        <v>111</v>
      </c>
      <c r="E412">
        <v>14.16</v>
      </c>
      <c r="F412">
        <v>0.7</v>
      </c>
      <c r="G412" t="s">
        <v>2074</v>
      </c>
    </row>
    <row r="413" spans="1:7">
      <c r="A413">
        <v>2528</v>
      </c>
      <c r="B413" t="s">
        <v>675</v>
      </c>
      <c r="C413">
        <v>1.45</v>
      </c>
      <c r="D413">
        <v>111</v>
      </c>
      <c r="E413">
        <v>37.549999999999997</v>
      </c>
      <c r="F413">
        <v>2.5</v>
      </c>
      <c r="G413" t="s">
        <v>2074</v>
      </c>
    </row>
    <row r="414" spans="1:7">
      <c r="A414">
        <v>2530</v>
      </c>
      <c r="B414" t="s">
        <v>676</v>
      </c>
      <c r="C414">
        <v>1.1399999999999999</v>
      </c>
      <c r="D414">
        <v>111</v>
      </c>
      <c r="E414">
        <v>94.34</v>
      </c>
      <c r="F414">
        <v>3.05</v>
      </c>
      <c r="G414" t="s">
        <v>2074</v>
      </c>
    </row>
    <row r="415" spans="1:7">
      <c r="A415">
        <v>2534</v>
      </c>
      <c r="B415" t="s">
        <v>677</v>
      </c>
      <c r="C415">
        <v>8.64</v>
      </c>
      <c r="D415">
        <v>111</v>
      </c>
      <c r="E415">
        <v>6.51</v>
      </c>
      <c r="F415">
        <v>0.66</v>
      </c>
      <c r="G415" t="s">
        <v>2074</v>
      </c>
    </row>
    <row r="416" spans="1:7">
      <c r="A416">
        <v>2535</v>
      </c>
      <c r="B416" t="s">
        <v>678</v>
      </c>
      <c r="C416">
        <v>5.67</v>
      </c>
      <c r="D416">
        <v>111</v>
      </c>
      <c r="E416">
        <v>9</v>
      </c>
      <c r="F416">
        <v>1.3</v>
      </c>
      <c r="G416" t="s">
        <v>2074</v>
      </c>
    </row>
    <row r="417" spans="1:7">
      <c r="A417">
        <v>2536</v>
      </c>
      <c r="B417" t="s">
        <v>679</v>
      </c>
      <c r="C417">
        <v>1.67</v>
      </c>
      <c r="D417">
        <v>111</v>
      </c>
      <c r="E417" s="47" t="s">
        <v>271</v>
      </c>
      <c r="F417">
        <v>0.89</v>
      </c>
      <c r="G417" t="s">
        <v>2074</v>
      </c>
    </row>
    <row r="418" spans="1:7">
      <c r="A418">
        <v>2537</v>
      </c>
      <c r="B418" t="s">
        <v>680</v>
      </c>
      <c r="C418">
        <v>0</v>
      </c>
      <c r="D418">
        <v>111</v>
      </c>
      <c r="E418" t="s">
        <v>271</v>
      </c>
      <c r="F418">
        <v>0.65</v>
      </c>
      <c r="G418" t="s">
        <v>2074</v>
      </c>
    </row>
    <row r="419" spans="1:7">
      <c r="A419">
        <v>2538</v>
      </c>
      <c r="B419" t="s">
        <v>681</v>
      </c>
      <c r="C419">
        <v>3.18</v>
      </c>
      <c r="D419">
        <v>111</v>
      </c>
      <c r="E419">
        <v>14.67</v>
      </c>
      <c r="F419">
        <v>1.1100000000000001</v>
      </c>
      <c r="G419" t="s">
        <v>2074</v>
      </c>
    </row>
    <row r="420" spans="1:7">
      <c r="A420">
        <v>2539</v>
      </c>
      <c r="B420" t="s">
        <v>682</v>
      </c>
      <c r="C420">
        <v>3.7</v>
      </c>
      <c r="D420">
        <v>111</v>
      </c>
      <c r="E420">
        <v>41.02</v>
      </c>
      <c r="F420">
        <v>3.8</v>
      </c>
      <c r="G420" t="s">
        <v>2074</v>
      </c>
    </row>
    <row r="421" spans="1:7">
      <c r="A421">
        <v>2540</v>
      </c>
      <c r="B421" t="s">
        <v>683</v>
      </c>
      <c r="C421">
        <v>4.63</v>
      </c>
      <c r="D421">
        <v>111</v>
      </c>
      <c r="E421">
        <v>33.32</v>
      </c>
      <c r="F421">
        <v>4.1399999999999997</v>
      </c>
      <c r="G421" t="s">
        <v>2074</v>
      </c>
    </row>
    <row r="422" spans="1:7">
      <c r="A422">
        <v>2542</v>
      </c>
      <c r="B422" t="s">
        <v>684</v>
      </c>
      <c r="C422">
        <v>3.74</v>
      </c>
      <c r="D422">
        <v>111</v>
      </c>
      <c r="E422">
        <v>13.69</v>
      </c>
      <c r="F422">
        <v>1.43</v>
      </c>
      <c r="G422" t="s">
        <v>2074</v>
      </c>
    </row>
    <row r="423" spans="1:7">
      <c r="A423">
        <v>2543</v>
      </c>
      <c r="B423" t="s">
        <v>685</v>
      </c>
      <c r="C423">
        <v>1.22</v>
      </c>
      <c r="D423">
        <v>111</v>
      </c>
      <c r="E423">
        <v>18.32</v>
      </c>
      <c r="F423">
        <v>2.08</v>
      </c>
      <c r="G423" t="s">
        <v>2074</v>
      </c>
    </row>
    <row r="424" spans="1:7">
      <c r="A424">
        <v>2545</v>
      </c>
      <c r="B424" t="s">
        <v>686</v>
      </c>
      <c r="C424">
        <v>10.69</v>
      </c>
      <c r="D424">
        <v>111</v>
      </c>
      <c r="E424">
        <v>119.58</v>
      </c>
      <c r="F424">
        <v>1.32</v>
      </c>
      <c r="G424" t="s">
        <v>2074</v>
      </c>
    </row>
    <row r="425" spans="1:7">
      <c r="A425">
        <v>2546</v>
      </c>
      <c r="B425" t="s">
        <v>687</v>
      </c>
      <c r="C425">
        <v>5.63</v>
      </c>
      <c r="D425">
        <v>111</v>
      </c>
      <c r="E425">
        <v>8.27</v>
      </c>
      <c r="F425">
        <v>2.1800000000000002</v>
      </c>
      <c r="G425" t="s">
        <v>2074</v>
      </c>
    </row>
    <row r="426" spans="1:7">
      <c r="A426">
        <v>2547</v>
      </c>
      <c r="B426" t="s">
        <v>688</v>
      </c>
      <c r="C426">
        <v>0</v>
      </c>
      <c r="D426">
        <v>111</v>
      </c>
      <c r="E426" t="s">
        <v>271</v>
      </c>
      <c r="F426">
        <v>0.81</v>
      </c>
      <c r="G426" t="s">
        <v>2074</v>
      </c>
    </row>
    <row r="427" spans="1:7">
      <c r="A427">
        <v>2548</v>
      </c>
      <c r="B427" t="s">
        <v>689</v>
      </c>
      <c r="C427">
        <v>7.79</v>
      </c>
      <c r="D427">
        <v>111</v>
      </c>
      <c r="E427">
        <v>12.98</v>
      </c>
      <c r="F427">
        <v>1.38</v>
      </c>
      <c r="G427" t="s">
        <v>2074</v>
      </c>
    </row>
    <row r="428" spans="1:7">
      <c r="A428">
        <v>2597</v>
      </c>
      <c r="B428" t="s">
        <v>690</v>
      </c>
      <c r="C428">
        <v>8.6999999999999993</v>
      </c>
      <c r="D428">
        <v>111</v>
      </c>
      <c r="E428">
        <v>12.12</v>
      </c>
      <c r="F428">
        <v>3.91</v>
      </c>
      <c r="G428" t="s">
        <v>2074</v>
      </c>
    </row>
    <row r="429" spans="1:7">
      <c r="A429">
        <v>2601</v>
      </c>
      <c r="B429" t="s">
        <v>691</v>
      </c>
      <c r="C429">
        <v>0</v>
      </c>
      <c r="D429">
        <v>111</v>
      </c>
      <c r="E429" t="s">
        <v>271</v>
      </c>
      <c r="F429">
        <v>0.7</v>
      </c>
      <c r="G429" t="s">
        <v>2074</v>
      </c>
    </row>
    <row r="430" spans="1:7">
      <c r="A430">
        <v>2603</v>
      </c>
      <c r="B430" t="s">
        <v>692</v>
      </c>
      <c r="C430">
        <v>48.78</v>
      </c>
      <c r="D430">
        <v>111</v>
      </c>
      <c r="E430">
        <v>4.91</v>
      </c>
      <c r="F430">
        <v>0.67</v>
      </c>
      <c r="G430" t="s">
        <v>2074</v>
      </c>
    </row>
    <row r="431" spans="1:7">
      <c r="A431">
        <v>2605</v>
      </c>
      <c r="B431" t="s">
        <v>693</v>
      </c>
      <c r="C431">
        <v>1.97</v>
      </c>
      <c r="D431">
        <v>111</v>
      </c>
      <c r="E431">
        <v>25.87</v>
      </c>
      <c r="F431">
        <v>0.88</v>
      </c>
      <c r="G431" t="s">
        <v>2074</v>
      </c>
    </row>
    <row r="432" spans="1:7">
      <c r="A432">
        <v>2606</v>
      </c>
      <c r="B432" t="s">
        <v>694</v>
      </c>
      <c r="C432">
        <v>5.76</v>
      </c>
      <c r="D432">
        <v>111</v>
      </c>
      <c r="E432">
        <v>18.670000000000002</v>
      </c>
      <c r="F432">
        <v>1.28</v>
      </c>
      <c r="G432" t="s">
        <v>2074</v>
      </c>
    </row>
    <row r="433" spans="1:7">
      <c r="A433">
        <v>2607</v>
      </c>
      <c r="B433" t="s">
        <v>695</v>
      </c>
      <c r="C433">
        <v>3.94</v>
      </c>
      <c r="D433">
        <v>111</v>
      </c>
      <c r="E433">
        <v>11.49</v>
      </c>
      <c r="F433">
        <v>1.08</v>
      </c>
      <c r="G433" t="s">
        <v>2074</v>
      </c>
    </row>
    <row r="434" spans="1:7">
      <c r="A434">
        <v>2608</v>
      </c>
      <c r="B434" t="s">
        <v>696</v>
      </c>
      <c r="C434">
        <v>4.3</v>
      </c>
      <c r="D434">
        <v>111</v>
      </c>
      <c r="E434">
        <v>10.52</v>
      </c>
      <c r="F434">
        <v>1.48</v>
      </c>
      <c r="G434" t="s">
        <v>2074</v>
      </c>
    </row>
    <row r="435" spans="1:7">
      <c r="A435">
        <v>2609</v>
      </c>
      <c r="B435" t="s">
        <v>697</v>
      </c>
      <c r="C435">
        <v>38.99</v>
      </c>
      <c r="D435">
        <v>111</v>
      </c>
      <c r="E435">
        <v>8.61</v>
      </c>
      <c r="F435">
        <v>0.63</v>
      </c>
      <c r="G435" t="s">
        <v>2074</v>
      </c>
    </row>
    <row r="436" spans="1:7">
      <c r="A436">
        <v>2610</v>
      </c>
      <c r="B436" t="s">
        <v>698</v>
      </c>
      <c r="C436">
        <v>2.12</v>
      </c>
      <c r="D436">
        <v>111</v>
      </c>
      <c r="E436">
        <v>21.44</v>
      </c>
      <c r="F436">
        <v>1.76</v>
      </c>
      <c r="G436" t="s">
        <v>2074</v>
      </c>
    </row>
    <row r="437" spans="1:7">
      <c r="A437">
        <v>2611</v>
      </c>
      <c r="B437" t="s">
        <v>699</v>
      </c>
      <c r="C437">
        <v>0</v>
      </c>
      <c r="D437">
        <v>111</v>
      </c>
      <c r="E437">
        <v>11.14</v>
      </c>
      <c r="F437">
        <v>1.1399999999999999</v>
      </c>
      <c r="G437" t="s">
        <v>2074</v>
      </c>
    </row>
    <row r="438" spans="1:7">
      <c r="A438">
        <v>2612</v>
      </c>
      <c r="B438" t="s">
        <v>700</v>
      </c>
      <c r="C438">
        <v>4.29</v>
      </c>
      <c r="D438">
        <v>111</v>
      </c>
      <c r="E438">
        <v>20.32</v>
      </c>
      <c r="F438">
        <v>0.83</v>
      </c>
      <c r="G438" t="s">
        <v>2074</v>
      </c>
    </row>
    <row r="439" spans="1:7">
      <c r="A439">
        <v>2613</v>
      </c>
      <c r="B439" t="s">
        <v>701</v>
      </c>
      <c r="C439">
        <v>4.53</v>
      </c>
      <c r="D439">
        <v>111</v>
      </c>
      <c r="E439">
        <v>43.77</v>
      </c>
      <c r="F439">
        <v>1.02</v>
      </c>
      <c r="G439" t="s">
        <v>2074</v>
      </c>
    </row>
    <row r="440" spans="1:7">
      <c r="A440">
        <v>2614</v>
      </c>
      <c r="B440" t="s">
        <v>702</v>
      </c>
      <c r="C440">
        <v>0</v>
      </c>
      <c r="D440">
        <v>111</v>
      </c>
      <c r="E440" t="s">
        <v>271</v>
      </c>
      <c r="F440">
        <v>1.84</v>
      </c>
      <c r="G440" t="s">
        <v>2074</v>
      </c>
    </row>
    <row r="441" spans="1:7">
      <c r="A441">
        <v>2615</v>
      </c>
      <c r="B441" t="s">
        <v>703</v>
      </c>
      <c r="C441">
        <v>9.09</v>
      </c>
      <c r="D441">
        <v>111</v>
      </c>
      <c r="E441" t="s">
        <v>271</v>
      </c>
      <c r="F441">
        <v>0.71</v>
      </c>
      <c r="G441" t="s">
        <v>2074</v>
      </c>
    </row>
    <row r="442" spans="1:7">
      <c r="A442">
        <v>2616</v>
      </c>
      <c r="B442" t="s">
        <v>704</v>
      </c>
      <c r="C442">
        <v>5.33</v>
      </c>
      <c r="D442">
        <v>111</v>
      </c>
      <c r="E442">
        <v>29.13</v>
      </c>
      <c r="F442">
        <v>0.86</v>
      </c>
      <c r="G442" t="s">
        <v>2074</v>
      </c>
    </row>
    <row r="443" spans="1:7">
      <c r="A443">
        <v>2617</v>
      </c>
      <c r="B443" t="s">
        <v>705</v>
      </c>
      <c r="C443">
        <v>6.67</v>
      </c>
      <c r="D443">
        <v>111</v>
      </c>
      <c r="E443">
        <v>7.6</v>
      </c>
      <c r="F443">
        <v>0.86</v>
      </c>
      <c r="G443" t="s">
        <v>2074</v>
      </c>
    </row>
    <row r="444" spans="1:7">
      <c r="A444">
        <v>2618</v>
      </c>
      <c r="B444" t="s">
        <v>706</v>
      </c>
      <c r="C444">
        <v>2.54</v>
      </c>
      <c r="D444">
        <v>111</v>
      </c>
      <c r="E444">
        <v>9.92</v>
      </c>
      <c r="F444">
        <v>1.71</v>
      </c>
      <c r="G444" t="s">
        <v>2074</v>
      </c>
    </row>
    <row r="445" spans="1:7">
      <c r="A445">
        <v>2630</v>
      </c>
      <c r="B445" t="s">
        <v>707</v>
      </c>
      <c r="C445">
        <v>0.96</v>
      </c>
      <c r="D445">
        <v>111</v>
      </c>
      <c r="E445">
        <v>267.86</v>
      </c>
      <c r="F445">
        <v>2.2999999999999998</v>
      </c>
      <c r="G445" t="s">
        <v>2074</v>
      </c>
    </row>
    <row r="446" spans="1:7">
      <c r="A446">
        <v>2633</v>
      </c>
      <c r="B446" t="s">
        <v>708</v>
      </c>
      <c r="C446">
        <v>2.1800000000000002</v>
      </c>
      <c r="D446">
        <v>111</v>
      </c>
      <c r="E446">
        <v>26.02</v>
      </c>
      <c r="F446">
        <v>2.52</v>
      </c>
      <c r="G446" t="s">
        <v>2074</v>
      </c>
    </row>
    <row r="447" spans="1:7">
      <c r="A447">
        <v>2634</v>
      </c>
      <c r="B447" t="s">
        <v>709</v>
      </c>
      <c r="C447">
        <v>2.0099999999999998</v>
      </c>
      <c r="D447">
        <v>111</v>
      </c>
      <c r="E447">
        <v>22.81</v>
      </c>
      <c r="F447">
        <v>2.99</v>
      </c>
      <c r="G447" t="s">
        <v>2074</v>
      </c>
    </row>
    <row r="448" spans="1:7">
      <c r="A448">
        <v>2636</v>
      </c>
      <c r="B448" t="s">
        <v>710</v>
      </c>
      <c r="C448">
        <v>11.74</v>
      </c>
      <c r="D448">
        <v>111</v>
      </c>
      <c r="E448">
        <v>8.27</v>
      </c>
      <c r="F448">
        <v>1.37</v>
      </c>
      <c r="G448" t="s">
        <v>2074</v>
      </c>
    </row>
    <row r="449" spans="1:7">
      <c r="A449">
        <v>2637</v>
      </c>
      <c r="B449" t="s">
        <v>711</v>
      </c>
      <c r="C449">
        <v>12.5</v>
      </c>
      <c r="D449">
        <v>111</v>
      </c>
      <c r="E449">
        <v>13.3</v>
      </c>
      <c r="F449">
        <v>0.82</v>
      </c>
      <c r="G449" t="s">
        <v>2074</v>
      </c>
    </row>
    <row r="450" spans="1:7">
      <c r="A450">
        <v>2642</v>
      </c>
      <c r="B450" t="s">
        <v>712</v>
      </c>
      <c r="C450">
        <v>3.65</v>
      </c>
      <c r="D450">
        <v>111</v>
      </c>
      <c r="E450">
        <v>34.54</v>
      </c>
      <c r="F450">
        <v>1.75</v>
      </c>
      <c r="G450" t="s">
        <v>2074</v>
      </c>
    </row>
    <row r="451" spans="1:7">
      <c r="A451">
        <v>2645</v>
      </c>
      <c r="B451" t="s">
        <v>2077</v>
      </c>
      <c r="C451">
        <v>3.69</v>
      </c>
      <c r="D451">
        <v>111</v>
      </c>
      <c r="E451">
        <v>23.79</v>
      </c>
      <c r="F451">
        <v>3.18</v>
      </c>
      <c r="G451" t="s">
        <v>2074</v>
      </c>
    </row>
    <row r="452" spans="1:7">
      <c r="A452">
        <v>2701</v>
      </c>
      <c r="B452" t="s">
        <v>713</v>
      </c>
      <c r="C452">
        <v>1.92</v>
      </c>
      <c r="D452">
        <v>111</v>
      </c>
      <c r="E452">
        <v>28.26</v>
      </c>
      <c r="F452">
        <v>0.7</v>
      </c>
      <c r="G452" t="s">
        <v>2074</v>
      </c>
    </row>
    <row r="453" spans="1:7">
      <c r="A453">
        <v>2702</v>
      </c>
      <c r="B453" t="s">
        <v>714</v>
      </c>
      <c r="C453">
        <v>3.26</v>
      </c>
      <c r="D453">
        <v>111</v>
      </c>
      <c r="E453">
        <v>9.66</v>
      </c>
      <c r="F453">
        <v>1.01</v>
      </c>
      <c r="G453" t="s">
        <v>2074</v>
      </c>
    </row>
    <row r="454" spans="1:7">
      <c r="A454">
        <v>2704</v>
      </c>
      <c r="B454" t="s">
        <v>715</v>
      </c>
      <c r="C454">
        <v>1.01</v>
      </c>
      <c r="D454">
        <v>111</v>
      </c>
      <c r="E454" s="47">
        <v>11.04</v>
      </c>
      <c r="F454">
        <v>0.93</v>
      </c>
      <c r="G454" t="s">
        <v>2074</v>
      </c>
    </row>
    <row r="455" spans="1:7">
      <c r="A455">
        <v>2705</v>
      </c>
      <c r="B455" t="s">
        <v>716</v>
      </c>
      <c r="C455">
        <v>0</v>
      </c>
      <c r="D455">
        <v>111</v>
      </c>
      <c r="E455" s="47" t="s">
        <v>271</v>
      </c>
      <c r="F455">
        <v>0.73</v>
      </c>
      <c r="G455" t="s">
        <v>2074</v>
      </c>
    </row>
    <row r="456" spans="1:7">
      <c r="A456">
        <v>2706</v>
      </c>
      <c r="B456" t="s">
        <v>717</v>
      </c>
      <c r="C456">
        <v>2.2000000000000002</v>
      </c>
      <c r="D456">
        <v>111</v>
      </c>
      <c r="E456">
        <v>30</v>
      </c>
      <c r="F456">
        <v>0.81</v>
      </c>
      <c r="G456" t="s">
        <v>2074</v>
      </c>
    </row>
    <row r="457" spans="1:7">
      <c r="A457">
        <v>2707</v>
      </c>
      <c r="B457" t="s">
        <v>718</v>
      </c>
      <c r="C457">
        <v>4.07</v>
      </c>
      <c r="D457">
        <v>111</v>
      </c>
      <c r="E457">
        <v>21.72</v>
      </c>
      <c r="F457">
        <v>6.63</v>
      </c>
      <c r="G457" t="s">
        <v>2074</v>
      </c>
    </row>
    <row r="458" spans="1:7">
      <c r="A458">
        <v>2712</v>
      </c>
      <c r="B458" t="s">
        <v>719</v>
      </c>
      <c r="C458">
        <v>0.26</v>
      </c>
      <c r="D458">
        <v>111</v>
      </c>
      <c r="E458">
        <v>58.17</v>
      </c>
      <c r="F458">
        <v>2.91</v>
      </c>
      <c r="G458" t="s">
        <v>2074</v>
      </c>
    </row>
    <row r="459" spans="1:7">
      <c r="A459">
        <v>2722</v>
      </c>
      <c r="B459" t="s">
        <v>720</v>
      </c>
      <c r="C459">
        <v>1.9</v>
      </c>
      <c r="D459">
        <v>111</v>
      </c>
      <c r="E459">
        <v>66.319999999999993</v>
      </c>
      <c r="F459">
        <v>3.8</v>
      </c>
      <c r="G459" t="s">
        <v>2074</v>
      </c>
    </row>
    <row r="460" spans="1:7">
      <c r="A460">
        <v>2723</v>
      </c>
      <c r="B460" t="s">
        <v>721</v>
      </c>
      <c r="C460">
        <v>2.46</v>
      </c>
      <c r="D460">
        <v>111</v>
      </c>
      <c r="E460">
        <v>21.01</v>
      </c>
      <c r="F460">
        <v>1.63</v>
      </c>
      <c r="G460" t="s">
        <v>2074</v>
      </c>
    </row>
    <row r="461" spans="1:7">
      <c r="A461">
        <v>2727</v>
      </c>
      <c r="B461" t="s">
        <v>722</v>
      </c>
      <c r="C461">
        <v>1.94</v>
      </c>
      <c r="D461">
        <v>111</v>
      </c>
      <c r="E461">
        <v>15.6</v>
      </c>
      <c r="F461">
        <v>4.9400000000000004</v>
      </c>
      <c r="G461" t="s">
        <v>2074</v>
      </c>
    </row>
    <row r="462" spans="1:7">
      <c r="A462">
        <v>2731</v>
      </c>
      <c r="B462" t="s">
        <v>723</v>
      </c>
      <c r="C462">
        <v>0</v>
      </c>
      <c r="D462">
        <v>111</v>
      </c>
      <c r="E462">
        <v>27.89</v>
      </c>
      <c r="F462">
        <v>4.41</v>
      </c>
      <c r="G462" t="s">
        <v>2074</v>
      </c>
    </row>
    <row r="463" spans="1:7">
      <c r="A463">
        <v>2739</v>
      </c>
      <c r="B463" t="s">
        <v>724</v>
      </c>
      <c r="C463">
        <v>0</v>
      </c>
      <c r="D463">
        <v>111</v>
      </c>
      <c r="E463">
        <v>21.13</v>
      </c>
      <c r="F463">
        <v>6.08</v>
      </c>
      <c r="G463" t="s">
        <v>2074</v>
      </c>
    </row>
    <row r="464" spans="1:7">
      <c r="A464">
        <v>2748</v>
      </c>
      <c r="B464" t="s">
        <v>725</v>
      </c>
      <c r="C464">
        <v>1.53</v>
      </c>
      <c r="D464">
        <v>111</v>
      </c>
      <c r="E464">
        <v>29.09</v>
      </c>
      <c r="F464">
        <v>3.22</v>
      </c>
      <c r="G464" t="s">
        <v>2074</v>
      </c>
    </row>
    <row r="465" spans="1:7">
      <c r="A465">
        <v>2753</v>
      </c>
      <c r="B465" t="s">
        <v>726</v>
      </c>
      <c r="C465">
        <v>4.4000000000000004</v>
      </c>
      <c r="D465">
        <v>111</v>
      </c>
      <c r="E465">
        <v>19.22</v>
      </c>
      <c r="F465">
        <v>3.45</v>
      </c>
      <c r="G465" t="s">
        <v>2074</v>
      </c>
    </row>
    <row r="466" spans="1:7">
      <c r="A466">
        <v>2801</v>
      </c>
      <c r="B466" t="s">
        <v>727</v>
      </c>
      <c r="C466">
        <v>4.47</v>
      </c>
      <c r="D466">
        <v>111</v>
      </c>
      <c r="E466">
        <v>15.3</v>
      </c>
      <c r="F466">
        <v>1.07</v>
      </c>
      <c r="G466" t="s">
        <v>2074</v>
      </c>
    </row>
    <row r="467" spans="1:7">
      <c r="A467">
        <v>2809</v>
      </c>
      <c r="B467" t="s">
        <v>728</v>
      </c>
      <c r="C467">
        <v>2.75</v>
      </c>
      <c r="D467">
        <v>111</v>
      </c>
      <c r="E467">
        <v>7.91</v>
      </c>
      <c r="F467">
        <v>0.96</v>
      </c>
      <c r="G467" t="s">
        <v>2074</v>
      </c>
    </row>
    <row r="468" spans="1:7">
      <c r="A468">
        <v>2812</v>
      </c>
      <c r="B468" t="s">
        <v>729</v>
      </c>
      <c r="C468">
        <v>4.53</v>
      </c>
      <c r="D468">
        <v>111</v>
      </c>
      <c r="E468">
        <v>13.14</v>
      </c>
      <c r="F468">
        <v>1.1299999999999999</v>
      </c>
      <c r="G468" t="s">
        <v>2074</v>
      </c>
    </row>
    <row r="469" spans="1:7">
      <c r="A469">
        <v>2816</v>
      </c>
      <c r="B469" t="s">
        <v>730</v>
      </c>
      <c r="C469">
        <v>0</v>
      </c>
      <c r="D469">
        <v>111</v>
      </c>
      <c r="E469">
        <v>15.95</v>
      </c>
      <c r="F469">
        <v>1.44</v>
      </c>
      <c r="G469" t="s">
        <v>2074</v>
      </c>
    </row>
    <row r="470" spans="1:7">
      <c r="A470">
        <v>2820</v>
      </c>
      <c r="B470" t="s">
        <v>731</v>
      </c>
      <c r="C470">
        <v>3.31</v>
      </c>
      <c r="D470">
        <v>111</v>
      </c>
      <c r="E470">
        <v>16.78</v>
      </c>
      <c r="F470">
        <v>0.87</v>
      </c>
      <c r="G470" t="s">
        <v>2074</v>
      </c>
    </row>
    <row r="471" spans="1:7">
      <c r="A471">
        <v>2832</v>
      </c>
      <c r="B471" t="s">
        <v>732</v>
      </c>
      <c r="C471">
        <v>3.76</v>
      </c>
      <c r="D471">
        <v>111</v>
      </c>
      <c r="E471">
        <v>10.73</v>
      </c>
      <c r="F471">
        <v>0.89</v>
      </c>
      <c r="G471" t="s">
        <v>2074</v>
      </c>
    </row>
    <row r="472" spans="1:7">
      <c r="A472">
        <v>2834</v>
      </c>
      <c r="B472" t="s">
        <v>733</v>
      </c>
      <c r="C472">
        <v>2.48</v>
      </c>
      <c r="D472">
        <v>111</v>
      </c>
      <c r="E472">
        <v>9.86</v>
      </c>
      <c r="F472">
        <v>0.98</v>
      </c>
      <c r="G472" t="s">
        <v>2074</v>
      </c>
    </row>
    <row r="473" spans="1:7">
      <c r="A473">
        <v>2836</v>
      </c>
      <c r="B473" t="s">
        <v>734</v>
      </c>
      <c r="C473">
        <v>0</v>
      </c>
      <c r="D473">
        <v>111</v>
      </c>
      <c r="E473">
        <v>18.559999999999999</v>
      </c>
      <c r="F473">
        <v>0.9</v>
      </c>
      <c r="G473" t="s">
        <v>2074</v>
      </c>
    </row>
    <row r="474" spans="1:7">
      <c r="A474">
        <v>2838</v>
      </c>
      <c r="B474" t="s">
        <v>735</v>
      </c>
      <c r="C474">
        <v>4.17</v>
      </c>
      <c r="D474">
        <v>111</v>
      </c>
      <c r="E474">
        <v>11.9</v>
      </c>
      <c r="F474">
        <v>0.87</v>
      </c>
      <c r="G474" t="s">
        <v>2074</v>
      </c>
    </row>
    <row r="475" spans="1:7">
      <c r="A475">
        <v>2845</v>
      </c>
      <c r="B475" t="s">
        <v>736</v>
      </c>
      <c r="C475">
        <v>3.24</v>
      </c>
      <c r="D475">
        <v>111</v>
      </c>
      <c r="E475">
        <v>11.19</v>
      </c>
      <c r="F475">
        <v>0.89</v>
      </c>
      <c r="G475" t="s">
        <v>2074</v>
      </c>
    </row>
    <row r="476" spans="1:7">
      <c r="A476">
        <v>2849</v>
      </c>
      <c r="B476" t="s">
        <v>737</v>
      </c>
      <c r="C476">
        <v>2.7</v>
      </c>
      <c r="D476">
        <v>111</v>
      </c>
      <c r="E476">
        <v>134.55000000000001</v>
      </c>
      <c r="F476">
        <v>0.89</v>
      </c>
      <c r="G476" t="s">
        <v>2074</v>
      </c>
    </row>
    <row r="477" spans="1:7">
      <c r="A477">
        <v>2850</v>
      </c>
      <c r="B477" t="s">
        <v>738</v>
      </c>
      <c r="C477">
        <v>3.73</v>
      </c>
      <c r="D477">
        <v>111</v>
      </c>
      <c r="E477">
        <v>8.1</v>
      </c>
      <c r="F477">
        <v>1.29</v>
      </c>
      <c r="G477" t="s">
        <v>2074</v>
      </c>
    </row>
    <row r="478" spans="1:7">
      <c r="A478">
        <v>2851</v>
      </c>
      <c r="B478" t="s">
        <v>739</v>
      </c>
      <c r="C478">
        <v>0</v>
      </c>
      <c r="D478">
        <v>111</v>
      </c>
      <c r="E478">
        <v>10.77</v>
      </c>
      <c r="F478">
        <v>1.01</v>
      </c>
      <c r="G478" t="s">
        <v>2074</v>
      </c>
    </row>
    <row r="479" spans="1:7">
      <c r="A479">
        <v>2852</v>
      </c>
      <c r="B479" t="s">
        <v>740</v>
      </c>
      <c r="C479">
        <v>3.88</v>
      </c>
      <c r="D479">
        <v>111</v>
      </c>
      <c r="E479">
        <v>10.54</v>
      </c>
      <c r="F479">
        <v>0.71</v>
      </c>
      <c r="G479" t="s">
        <v>2074</v>
      </c>
    </row>
    <row r="480" spans="1:7">
      <c r="A480">
        <v>2855</v>
      </c>
      <c r="B480" t="s">
        <v>741</v>
      </c>
      <c r="C480">
        <v>1.98</v>
      </c>
      <c r="D480">
        <v>111</v>
      </c>
      <c r="E480">
        <v>10.74</v>
      </c>
      <c r="F480">
        <v>0.9</v>
      </c>
      <c r="G480" t="s">
        <v>2074</v>
      </c>
    </row>
    <row r="481" spans="1:7">
      <c r="A481">
        <v>2867</v>
      </c>
      <c r="B481" t="s">
        <v>742</v>
      </c>
      <c r="C481">
        <v>0</v>
      </c>
      <c r="D481">
        <v>111</v>
      </c>
      <c r="E481" t="s">
        <v>271</v>
      </c>
      <c r="F481">
        <v>0.61</v>
      </c>
      <c r="G481" t="s">
        <v>2074</v>
      </c>
    </row>
    <row r="482" spans="1:7">
      <c r="A482">
        <v>2880</v>
      </c>
      <c r="B482" t="s">
        <v>743</v>
      </c>
      <c r="C482" s="47">
        <v>2.64</v>
      </c>
      <c r="D482">
        <v>111</v>
      </c>
      <c r="E482">
        <v>15</v>
      </c>
      <c r="F482">
        <v>1.56</v>
      </c>
      <c r="G482" t="s">
        <v>2074</v>
      </c>
    </row>
    <row r="483" spans="1:7">
      <c r="A483">
        <v>2881</v>
      </c>
      <c r="B483" t="s">
        <v>744</v>
      </c>
      <c r="C483">
        <v>2.31</v>
      </c>
      <c r="D483">
        <v>111</v>
      </c>
      <c r="E483">
        <v>30.57</v>
      </c>
      <c r="F483">
        <v>1.28</v>
      </c>
      <c r="G483" t="s">
        <v>2074</v>
      </c>
    </row>
    <row r="484" spans="1:7">
      <c r="A484">
        <v>2882</v>
      </c>
      <c r="B484" t="s">
        <v>745</v>
      </c>
      <c r="C484">
        <v>1.97</v>
      </c>
      <c r="D484">
        <v>111</v>
      </c>
      <c r="E484">
        <v>17.329999999999998</v>
      </c>
      <c r="F484">
        <v>1.1000000000000001</v>
      </c>
      <c r="G484" t="s">
        <v>2074</v>
      </c>
    </row>
    <row r="485" spans="1:7">
      <c r="A485">
        <v>2883</v>
      </c>
      <c r="B485" t="s">
        <v>746</v>
      </c>
      <c r="C485">
        <v>0</v>
      </c>
      <c r="D485">
        <v>111</v>
      </c>
      <c r="E485">
        <v>16.96</v>
      </c>
      <c r="F485">
        <v>0.98</v>
      </c>
      <c r="G485" t="s">
        <v>2074</v>
      </c>
    </row>
    <row r="486" spans="1:7">
      <c r="A486">
        <v>2884</v>
      </c>
      <c r="B486" t="s">
        <v>747</v>
      </c>
      <c r="C486">
        <v>2.21</v>
      </c>
      <c r="D486">
        <v>111</v>
      </c>
      <c r="E486">
        <v>20.16</v>
      </c>
      <c r="F486">
        <v>1.77</v>
      </c>
      <c r="G486" t="s">
        <v>2074</v>
      </c>
    </row>
    <row r="487" spans="1:7">
      <c r="A487">
        <v>2885</v>
      </c>
      <c r="B487" t="s">
        <v>748</v>
      </c>
      <c r="C487">
        <v>3.44</v>
      </c>
      <c r="D487">
        <v>111</v>
      </c>
      <c r="E487">
        <v>13.8</v>
      </c>
      <c r="F487">
        <v>1.26</v>
      </c>
      <c r="G487" t="s">
        <v>2074</v>
      </c>
    </row>
    <row r="488" spans="1:7">
      <c r="A488">
        <v>2886</v>
      </c>
      <c r="B488" t="s">
        <v>749</v>
      </c>
      <c r="C488">
        <v>3.37</v>
      </c>
      <c r="D488">
        <v>111</v>
      </c>
      <c r="E488">
        <v>17.350000000000001</v>
      </c>
      <c r="F488">
        <v>1.73</v>
      </c>
      <c r="G488" t="s">
        <v>2074</v>
      </c>
    </row>
    <row r="489" spans="1:7">
      <c r="A489">
        <v>2887</v>
      </c>
      <c r="B489" t="s">
        <v>750</v>
      </c>
      <c r="C489">
        <v>5.14</v>
      </c>
      <c r="D489">
        <v>111</v>
      </c>
      <c r="E489">
        <v>13.12</v>
      </c>
      <c r="F489">
        <v>1.17</v>
      </c>
      <c r="G489" t="s">
        <v>2074</v>
      </c>
    </row>
    <row r="490" spans="1:7">
      <c r="A490">
        <v>2888</v>
      </c>
      <c r="B490" t="s">
        <v>751</v>
      </c>
      <c r="C490">
        <v>0</v>
      </c>
      <c r="D490">
        <v>111</v>
      </c>
      <c r="E490" t="s">
        <v>271</v>
      </c>
      <c r="F490">
        <v>0.61</v>
      </c>
      <c r="G490" t="s">
        <v>2074</v>
      </c>
    </row>
    <row r="491" spans="1:7">
      <c r="A491">
        <v>2889</v>
      </c>
      <c r="B491" t="s">
        <v>752</v>
      </c>
      <c r="C491">
        <v>0</v>
      </c>
      <c r="D491">
        <v>111</v>
      </c>
      <c r="E491">
        <v>25</v>
      </c>
      <c r="F491">
        <v>1.07</v>
      </c>
      <c r="G491" t="s">
        <v>2074</v>
      </c>
    </row>
    <row r="492" spans="1:7">
      <c r="A492">
        <v>2890</v>
      </c>
      <c r="B492" t="s">
        <v>753</v>
      </c>
      <c r="C492">
        <v>4.0599999999999996</v>
      </c>
      <c r="D492">
        <v>111</v>
      </c>
      <c r="E492">
        <v>13.05</v>
      </c>
      <c r="F492">
        <v>1.37</v>
      </c>
      <c r="G492" t="s">
        <v>2074</v>
      </c>
    </row>
    <row r="493" spans="1:7">
      <c r="A493">
        <v>2891</v>
      </c>
      <c r="B493" t="s">
        <v>754</v>
      </c>
      <c r="C493">
        <v>3.53</v>
      </c>
      <c r="D493">
        <v>111</v>
      </c>
      <c r="E493">
        <v>11.96</v>
      </c>
      <c r="F493">
        <v>1.38</v>
      </c>
      <c r="G493" t="s">
        <v>2074</v>
      </c>
    </row>
    <row r="494" spans="1:7">
      <c r="A494">
        <v>2892</v>
      </c>
      <c r="B494" t="s">
        <v>755</v>
      </c>
      <c r="C494">
        <v>4.01</v>
      </c>
      <c r="D494">
        <v>111</v>
      </c>
      <c r="E494">
        <v>16.12</v>
      </c>
      <c r="F494">
        <v>1.54</v>
      </c>
      <c r="G494" t="s">
        <v>2074</v>
      </c>
    </row>
    <row r="495" spans="1:7">
      <c r="A495">
        <v>2897</v>
      </c>
      <c r="B495" t="s">
        <v>756</v>
      </c>
      <c r="C495">
        <v>3.81</v>
      </c>
      <c r="D495">
        <v>111</v>
      </c>
      <c r="E495">
        <v>5.51</v>
      </c>
      <c r="F495">
        <v>0.77</v>
      </c>
      <c r="G495" t="s">
        <v>2074</v>
      </c>
    </row>
    <row r="496" spans="1:7">
      <c r="A496">
        <v>2901</v>
      </c>
      <c r="B496" t="s">
        <v>757</v>
      </c>
      <c r="C496">
        <v>0.78</v>
      </c>
      <c r="D496">
        <v>111</v>
      </c>
      <c r="E496">
        <v>78.819999999999993</v>
      </c>
      <c r="F496">
        <v>2.2400000000000002</v>
      </c>
      <c r="G496" t="s">
        <v>2074</v>
      </c>
    </row>
    <row r="497" spans="1:7">
      <c r="A497">
        <v>2903</v>
      </c>
      <c r="B497" t="s">
        <v>758</v>
      </c>
      <c r="C497">
        <v>4.4400000000000004</v>
      </c>
      <c r="D497">
        <v>111</v>
      </c>
      <c r="E497">
        <v>12.19</v>
      </c>
      <c r="F497">
        <v>1.0900000000000001</v>
      </c>
      <c r="G497" t="s">
        <v>2074</v>
      </c>
    </row>
    <row r="498" spans="1:7">
      <c r="A498">
        <v>2904</v>
      </c>
      <c r="B498" t="s">
        <v>759</v>
      </c>
      <c r="C498">
        <v>3.43</v>
      </c>
      <c r="D498">
        <v>111</v>
      </c>
      <c r="E498">
        <v>17.39</v>
      </c>
      <c r="F498">
        <v>1.22</v>
      </c>
      <c r="G498" t="s">
        <v>2074</v>
      </c>
    </row>
    <row r="499" spans="1:7">
      <c r="A499">
        <v>2905</v>
      </c>
      <c r="B499" t="s">
        <v>760</v>
      </c>
      <c r="C499" s="47">
        <v>0</v>
      </c>
      <c r="D499">
        <v>111</v>
      </c>
      <c r="E499" t="s">
        <v>271</v>
      </c>
      <c r="F499">
        <v>0.85</v>
      </c>
      <c r="G499" t="s">
        <v>2074</v>
      </c>
    </row>
    <row r="500" spans="1:7">
      <c r="A500">
        <v>2906</v>
      </c>
      <c r="B500" t="s">
        <v>761</v>
      </c>
      <c r="C500">
        <v>3.25</v>
      </c>
      <c r="D500">
        <v>111</v>
      </c>
      <c r="E500">
        <v>52.71</v>
      </c>
      <c r="F500">
        <v>1.18</v>
      </c>
      <c r="G500" t="s">
        <v>2074</v>
      </c>
    </row>
    <row r="501" spans="1:7">
      <c r="A501">
        <v>2908</v>
      </c>
      <c r="B501" t="s">
        <v>762</v>
      </c>
      <c r="C501">
        <v>6.1</v>
      </c>
      <c r="D501">
        <v>111</v>
      </c>
      <c r="E501">
        <v>50</v>
      </c>
      <c r="F501">
        <v>1.57</v>
      </c>
      <c r="G501" t="s">
        <v>2074</v>
      </c>
    </row>
    <row r="502" spans="1:7">
      <c r="A502">
        <v>2910</v>
      </c>
      <c r="B502" t="s">
        <v>763</v>
      </c>
      <c r="C502">
        <v>0</v>
      </c>
      <c r="D502">
        <v>111</v>
      </c>
      <c r="E502" s="47">
        <v>27.82</v>
      </c>
      <c r="F502">
        <v>1.95</v>
      </c>
      <c r="G502" t="s">
        <v>2074</v>
      </c>
    </row>
    <row r="503" spans="1:7">
      <c r="A503">
        <v>2911</v>
      </c>
      <c r="B503" t="s">
        <v>764</v>
      </c>
      <c r="C503">
        <v>0</v>
      </c>
      <c r="D503">
        <v>111</v>
      </c>
      <c r="E503" t="s">
        <v>271</v>
      </c>
      <c r="F503">
        <v>1.27</v>
      </c>
      <c r="G503" t="s">
        <v>2074</v>
      </c>
    </row>
    <row r="504" spans="1:7">
      <c r="A504">
        <v>2912</v>
      </c>
      <c r="B504" t="s">
        <v>765</v>
      </c>
      <c r="C504">
        <v>3.34</v>
      </c>
      <c r="D504">
        <v>111</v>
      </c>
      <c r="E504">
        <v>27</v>
      </c>
      <c r="F504">
        <v>7.61</v>
      </c>
      <c r="G504" t="s">
        <v>2074</v>
      </c>
    </row>
    <row r="505" spans="1:7">
      <c r="A505">
        <v>2913</v>
      </c>
      <c r="B505" t="s">
        <v>766</v>
      </c>
      <c r="C505">
        <v>0</v>
      </c>
      <c r="D505">
        <v>111</v>
      </c>
      <c r="E505" t="s">
        <v>271</v>
      </c>
      <c r="F505">
        <v>1.34</v>
      </c>
      <c r="G505" t="s">
        <v>2074</v>
      </c>
    </row>
    <row r="506" spans="1:7">
      <c r="A506">
        <v>2915</v>
      </c>
      <c r="B506" t="s">
        <v>767</v>
      </c>
      <c r="C506">
        <v>3.11</v>
      </c>
      <c r="D506">
        <v>111</v>
      </c>
      <c r="E506" s="47">
        <v>11.84</v>
      </c>
      <c r="F506">
        <v>0.79</v>
      </c>
      <c r="G506" t="s">
        <v>2074</v>
      </c>
    </row>
    <row r="507" spans="1:7">
      <c r="A507">
        <v>2923</v>
      </c>
      <c r="B507" t="s">
        <v>768</v>
      </c>
      <c r="C507">
        <v>2.08</v>
      </c>
      <c r="D507">
        <v>111</v>
      </c>
      <c r="E507" s="47">
        <v>1440</v>
      </c>
      <c r="F507">
        <v>1.02</v>
      </c>
      <c r="G507" t="s">
        <v>2074</v>
      </c>
    </row>
    <row r="508" spans="1:7">
      <c r="A508">
        <v>2929</v>
      </c>
      <c r="B508" t="s">
        <v>769</v>
      </c>
      <c r="C508">
        <v>0</v>
      </c>
      <c r="D508">
        <v>111</v>
      </c>
      <c r="E508" t="s">
        <v>271</v>
      </c>
      <c r="F508">
        <v>0.47</v>
      </c>
      <c r="G508" t="s">
        <v>2074</v>
      </c>
    </row>
    <row r="509" spans="1:7">
      <c r="A509">
        <v>2939</v>
      </c>
      <c r="B509" t="s">
        <v>770</v>
      </c>
      <c r="C509">
        <v>0</v>
      </c>
      <c r="D509">
        <v>111</v>
      </c>
      <c r="E509" t="s">
        <v>271</v>
      </c>
      <c r="F509">
        <v>1.41</v>
      </c>
      <c r="G509" t="s">
        <v>2074</v>
      </c>
    </row>
    <row r="510" spans="1:7">
      <c r="A510">
        <v>2945</v>
      </c>
      <c r="B510" t="s">
        <v>771</v>
      </c>
      <c r="C510">
        <v>1.57</v>
      </c>
      <c r="D510">
        <v>111</v>
      </c>
      <c r="E510">
        <v>32.26</v>
      </c>
      <c r="F510">
        <v>1.73</v>
      </c>
      <c r="G510" t="s">
        <v>2074</v>
      </c>
    </row>
    <row r="511" spans="1:7">
      <c r="A511">
        <v>3002</v>
      </c>
      <c r="B511" t="s">
        <v>772</v>
      </c>
      <c r="C511">
        <v>1.0900000000000001</v>
      </c>
      <c r="D511">
        <v>111</v>
      </c>
      <c r="E511">
        <v>80.88</v>
      </c>
      <c r="F511">
        <v>1.07</v>
      </c>
      <c r="G511" t="s">
        <v>2074</v>
      </c>
    </row>
    <row r="512" spans="1:7">
      <c r="A512">
        <v>3003</v>
      </c>
      <c r="B512" t="s">
        <v>773</v>
      </c>
      <c r="C512">
        <v>2.78</v>
      </c>
      <c r="D512">
        <v>111</v>
      </c>
      <c r="E512">
        <v>19.97</v>
      </c>
      <c r="F512">
        <v>1.81</v>
      </c>
      <c r="G512" t="s">
        <v>2074</v>
      </c>
    </row>
    <row r="513" spans="1:7">
      <c r="A513">
        <v>3004</v>
      </c>
      <c r="B513" t="s">
        <v>774</v>
      </c>
      <c r="C513">
        <v>1.1000000000000001</v>
      </c>
      <c r="D513">
        <v>111</v>
      </c>
      <c r="E513">
        <v>17.850000000000001</v>
      </c>
      <c r="F513">
        <v>2.2400000000000002</v>
      </c>
      <c r="G513" t="s">
        <v>2074</v>
      </c>
    </row>
    <row r="514" spans="1:7">
      <c r="A514">
        <v>3005</v>
      </c>
      <c r="B514" t="s">
        <v>775</v>
      </c>
      <c r="C514">
        <v>3.41</v>
      </c>
      <c r="D514">
        <v>111</v>
      </c>
      <c r="E514">
        <v>17.13</v>
      </c>
      <c r="F514">
        <v>3.18</v>
      </c>
      <c r="G514" t="s">
        <v>2074</v>
      </c>
    </row>
    <row r="515" spans="1:7">
      <c r="A515">
        <v>3006</v>
      </c>
      <c r="B515" t="s">
        <v>776</v>
      </c>
      <c r="C515">
        <v>1.84</v>
      </c>
      <c r="D515">
        <v>111</v>
      </c>
      <c r="E515" t="s">
        <v>271</v>
      </c>
      <c r="F515">
        <v>2.57</v>
      </c>
      <c r="G515" t="s">
        <v>2074</v>
      </c>
    </row>
    <row r="516" spans="1:7">
      <c r="A516">
        <v>3008</v>
      </c>
      <c r="B516" t="s">
        <v>777</v>
      </c>
      <c r="C516">
        <v>2.98</v>
      </c>
      <c r="D516">
        <v>111</v>
      </c>
      <c r="E516">
        <v>22.58</v>
      </c>
      <c r="F516">
        <v>2.39</v>
      </c>
      <c r="G516" t="s">
        <v>2074</v>
      </c>
    </row>
    <row r="517" spans="1:7">
      <c r="A517">
        <v>3010</v>
      </c>
      <c r="B517" t="s">
        <v>778</v>
      </c>
      <c r="C517">
        <v>6.19</v>
      </c>
      <c r="D517">
        <v>111</v>
      </c>
      <c r="E517">
        <v>11.56</v>
      </c>
      <c r="F517">
        <v>1.29</v>
      </c>
      <c r="G517" t="s">
        <v>2074</v>
      </c>
    </row>
    <row r="518" spans="1:7">
      <c r="A518">
        <v>3011</v>
      </c>
      <c r="B518" t="s">
        <v>779</v>
      </c>
      <c r="C518">
        <v>0</v>
      </c>
      <c r="D518">
        <v>111</v>
      </c>
      <c r="E518" t="s">
        <v>271</v>
      </c>
      <c r="F518">
        <v>3.99</v>
      </c>
      <c r="G518" t="s">
        <v>2074</v>
      </c>
    </row>
    <row r="519" spans="1:7">
      <c r="A519">
        <v>3013</v>
      </c>
      <c r="B519" t="s">
        <v>780</v>
      </c>
      <c r="C519">
        <v>0.64</v>
      </c>
      <c r="D519">
        <v>111</v>
      </c>
      <c r="E519">
        <v>40.090000000000003</v>
      </c>
      <c r="F519">
        <v>2.92</v>
      </c>
      <c r="G519" t="s">
        <v>2074</v>
      </c>
    </row>
    <row r="520" spans="1:7">
      <c r="A520">
        <v>3014</v>
      </c>
      <c r="B520" t="s">
        <v>781</v>
      </c>
      <c r="C520">
        <v>3.99</v>
      </c>
      <c r="D520">
        <v>111</v>
      </c>
      <c r="E520">
        <v>16.63</v>
      </c>
      <c r="F520">
        <v>4.0199999999999996</v>
      </c>
      <c r="G520" t="s">
        <v>2074</v>
      </c>
    </row>
    <row r="521" spans="1:7">
      <c r="A521">
        <v>3015</v>
      </c>
      <c r="B521" t="s">
        <v>782</v>
      </c>
      <c r="C521">
        <v>7.41</v>
      </c>
      <c r="D521">
        <v>111</v>
      </c>
      <c r="E521">
        <v>13.79</v>
      </c>
      <c r="F521">
        <v>0.7</v>
      </c>
      <c r="G521" t="s">
        <v>2074</v>
      </c>
    </row>
    <row r="522" spans="1:7">
      <c r="A522">
        <v>3016</v>
      </c>
      <c r="B522" t="s">
        <v>783</v>
      </c>
      <c r="C522">
        <v>3.24</v>
      </c>
      <c r="D522">
        <v>111</v>
      </c>
      <c r="E522">
        <v>87.04</v>
      </c>
      <c r="F522">
        <v>3.68</v>
      </c>
      <c r="G522" t="s">
        <v>2074</v>
      </c>
    </row>
    <row r="523" spans="1:7">
      <c r="A523">
        <v>3017</v>
      </c>
      <c r="B523" t="s">
        <v>784</v>
      </c>
      <c r="C523">
        <v>1.49</v>
      </c>
      <c r="D523">
        <v>111</v>
      </c>
      <c r="E523">
        <v>27.36</v>
      </c>
      <c r="F523">
        <v>6.28</v>
      </c>
      <c r="G523" t="s">
        <v>2074</v>
      </c>
    </row>
    <row r="524" spans="1:7">
      <c r="A524">
        <v>3018</v>
      </c>
      <c r="B524" t="s">
        <v>2052</v>
      </c>
      <c r="C524">
        <v>0</v>
      </c>
      <c r="D524">
        <v>111</v>
      </c>
      <c r="E524" t="s">
        <v>271</v>
      </c>
      <c r="F524">
        <v>12.92</v>
      </c>
      <c r="G524" t="s">
        <v>2074</v>
      </c>
    </row>
    <row r="525" spans="1:7">
      <c r="A525">
        <v>3019</v>
      </c>
      <c r="B525" t="s">
        <v>785</v>
      </c>
      <c r="C525">
        <v>2.71</v>
      </c>
      <c r="D525">
        <v>111</v>
      </c>
      <c r="E525">
        <v>32.200000000000003</v>
      </c>
      <c r="F525">
        <v>1.52</v>
      </c>
      <c r="G525" t="s">
        <v>2074</v>
      </c>
    </row>
    <row r="526" spans="1:7">
      <c r="A526">
        <v>3021</v>
      </c>
      <c r="B526" t="s">
        <v>786</v>
      </c>
      <c r="C526">
        <v>3.47</v>
      </c>
      <c r="D526">
        <v>111</v>
      </c>
      <c r="E526">
        <v>15.38</v>
      </c>
      <c r="F526">
        <v>1.26</v>
      </c>
      <c r="G526" t="s">
        <v>2074</v>
      </c>
    </row>
    <row r="527" spans="1:7">
      <c r="A527">
        <v>3022</v>
      </c>
      <c r="B527" t="s">
        <v>787</v>
      </c>
      <c r="C527">
        <v>4.17</v>
      </c>
      <c r="D527">
        <v>111</v>
      </c>
      <c r="E527">
        <v>9.7899999999999991</v>
      </c>
      <c r="F527">
        <v>1.48</v>
      </c>
      <c r="G527" t="s">
        <v>2074</v>
      </c>
    </row>
    <row r="528" spans="1:7">
      <c r="A528">
        <v>3023</v>
      </c>
      <c r="B528" t="s">
        <v>788</v>
      </c>
      <c r="C528">
        <v>2.83</v>
      </c>
      <c r="D528">
        <v>111</v>
      </c>
      <c r="E528">
        <v>21.82</v>
      </c>
      <c r="F528">
        <v>5.34</v>
      </c>
      <c r="G528" t="s">
        <v>2074</v>
      </c>
    </row>
    <row r="529" spans="1:7">
      <c r="A529">
        <v>3024</v>
      </c>
      <c r="B529" t="s">
        <v>789</v>
      </c>
      <c r="C529">
        <v>1.17</v>
      </c>
      <c r="D529">
        <v>111</v>
      </c>
      <c r="E529">
        <v>48.21</v>
      </c>
      <c r="F529">
        <v>1.83</v>
      </c>
      <c r="G529" t="s">
        <v>2074</v>
      </c>
    </row>
    <row r="530" spans="1:7">
      <c r="A530">
        <v>3025</v>
      </c>
      <c r="B530" t="s">
        <v>790</v>
      </c>
      <c r="C530">
        <v>2.04</v>
      </c>
      <c r="D530">
        <v>111</v>
      </c>
      <c r="E530">
        <v>24.43</v>
      </c>
      <c r="F530">
        <v>3.72</v>
      </c>
      <c r="G530" t="s">
        <v>2074</v>
      </c>
    </row>
    <row r="531" spans="1:7">
      <c r="A531">
        <v>3026</v>
      </c>
      <c r="B531" t="s">
        <v>791</v>
      </c>
      <c r="C531">
        <v>5.67</v>
      </c>
      <c r="D531">
        <v>111</v>
      </c>
      <c r="E531">
        <v>16.579999999999998</v>
      </c>
      <c r="F531">
        <v>1.64</v>
      </c>
      <c r="G531" t="s">
        <v>2074</v>
      </c>
    </row>
    <row r="532" spans="1:7">
      <c r="A532">
        <v>3027</v>
      </c>
      <c r="B532" t="s">
        <v>792</v>
      </c>
      <c r="C532">
        <v>0.61</v>
      </c>
      <c r="D532">
        <v>111</v>
      </c>
      <c r="E532">
        <v>42.33</v>
      </c>
      <c r="F532">
        <v>2.21</v>
      </c>
      <c r="G532" t="s">
        <v>2074</v>
      </c>
    </row>
    <row r="533" spans="1:7">
      <c r="A533">
        <v>3028</v>
      </c>
      <c r="B533" t="s">
        <v>793</v>
      </c>
      <c r="C533">
        <v>8.51</v>
      </c>
      <c r="D533">
        <v>111</v>
      </c>
      <c r="E533">
        <v>14.07</v>
      </c>
      <c r="F533">
        <v>1.34</v>
      </c>
      <c r="G533" t="s">
        <v>2074</v>
      </c>
    </row>
    <row r="534" spans="1:7">
      <c r="A534">
        <v>3029</v>
      </c>
      <c r="B534" t="s">
        <v>794</v>
      </c>
      <c r="C534">
        <v>5.5</v>
      </c>
      <c r="D534">
        <v>111</v>
      </c>
      <c r="E534">
        <v>15.32</v>
      </c>
      <c r="F534">
        <v>2.54</v>
      </c>
      <c r="G534" t="s">
        <v>2074</v>
      </c>
    </row>
    <row r="535" spans="1:7">
      <c r="A535">
        <v>3030</v>
      </c>
      <c r="B535" t="s">
        <v>795</v>
      </c>
      <c r="C535">
        <v>7.18</v>
      </c>
      <c r="D535">
        <v>111</v>
      </c>
      <c r="E535">
        <v>14.22</v>
      </c>
      <c r="F535">
        <v>2.14</v>
      </c>
      <c r="G535" t="s">
        <v>2074</v>
      </c>
    </row>
    <row r="536" spans="1:7">
      <c r="A536">
        <v>3031</v>
      </c>
      <c r="B536" t="s">
        <v>796</v>
      </c>
      <c r="C536">
        <v>4.59</v>
      </c>
      <c r="D536">
        <v>111</v>
      </c>
      <c r="E536">
        <v>19.89</v>
      </c>
      <c r="F536">
        <v>1.07</v>
      </c>
      <c r="G536" t="s">
        <v>2074</v>
      </c>
    </row>
    <row r="537" spans="1:7">
      <c r="A537">
        <v>3032</v>
      </c>
      <c r="B537" t="s">
        <v>797</v>
      </c>
      <c r="C537">
        <v>2.94</v>
      </c>
      <c r="D537">
        <v>111</v>
      </c>
      <c r="E537">
        <v>13.72</v>
      </c>
      <c r="F537">
        <v>2.63</v>
      </c>
      <c r="G537" t="s">
        <v>2074</v>
      </c>
    </row>
    <row r="538" spans="1:7">
      <c r="A538">
        <v>3033</v>
      </c>
      <c r="B538" t="s">
        <v>798</v>
      </c>
      <c r="C538">
        <v>10.62</v>
      </c>
      <c r="D538">
        <v>111</v>
      </c>
      <c r="E538">
        <v>14.74</v>
      </c>
      <c r="F538">
        <v>1.4</v>
      </c>
      <c r="G538" t="s">
        <v>2074</v>
      </c>
    </row>
    <row r="539" spans="1:7">
      <c r="A539">
        <v>3034</v>
      </c>
      <c r="B539" t="s">
        <v>799</v>
      </c>
      <c r="C539">
        <v>7.16</v>
      </c>
      <c r="D539">
        <v>111</v>
      </c>
      <c r="E539">
        <v>14.28</v>
      </c>
      <c r="F539">
        <v>5.0999999999999996</v>
      </c>
      <c r="G539" t="s">
        <v>2074</v>
      </c>
    </row>
    <row r="540" spans="1:7">
      <c r="A540">
        <v>3035</v>
      </c>
      <c r="B540" t="s">
        <v>800</v>
      </c>
      <c r="C540">
        <v>1.4</v>
      </c>
      <c r="D540">
        <v>111</v>
      </c>
      <c r="E540">
        <v>49.45</v>
      </c>
      <c r="F540">
        <v>9.8699999999999992</v>
      </c>
      <c r="G540" t="s">
        <v>2074</v>
      </c>
    </row>
    <row r="541" spans="1:7">
      <c r="A541">
        <v>3036</v>
      </c>
      <c r="B541" t="s">
        <v>801</v>
      </c>
      <c r="C541">
        <v>3.82</v>
      </c>
      <c r="D541">
        <v>111</v>
      </c>
      <c r="E541">
        <v>27.92</v>
      </c>
      <c r="F541">
        <v>1.88</v>
      </c>
      <c r="G541" t="s">
        <v>2074</v>
      </c>
    </row>
    <row r="542" spans="1:7">
      <c r="A542">
        <v>3037</v>
      </c>
      <c r="B542" t="s">
        <v>802</v>
      </c>
      <c r="C542">
        <v>4.54</v>
      </c>
      <c r="D542">
        <v>111</v>
      </c>
      <c r="E542">
        <v>16.329999999999998</v>
      </c>
      <c r="F542">
        <v>3.01</v>
      </c>
      <c r="G542" t="s">
        <v>2074</v>
      </c>
    </row>
    <row r="543" spans="1:7">
      <c r="A543">
        <v>3038</v>
      </c>
      <c r="B543" t="s">
        <v>803</v>
      </c>
      <c r="C543">
        <v>5.3</v>
      </c>
      <c r="D543">
        <v>111</v>
      </c>
      <c r="E543">
        <v>10.52</v>
      </c>
      <c r="F543">
        <v>1.78</v>
      </c>
      <c r="G543" t="s">
        <v>2074</v>
      </c>
    </row>
    <row r="544" spans="1:7">
      <c r="A544">
        <v>3040</v>
      </c>
      <c r="B544" t="s">
        <v>804</v>
      </c>
      <c r="C544">
        <v>6.67</v>
      </c>
      <c r="D544">
        <v>111</v>
      </c>
      <c r="E544">
        <v>32.61</v>
      </c>
      <c r="F544">
        <v>1.28</v>
      </c>
      <c r="G544" t="s">
        <v>2074</v>
      </c>
    </row>
    <row r="545" spans="1:7">
      <c r="A545">
        <v>3041</v>
      </c>
      <c r="B545" t="s">
        <v>805</v>
      </c>
      <c r="C545">
        <v>0</v>
      </c>
      <c r="D545">
        <v>111</v>
      </c>
      <c r="E545" t="s">
        <v>271</v>
      </c>
      <c r="F545">
        <v>2.29</v>
      </c>
      <c r="G545" t="s">
        <v>2074</v>
      </c>
    </row>
    <row r="546" spans="1:7">
      <c r="A546">
        <v>3042</v>
      </c>
      <c r="B546" t="s">
        <v>806</v>
      </c>
      <c r="C546">
        <v>7.1</v>
      </c>
      <c r="D546">
        <v>111</v>
      </c>
      <c r="E546">
        <v>17.48</v>
      </c>
      <c r="F546">
        <v>2.6</v>
      </c>
      <c r="G546" t="s">
        <v>2074</v>
      </c>
    </row>
    <row r="547" spans="1:7">
      <c r="A547">
        <v>3043</v>
      </c>
      <c r="B547" t="s">
        <v>807</v>
      </c>
      <c r="C547">
        <v>0</v>
      </c>
      <c r="D547">
        <v>111</v>
      </c>
      <c r="E547">
        <v>18.100000000000001</v>
      </c>
      <c r="F547">
        <v>3.12</v>
      </c>
      <c r="G547" t="s">
        <v>2074</v>
      </c>
    </row>
    <row r="548" spans="1:7">
      <c r="A548">
        <v>3044</v>
      </c>
      <c r="B548" t="s">
        <v>808</v>
      </c>
      <c r="C548">
        <v>3.82</v>
      </c>
      <c r="D548">
        <v>111</v>
      </c>
      <c r="E548">
        <v>17.36</v>
      </c>
      <c r="F548">
        <v>2.37</v>
      </c>
      <c r="G548" t="s">
        <v>2074</v>
      </c>
    </row>
    <row r="549" spans="1:7">
      <c r="A549">
        <v>3045</v>
      </c>
      <c r="B549" t="s">
        <v>809</v>
      </c>
      <c r="C549">
        <v>4.3600000000000003</v>
      </c>
      <c r="D549">
        <v>111</v>
      </c>
      <c r="E549">
        <v>24.9</v>
      </c>
      <c r="F549">
        <v>4.58</v>
      </c>
      <c r="G549" t="s">
        <v>2074</v>
      </c>
    </row>
    <row r="550" spans="1:7">
      <c r="A550">
        <v>3046</v>
      </c>
      <c r="B550" t="s">
        <v>810</v>
      </c>
      <c r="C550">
        <v>2.35</v>
      </c>
      <c r="D550">
        <v>111</v>
      </c>
      <c r="E550">
        <v>21.13</v>
      </c>
      <c r="F550">
        <v>3.68</v>
      </c>
      <c r="G550" t="s">
        <v>2074</v>
      </c>
    </row>
    <row r="551" spans="1:7">
      <c r="A551">
        <v>3047</v>
      </c>
      <c r="B551" t="s">
        <v>811</v>
      </c>
      <c r="C551">
        <v>6.11</v>
      </c>
      <c r="D551">
        <v>111</v>
      </c>
      <c r="E551">
        <v>84.47</v>
      </c>
      <c r="F551">
        <v>1.35</v>
      </c>
      <c r="G551" t="s">
        <v>2074</v>
      </c>
    </row>
    <row r="552" spans="1:7">
      <c r="A552">
        <v>3048</v>
      </c>
      <c r="B552" t="s">
        <v>812</v>
      </c>
      <c r="C552">
        <v>8.08</v>
      </c>
      <c r="D552">
        <v>111</v>
      </c>
      <c r="E552">
        <v>176.79</v>
      </c>
      <c r="F552">
        <v>1.27</v>
      </c>
      <c r="G552" t="s">
        <v>2074</v>
      </c>
    </row>
    <row r="553" spans="1:7">
      <c r="A553">
        <v>3049</v>
      </c>
      <c r="B553" t="s">
        <v>813</v>
      </c>
      <c r="C553">
        <v>0</v>
      </c>
      <c r="D553">
        <v>111</v>
      </c>
      <c r="E553" t="s">
        <v>271</v>
      </c>
      <c r="F553">
        <v>0.84</v>
      </c>
      <c r="G553" t="s">
        <v>2074</v>
      </c>
    </row>
    <row r="554" spans="1:7">
      <c r="A554">
        <v>3050</v>
      </c>
      <c r="B554" t="s">
        <v>814</v>
      </c>
      <c r="C554">
        <v>2.93</v>
      </c>
      <c r="D554">
        <v>111</v>
      </c>
      <c r="E554">
        <v>18.739999999999998</v>
      </c>
      <c r="F554">
        <v>1.04</v>
      </c>
      <c r="G554" t="s">
        <v>2074</v>
      </c>
    </row>
    <row r="555" spans="1:7">
      <c r="A555">
        <v>3051</v>
      </c>
      <c r="B555" t="s">
        <v>815</v>
      </c>
      <c r="C555">
        <v>3.31</v>
      </c>
      <c r="D555">
        <v>111</v>
      </c>
      <c r="E555">
        <v>62.59</v>
      </c>
      <c r="F555">
        <v>2.57</v>
      </c>
      <c r="G555" t="s">
        <v>2074</v>
      </c>
    </row>
    <row r="556" spans="1:7">
      <c r="A556">
        <v>3052</v>
      </c>
      <c r="B556" t="s">
        <v>816</v>
      </c>
      <c r="C556">
        <v>5.04</v>
      </c>
      <c r="D556">
        <v>111</v>
      </c>
      <c r="E556">
        <v>11.12</v>
      </c>
      <c r="F556">
        <v>0.74</v>
      </c>
      <c r="G556" t="s">
        <v>2074</v>
      </c>
    </row>
    <row r="557" spans="1:7">
      <c r="A557">
        <v>3054</v>
      </c>
      <c r="B557" t="s">
        <v>817</v>
      </c>
      <c r="C557">
        <v>0</v>
      </c>
      <c r="D557">
        <v>111</v>
      </c>
      <c r="E557" t="s">
        <v>271</v>
      </c>
      <c r="F557">
        <v>2.2000000000000002</v>
      </c>
      <c r="G557" t="s">
        <v>2074</v>
      </c>
    </row>
    <row r="558" spans="1:7">
      <c r="A558">
        <v>3055</v>
      </c>
      <c r="B558" t="s">
        <v>818</v>
      </c>
      <c r="C558">
        <v>2.5499999999999998</v>
      </c>
      <c r="D558">
        <v>111</v>
      </c>
      <c r="E558">
        <v>19.5</v>
      </c>
      <c r="F558">
        <v>1.78</v>
      </c>
      <c r="G558" t="s">
        <v>2074</v>
      </c>
    </row>
    <row r="559" spans="1:7">
      <c r="A559">
        <v>3056</v>
      </c>
      <c r="B559" t="s">
        <v>819</v>
      </c>
      <c r="C559">
        <v>27.8</v>
      </c>
      <c r="D559">
        <v>111</v>
      </c>
      <c r="E559">
        <v>8.7799999999999994</v>
      </c>
      <c r="F559">
        <v>1.45</v>
      </c>
      <c r="G559" t="s">
        <v>2074</v>
      </c>
    </row>
    <row r="560" spans="1:7">
      <c r="A560">
        <v>3057</v>
      </c>
      <c r="B560" t="s">
        <v>820</v>
      </c>
      <c r="C560">
        <v>0</v>
      </c>
      <c r="D560">
        <v>111</v>
      </c>
      <c r="E560" t="s">
        <v>271</v>
      </c>
      <c r="F560">
        <v>1.45</v>
      </c>
      <c r="G560" t="s">
        <v>2074</v>
      </c>
    </row>
    <row r="561" spans="1:7">
      <c r="A561">
        <v>3058</v>
      </c>
      <c r="B561" t="s">
        <v>821</v>
      </c>
      <c r="C561">
        <v>0</v>
      </c>
      <c r="D561">
        <v>111</v>
      </c>
      <c r="E561">
        <v>104.74</v>
      </c>
      <c r="F561">
        <v>2.08</v>
      </c>
      <c r="G561" t="s">
        <v>2074</v>
      </c>
    </row>
    <row r="562" spans="1:7">
      <c r="A562">
        <v>3059</v>
      </c>
      <c r="B562" t="s">
        <v>822</v>
      </c>
      <c r="C562">
        <v>2.68</v>
      </c>
      <c r="D562">
        <v>111</v>
      </c>
      <c r="E562">
        <v>27.26</v>
      </c>
      <c r="F562">
        <v>1.1499999999999999</v>
      </c>
      <c r="G562" t="s">
        <v>2074</v>
      </c>
    </row>
    <row r="563" spans="1:7">
      <c r="A563">
        <v>3060</v>
      </c>
      <c r="B563" t="s">
        <v>823</v>
      </c>
      <c r="C563">
        <v>1.38</v>
      </c>
      <c r="D563">
        <v>111</v>
      </c>
      <c r="E563" t="s">
        <v>271</v>
      </c>
      <c r="F563">
        <v>1.1399999999999999</v>
      </c>
      <c r="G563" t="s">
        <v>2074</v>
      </c>
    </row>
    <row r="564" spans="1:7">
      <c r="A564">
        <v>3062</v>
      </c>
      <c r="B564" t="s">
        <v>824</v>
      </c>
      <c r="C564">
        <v>0</v>
      </c>
      <c r="D564">
        <v>111</v>
      </c>
      <c r="E564" t="s">
        <v>271</v>
      </c>
      <c r="F564">
        <v>1.49</v>
      </c>
      <c r="G564" t="s">
        <v>2074</v>
      </c>
    </row>
    <row r="565" spans="1:7">
      <c r="A565">
        <v>3090</v>
      </c>
      <c r="B565" t="s">
        <v>825</v>
      </c>
      <c r="C565">
        <v>9.4700000000000006</v>
      </c>
      <c r="D565">
        <v>111</v>
      </c>
      <c r="E565">
        <v>16.739999999999998</v>
      </c>
      <c r="F565">
        <v>2.0099999999999998</v>
      </c>
      <c r="G565" t="s">
        <v>2074</v>
      </c>
    </row>
    <row r="566" spans="1:7">
      <c r="A566">
        <v>3092</v>
      </c>
      <c r="B566" t="s">
        <v>826</v>
      </c>
      <c r="C566">
        <v>2.2599999999999998</v>
      </c>
      <c r="D566">
        <v>111</v>
      </c>
      <c r="E566" t="s">
        <v>271</v>
      </c>
      <c r="F566">
        <v>1.67</v>
      </c>
      <c r="G566" t="s">
        <v>2074</v>
      </c>
    </row>
    <row r="567" spans="1:7">
      <c r="A567">
        <v>3094</v>
      </c>
      <c r="B567" t="s">
        <v>827</v>
      </c>
      <c r="C567">
        <v>2.4900000000000002</v>
      </c>
      <c r="D567">
        <v>111</v>
      </c>
      <c r="E567">
        <v>58.26</v>
      </c>
      <c r="F567">
        <v>3.22</v>
      </c>
      <c r="G567" t="s">
        <v>2074</v>
      </c>
    </row>
    <row r="568" spans="1:7">
      <c r="A568">
        <v>3130</v>
      </c>
      <c r="B568" t="s">
        <v>828</v>
      </c>
      <c r="C568">
        <v>6.33</v>
      </c>
      <c r="D568">
        <v>111</v>
      </c>
      <c r="E568">
        <v>15.94</v>
      </c>
      <c r="F568">
        <v>4.45</v>
      </c>
      <c r="G568" t="s">
        <v>2074</v>
      </c>
    </row>
    <row r="569" spans="1:7">
      <c r="A569">
        <v>3138</v>
      </c>
      <c r="B569" t="s">
        <v>829</v>
      </c>
      <c r="C569">
        <v>2.29</v>
      </c>
      <c r="D569">
        <v>111</v>
      </c>
      <c r="E569">
        <v>21.73</v>
      </c>
      <c r="F569">
        <v>4.37</v>
      </c>
      <c r="G569" t="s">
        <v>2074</v>
      </c>
    </row>
    <row r="570" spans="1:7">
      <c r="A570">
        <v>3149</v>
      </c>
      <c r="B570" t="s">
        <v>830</v>
      </c>
      <c r="C570">
        <v>0</v>
      </c>
      <c r="D570">
        <v>111</v>
      </c>
      <c r="E570" t="s">
        <v>271</v>
      </c>
      <c r="F570">
        <v>2.4700000000000002</v>
      </c>
      <c r="G570" t="s">
        <v>2074</v>
      </c>
    </row>
    <row r="571" spans="1:7">
      <c r="A571">
        <v>3164</v>
      </c>
      <c r="B571" t="s">
        <v>831</v>
      </c>
      <c r="C571">
        <v>2.83</v>
      </c>
      <c r="D571">
        <v>111</v>
      </c>
      <c r="E571">
        <v>44.11</v>
      </c>
      <c r="F571">
        <v>1.61</v>
      </c>
      <c r="G571" t="s">
        <v>2074</v>
      </c>
    </row>
    <row r="572" spans="1:7">
      <c r="A572">
        <v>3167</v>
      </c>
      <c r="B572" t="s">
        <v>832</v>
      </c>
      <c r="C572">
        <v>4.33</v>
      </c>
      <c r="D572">
        <v>111</v>
      </c>
      <c r="E572" t="s">
        <v>271</v>
      </c>
      <c r="F572">
        <v>2.06</v>
      </c>
      <c r="G572" t="s">
        <v>2074</v>
      </c>
    </row>
    <row r="573" spans="1:7">
      <c r="A573">
        <v>3189</v>
      </c>
      <c r="B573" t="s">
        <v>833</v>
      </c>
      <c r="C573">
        <v>6.5</v>
      </c>
      <c r="D573">
        <v>111</v>
      </c>
      <c r="E573">
        <v>51.66</v>
      </c>
      <c r="F573">
        <v>1.44</v>
      </c>
      <c r="G573" t="s">
        <v>2074</v>
      </c>
    </row>
    <row r="574" spans="1:7">
      <c r="A574">
        <v>3209</v>
      </c>
      <c r="B574" t="s">
        <v>834</v>
      </c>
      <c r="C574">
        <v>9.86</v>
      </c>
      <c r="D574">
        <v>111</v>
      </c>
      <c r="E574">
        <v>13.3</v>
      </c>
      <c r="F574">
        <v>1.76</v>
      </c>
      <c r="G574" t="s">
        <v>2074</v>
      </c>
    </row>
    <row r="575" spans="1:7">
      <c r="A575">
        <v>3229</v>
      </c>
      <c r="B575" t="s">
        <v>835</v>
      </c>
      <c r="C575">
        <v>0</v>
      </c>
      <c r="D575">
        <v>111</v>
      </c>
      <c r="E575" t="s">
        <v>271</v>
      </c>
      <c r="F575">
        <v>1.61</v>
      </c>
      <c r="G575" t="s">
        <v>2074</v>
      </c>
    </row>
    <row r="576" spans="1:7">
      <c r="A576">
        <v>3231</v>
      </c>
      <c r="B576" t="s">
        <v>836</v>
      </c>
      <c r="C576">
        <v>2.64</v>
      </c>
      <c r="D576">
        <v>111</v>
      </c>
      <c r="E576">
        <v>23.15</v>
      </c>
      <c r="F576">
        <v>2.69</v>
      </c>
      <c r="G576" t="s">
        <v>2074</v>
      </c>
    </row>
    <row r="577" spans="1:7">
      <c r="A577">
        <v>3257</v>
      </c>
      <c r="B577" t="s">
        <v>837</v>
      </c>
      <c r="C577">
        <v>1.36</v>
      </c>
      <c r="D577">
        <v>111</v>
      </c>
      <c r="E577">
        <v>29.92</v>
      </c>
      <c r="F577">
        <v>3.63</v>
      </c>
      <c r="G577" t="s">
        <v>2074</v>
      </c>
    </row>
    <row r="578" spans="1:7">
      <c r="A578">
        <v>3266</v>
      </c>
      <c r="B578" t="s">
        <v>838</v>
      </c>
      <c r="C578">
        <v>2.62</v>
      </c>
      <c r="D578">
        <v>111</v>
      </c>
      <c r="E578">
        <v>16.71</v>
      </c>
      <c r="F578">
        <v>1.19</v>
      </c>
      <c r="G578" t="s">
        <v>2074</v>
      </c>
    </row>
    <row r="579" spans="1:7">
      <c r="A579">
        <v>3296</v>
      </c>
      <c r="B579" t="s">
        <v>839</v>
      </c>
      <c r="C579">
        <v>0</v>
      </c>
      <c r="D579">
        <v>111</v>
      </c>
      <c r="E579" t="s">
        <v>271</v>
      </c>
      <c r="F579">
        <v>1.67</v>
      </c>
      <c r="G579" t="s">
        <v>2074</v>
      </c>
    </row>
    <row r="580" spans="1:7">
      <c r="A580">
        <v>3305</v>
      </c>
      <c r="B580" t="s">
        <v>840</v>
      </c>
      <c r="C580">
        <v>2.78</v>
      </c>
      <c r="D580">
        <v>111</v>
      </c>
      <c r="E580">
        <v>57.28</v>
      </c>
      <c r="F580">
        <v>1.98</v>
      </c>
      <c r="G580" t="s">
        <v>2074</v>
      </c>
    </row>
    <row r="581" spans="1:7">
      <c r="A581">
        <v>3308</v>
      </c>
      <c r="B581" t="s">
        <v>841</v>
      </c>
      <c r="C581">
        <v>0</v>
      </c>
      <c r="D581">
        <v>111</v>
      </c>
      <c r="E581">
        <v>5.01</v>
      </c>
      <c r="F581">
        <v>2.15</v>
      </c>
      <c r="G581" t="s">
        <v>2074</v>
      </c>
    </row>
    <row r="582" spans="1:7">
      <c r="A582">
        <v>3311</v>
      </c>
      <c r="B582" t="s">
        <v>842</v>
      </c>
      <c r="C582">
        <v>1.57</v>
      </c>
      <c r="D582">
        <v>111</v>
      </c>
      <c r="E582">
        <v>24.15</v>
      </c>
      <c r="F582">
        <v>0.98</v>
      </c>
      <c r="G582" t="s">
        <v>2074</v>
      </c>
    </row>
    <row r="583" spans="1:7">
      <c r="A583">
        <v>3312</v>
      </c>
      <c r="B583" t="s">
        <v>843</v>
      </c>
      <c r="C583">
        <v>9.15</v>
      </c>
      <c r="D583">
        <v>111</v>
      </c>
      <c r="E583">
        <v>9.58</v>
      </c>
      <c r="F583">
        <v>1.33</v>
      </c>
      <c r="G583" t="s">
        <v>2074</v>
      </c>
    </row>
    <row r="584" spans="1:7">
      <c r="A584">
        <v>3321</v>
      </c>
      <c r="B584" t="s">
        <v>844</v>
      </c>
      <c r="C584">
        <v>0</v>
      </c>
      <c r="D584">
        <v>111</v>
      </c>
      <c r="E584" t="s">
        <v>271</v>
      </c>
      <c r="F584">
        <v>2.2799999999999998</v>
      </c>
      <c r="G584" t="s">
        <v>2074</v>
      </c>
    </row>
    <row r="585" spans="1:7">
      <c r="A585">
        <v>3338</v>
      </c>
      <c r="B585" t="s">
        <v>845</v>
      </c>
      <c r="C585">
        <v>2.98</v>
      </c>
      <c r="D585">
        <v>111</v>
      </c>
      <c r="E585">
        <v>26.25</v>
      </c>
      <c r="F585">
        <v>3.17</v>
      </c>
      <c r="G585" t="s">
        <v>2074</v>
      </c>
    </row>
    <row r="586" spans="1:7">
      <c r="A586">
        <v>3346</v>
      </c>
      <c r="B586" t="s">
        <v>846</v>
      </c>
      <c r="C586">
        <v>0.53</v>
      </c>
      <c r="D586">
        <v>111</v>
      </c>
      <c r="E586">
        <v>19.52</v>
      </c>
      <c r="F586">
        <v>1.8</v>
      </c>
      <c r="G586" t="s">
        <v>2074</v>
      </c>
    </row>
    <row r="587" spans="1:7">
      <c r="A587">
        <v>3356</v>
      </c>
      <c r="B587" t="s">
        <v>847</v>
      </c>
      <c r="C587">
        <v>3.16</v>
      </c>
      <c r="D587">
        <v>111</v>
      </c>
      <c r="E587">
        <v>16.07</v>
      </c>
      <c r="F587">
        <v>2.02</v>
      </c>
      <c r="G587" t="s">
        <v>2074</v>
      </c>
    </row>
    <row r="588" spans="1:7">
      <c r="A588">
        <v>3376</v>
      </c>
      <c r="B588" t="s">
        <v>848</v>
      </c>
      <c r="C588">
        <v>4.8600000000000003</v>
      </c>
      <c r="D588">
        <v>111</v>
      </c>
      <c r="E588">
        <v>29.55</v>
      </c>
      <c r="F588">
        <v>1.5</v>
      </c>
      <c r="G588" t="s">
        <v>2074</v>
      </c>
    </row>
    <row r="589" spans="1:7">
      <c r="A589">
        <v>3380</v>
      </c>
      <c r="B589" t="s">
        <v>849</v>
      </c>
      <c r="C589">
        <v>4.4800000000000004</v>
      </c>
      <c r="D589">
        <v>111</v>
      </c>
      <c r="E589">
        <v>28.38</v>
      </c>
      <c r="F589">
        <v>2.02</v>
      </c>
      <c r="G589" t="s">
        <v>2074</v>
      </c>
    </row>
    <row r="590" spans="1:7">
      <c r="A590">
        <v>3406</v>
      </c>
      <c r="B590" t="s">
        <v>850</v>
      </c>
      <c r="C590">
        <v>2.85</v>
      </c>
      <c r="D590">
        <v>111</v>
      </c>
      <c r="E590">
        <v>17.16</v>
      </c>
      <c r="F590">
        <v>2.33</v>
      </c>
      <c r="G590" t="s">
        <v>2074</v>
      </c>
    </row>
    <row r="591" spans="1:7">
      <c r="A591">
        <v>3413</v>
      </c>
      <c r="B591" t="s">
        <v>851</v>
      </c>
      <c r="C591">
        <v>6.55</v>
      </c>
      <c r="D591">
        <v>111</v>
      </c>
      <c r="E591">
        <v>10.75</v>
      </c>
      <c r="F591">
        <v>1.84</v>
      </c>
      <c r="G591" t="s">
        <v>2074</v>
      </c>
    </row>
    <row r="592" spans="1:7">
      <c r="A592">
        <v>3416</v>
      </c>
      <c r="B592" t="s">
        <v>852</v>
      </c>
      <c r="C592">
        <v>3.89</v>
      </c>
      <c r="D592">
        <v>111</v>
      </c>
      <c r="E592">
        <v>17.809999999999999</v>
      </c>
      <c r="F592">
        <v>3.14</v>
      </c>
      <c r="G592" t="s">
        <v>2074</v>
      </c>
    </row>
    <row r="593" spans="1:7">
      <c r="A593">
        <v>3419</v>
      </c>
      <c r="B593" t="s">
        <v>853</v>
      </c>
      <c r="C593">
        <v>1.1000000000000001</v>
      </c>
      <c r="D593">
        <v>111</v>
      </c>
      <c r="E593" t="s">
        <v>271</v>
      </c>
      <c r="F593">
        <v>1.55</v>
      </c>
      <c r="G593" t="s">
        <v>2074</v>
      </c>
    </row>
    <row r="594" spans="1:7">
      <c r="A594">
        <v>3432</v>
      </c>
      <c r="B594" t="s">
        <v>854</v>
      </c>
      <c r="C594">
        <v>0</v>
      </c>
      <c r="D594">
        <v>111</v>
      </c>
      <c r="E594" t="s">
        <v>271</v>
      </c>
      <c r="F594">
        <v>1.63</v>
      </c>
      <c r="G594" t="s">
        <v>2074</v>
      </c>
    </row>
    <row r="595" spans="1:7">
      <c r="A595">
        <v>3437</v>
      </c>
      <c r="B595" t="s">
        <v>855</v>
      </c>
      <c r="C595">
        <v>0</v>
      </c>
      <c r="D595">
        <v>111</v>
      </c>
      <c r="E595" t="s">
        <v>271</v>
      </c>
      <c r="F595">
        <v>1.72</v>
      </c>
      <c r="G595" t="s">
        <v>2074</v>
      </c>
    </row>
    <row r="596" spans="1:7">
      <c r="A596">
        <v>3443</v>
      </c>
      <c r="B596" t="s">
        <v>856</v>
      </c>
      <c r="C596">
        <v>0.8</v>
      </c>
      <c r="D596">
        <v>111</v>
      </c>
      <c r="E596">
        <v>56.29</v>
      </c>
      <c r="F596">
        <v>25.95</v>
      </c>
      <c r="G596" t="s">
        <v>2074</v>
      </c>
    </row>
    <row r="597" spans="1:7">
      <c r="A597">
        <v>3447</v>
      </c>
      <c r="B597" t="s">
        <v>857</v>
      </c>
      <c r="C597" s="47">
        <v>6.11</v>
      </c>
      <c r="D597">
        <v>111</v>
      </c>
      <c r="E597">
        <v>21.76</v>
      </c>
      <c r="F597">
        <v>2.4</v>
      </c>
      <c r="G597" t="s">
        <v>2074</v>
      </c>
    </row>
    <row r="598" spans="1:7">
      <c r="A598">
        <v>3450</v>
      </c>
      <c r="B598" t="s">
        <v>858</v>
      </c>
      <c r="C598">
        <v>0.8</v>
      </c>
      <c r="D598">
        <v>111</v>
      </c>
      <c r="E598" t="s">
        <v>271</v>
      </c>
      <c r="F598">
        <v>2.36</v>
      </c>
      <c r="G598" t="s">
        <v>2074</v>
      </c>
    </row>
    <row r="599" spans="1:7">
      <c r="A599">
        <v>3454</v>
      </c>
      <c r="B599" t="s">
        <v>859</v>
      </c>
      <c r="C599">
        <v>3.37</v>
      </c>
      <c r="D599">
        <v>111</v>
      </c>
      <c r="E599">
        <v>21.76</v>
      </c>
      <c r="F599">
        <v>4.05</v>
      </c>
      <c r="G599" t="s">
        <v>2074</v>
      </c>
    </row>
    <row r="600" spans="1:7">
      <c r="A600">
        <v>3481</v>
      </c>
      <c r="B600" t="s">
        <v>860</v>
      </c>
      <c r="C600">
        <v>0</v>
      </c>
      <c r="D600">
        <v>111</v>
      </c>
      <c r="E600" t="s">
        <v>271</v>
      </c>
      <c r="F600">
        <v>0.55000000000000004</v>
      </c>
      <c r="G600" t="s">
        <v>2074</v>
      </c>
    </row>
    <row r="601" spans="1:7">
      <c r="A601">
        <v>3494</v>
      </c>
      <c r="B601" t="s">
        <v>861</v>
      </c>
      <c r="C601">
        <v>0</v>
      </c>
      <c r="D601">
        <v>111</v>
      </c>
      <c r="E601" t="s">
        <v>271</v>
      </c>
      <c r="F601">
        <v>1.64</v>
      </c>
      <c r="G601" t="s">
        <v>2074</v>
      </c>
    </row>
    <row r="602" spans="1:7">
      <c r="A602">
        <v>3501</v>
      </c>
      <c r="B602" t="s">
        <v>862</v>
      </c>
      <c r="C602">
        <v>7.74</v>
      </c>
      <c r="D602">
        <v>111</v>
      </c>
      <c r="E602">
        <v>11.51</v>
      </c>
      <c r="F602">
        <v>0.93</v>
      </c>
      <c r="G602" t="s">
        <v>2074</v>
      </c>
    </row>
    <row r="603" spans="1:7">
      <c r="A603">
        <v>3504</v>
      </c>
      <c r="B603" t="s">
        <v>863</v>
      </c>
      <c r="C603">
        <v>0</v>
      </c>
      <c r="D603">
        <v>111</v>
      </c>
      <c r="E603" t="s">
        <v>271</v>
      </c>
      <c r="F603">
        <v>2.4700000000000002</v>
      </c>
      <c r="G603" t="s">
        <v>2074</v>
      </c>
    </row>
    <row r="604" spans="1:7">
      <c r="A604">
        <v>3515</v>
      </c>
      <c r="B604" t="s">
        <v>864</v>
      </c>
      <c r="C604">
        <v>3.11</v>
      </c>
      <c r="D604">
        <v>111</v>
      </c>
      <c r="E604">
        <v>50.79</v>
      </c>
      <c r="F604">
        <v>3.9</v>
      </c>
      <c r="G604" t="s">
        <v>2074</v>
      </c>
    </row>
    <row r="605" spans="1:7">
      <c r="A605">
        <v>3518</v>
      </c>
      <c r="B605" t="s">
        <v>865</v>
      </c>
      <c r="C605">
        <v>1.39</v>
      </c>
      <c r="D605">
        <v>111</v>
      </c>
      <c r="E605">
        <v>72</v>
      </c>
      <c r="F605">
        <v>2.36</v>
      </c>
      <c r="G605" t="s">
        <v>2074</v>
      </c>
    </row>
    <row r="606" spans="1:7">
      <c r="A606">
        <v>3528</v>
      </c>
      <c r="B606" t="s">
        <v>866</v>
      </c>
      <c r="C606">
        <v>7.66</v>
      </c>
      <c r="D606">
        <v>111</v>
      </c>
      <c r="E606">
        <v>19.11</v>
      </c>
      <c r="F606">
        <v>2.0099999999999998</v>
      </c>
      <c r="G606" t="s">
        <v>2074</v>
      </c>
    </row>
    <row r="607" spans="1:7">
      <c r="A607">
        <v>3530</v>
      </c>
      <c r="B607" t="s">
        <v>867</v>
      </c>
      <c r="C607">
        <v>0</v>
      </c>
      <c r="D607">
        <v>111</v>
      </c>
      <c r="E607" t="s">
        <v>271</v>
      </c>
      <c r="F607">
        <v>3.23</v>
      </c>
      <c r="G607" t="s">
        <v>2074</v>
      </c>
    </row>
    <row r="608" spans="1:7">
      <c r="A608">
        <v>3532</v>
      </c>
      <c r="B608" t="s">
        <v>868</v>
      </c>
      <c r="C608">
        <v>4.33</v>
      </c>
      <c r="D608">
        <v>111</v>
      </c>
      <c r="E608">
        <v>17.12</v>
      </c>
      <c r="F608">
        <v>2.64</v>
      </c>
      <c r="G608" t="s">
        <v>2074</v>
      </c>
    </row>
    <row r="609" spans="1:7">
      <c r="A609">
        <v>3533</v>
      </c>
      <c r="B609" t="s">
        <v>869</v>
      </c>
      <c r="C609">
        <v>2.35</v>
      </c>
      <c r="D609">
        <v>111</v>
      </c>
      <c r="E609">
        <v>20.59</v>
      </c>
      <c r="F609">
        <v>4.42</v>
      </c>
      <c r="G609" t="s">
        <v>2074</v>
      </c>
    </row>
    <row r="610" spans="1:7">
      <c r="A610">
        <v>3535</v>
      </c>
      <c r="B610" t="s">
        <v>870</v>
      </c>
      <c r="C610">
        <v>5.41</v>
      </c>
      <c r="D610">
        <v>111</v>
      </c>
      <c r="E610">
        <v>59.68</v>
      </c>
      <c r="F610">
        <v>1.27</v>
      </c>
      <c r="G610" t="s">
        <v>2074</v>
      </c>
    </row>
    <row r="611" spans="1:7">
      <c r="A611">
        <v>3543</v>
      </c>
      <c r="B611" t="s">
        <v>872</v>
      </c>
      <c r="C611">
        <v>4.18</v>
      </c>
      <c r="D611">
        <v>111</v>
      </c>
      <c r="E611">
        <v>34.64</v>
      </c>
      <c r="F611">
        <v>0.75</v>
      </c>
      <c r="G611" t="s">
        <v>2074</v>
      </c>
    </row>
    <row r="612" spans="1:7">
      <c r="A612">
        <v>3545</v>
      </c>
      <c r="B612" t="s">
        <v>873</v>
      </c>
      <c r="C612" s="47">
        <v>0.44</v>
      </c>
      <c r="D612">
        <v>111</v>
      </c>
      <c r="E612">
        <v>77.05</v>
      </c>
      <c r="F612">
        <v>2.59</v>
      </c>
      <c r="G612" t="s">
        <v>2074</v>
      </c>
    </row>
    <row r="613" spans="1:7">
      <c r="A613">
        <v>3550</v>
      </c>
      <c r="B613" t="s">
        <v>874</v>
      </c>
      <c r="C613">
        <v>3.36</v>
      </c>
      <c r="D613">
        <v>111</v>
      </c>
      <c r="E613" t="s">
        <v>271</v>
      </c>
      <c r="F613">
        <v>0.72</v>
      </c>
      <c r="G613" t="s">
        <v>2074</v>
      </c>
    </row>
    <row r="614" spans="1:7">
      <c r="A614">
        <v>3557</v>
      </c>
      <c r="B614" t="s">
        <v>875</v>
      </c>
      <c r="C614">
        <v>13.31</v>
      </c>
      <c r="D614">
        <v>111</v>
      </c>
      <c r="E614">
        <v>10.83</v>
      </c>
      <c r="F614">
        <v>2.0699999999999998</v>
      </c>
      <c r="G614" t="s">
        <v>2074</v>
      </c>
    </row>
    <row r="615" spans="1:7">
      <c r="A615">
        <v>3563</v>
      </c>
      <c r="B615" t="s">
        <v>876</v>
      </c>
      <c r="C615">
        <v>4.58</v>
      </c>
      <c r="D615">
        <v>111</v>
      </c>
      <c r="E615">
        <v>22.76</v>
      </c>
      <c r="F615">
        <v>2.46</v>
      </c>
      <c r="G615" t="s">
        <v>2074</v>
      </c>
    </row>
    <row r="616" spans="1:7">
      <c r="A616">
        <v>3576</v>
      </c>
      <c r="B616" t="s">
        <v>877</v>
      </c>
      <c r="C616">
        <v>0.68</v>
      </c>
      <c r="D616">
        <v>111</v>
      </c>
      <c r="E616" s="47" t="s">
        <v>271</v>
      </c>
      <c r="F616">
        <v>1.61</v>
      </c>
      <c r="G616" t="s">
        <v>2074</v>
      </c>
    </row>
    <row r="617" spans="1:7">
      <c r="A617">
        <v>3583</v>
      </c>
      <c r="B617" t="s">
        <v>878</v>
      </c>
      <c r="C617">
        <v>1.68</v>
      </c>
      <c r="D617">
        <v>111</v>
      </c>
      <c r="E617">
        <v>28.12</v>
      </c>
      <c r="F617">
        <v>4.47</v>
      </c>
      <c r="G617" t="s">
        <v>2074</v>
      </c>
    </row>
    <row r="618" spans="1:7">
      <c r="A618">
        <v>3588</v>
      </c>
      <c r="B618" t="s">
        <v>879</v>
      </c>
      <c r="C618">
        <v>1.47</v>
      </c>
      <c r="D618">
        <v>111</v>
      </c>
      <c r="E618" t="s">
        <v>271</v>
      </c>
      <c r="F618">
        <v>3</v>
      </c>
      <c r="G618" t="s">
        <v>2074</v>
      </c>
    </row>
    <row r="619" spans="1:7">
      <c r="A619">
        <v>3591</v>
      </c>
      <c r="B619" t="s">
        <v>880</v>
      </c>
      <c r="C619">
        <v>1.19</v>
      </c>
      <c r="D619">
        <v>111</v>
      </c>
      <c r="E619">
        <v>244</v>
      </c>
      <c r="F619">
        <v>1.2</v>
      </c>
      <c r="G619" t="s">
        <v>2074</v>
      </c>
    </row>
    <row r="620" spans="1:7">
      <c r="A620">
        <v>3592</v>
      </c>
      <c r="B620" t="s">
        <v>881</v>
      </c>
      <c r="C620">
        <v>10.24</v>
      </c>
      <c r="D620">
        <v>111</v>
      </c>
      <c r="E620">
        <v>21.33</v>
      </c>
      <c r="F620">
        <v>2.82</v>
      </c>
      <c r="G620" t="s">
        <v>2074</v>
      </c>
    </row>
    <row r="621" spans="1:7">
      <c r="A621">
        <v>3593</v>
      </c>
      <c r="B621" t="s">
        <v>882</v>
      </c>
      <c r="C621">
        <v>0</v>
      </c>
      <c r="D621">
        <v>111</v>
      </c>
      <c r="E621" t="s">
        <v>271</v>
      </c>
      <c r="F621">
        <v>2.13</v>
      </c>
      <c r="G621" t="s">
        <v>2074</v>
      </c>
    </row>
    <row r="622" spans="1:7">
      <c r="A622">
        <v>3596</v>
      </c>
      <c r="B622" t="s">
        <v>883</v>
      </c>
      <c r="C622">
        <v>3.81</v>
      </c>
      <c r="D622">
        <v>111</v>
      </c>
      <c r="E622">
        <v>15.76</v>
      </c>
      <c r="F622">
        <v>2.63</v>
      </c>
      <c r="G622" t="s">
        <v>2074</v>
      </c>
    </row>
    <row r="623" spans="1:7">
      <c r="A623">
        <v>3605</v>
      </c>
      <c r="B623" t="s">
        <v>884</v>
      </c>
      <c r="C623">
        <v>1.71</v>
      </c>
      <c r="D623">
        <v>111</v>
      </c>
      <c r="E623" t="s">
        <v>271</v>
      </c>
      <c r="F623">
        <v>0.79</v>
      </c>
      <c r="G623" t="s">
        <v>2074</v>
      </c>
    </row>
    <row r="624" spans="1:7">
      <c r="A624">
        <v>3607</v>
      </c>
      <c r="B624" t="s">
        <v>885</v>
      </c>
      <c r="C624">
        <v>5.97</v>
      </c>
      <c r="D624">
        <v>111</v>
      </c>
      <c r="E624" t="s">
        <v>271</v>
      </c>
      <c r="F624">
        <v>1.0900000000000001</v>
      </c>
      <c r="G624" t="s">
        <v>2074</v>
      </c>
    </row>
    <row r="625" spans="1:7">
      <c r="A625">
        <v>3617</v>
      </c>
      <c r="B625" t="s">
        <v>886</v>
      </c>
      <c r="C625">
        <v>2.71</v>
      </c>
      <c r="D625">
        <v>111</v>
      </c>
      <c r="E625">
        <v>13.08</v>
      </c>
      <c r="F625">
        <v>2.5499999999999998</v>
      </c>
      <c r="G625" t="s">
        <v>2074</v>
      </c>
    </row>
    <row r="626" spans="1:7">
      <c r="A626">
        <v>3622</v>
      </c>
      <c r="B626" t="s">
        <v>887</v>
      </c>
      <c r="C626">
        <v>3.48</v>
      </c>
      <c r="D626">
        <v>111</v>
      </c>
      <c r="E626">
        <v>14.32</v>
      </c>
      <c r="F626">
        <v>1.04</v>
      </c>
      <c r="G626" t="s">
        <v>2074</v>
      </c>
    </row>
    <row r="627" spans="1:7">
      <c r="A627">
        <v>3645</v>
      </c>
      <c r="B627" t="s">
        <v>888</v>
      </c>
      <c r="C627">
        <v>1.36</v>
      </c>
      <c r="D627">
        <v>111</v>
      </c>
      <c r="E627" t="s">
        <v>271</v>
      </c>
      <c r="F627">
        <v>2.02</v>
      </c>
      <c r="G627" t="s">
        <v>2074</v>
      </c>
    </row>
    <row r="628" spans="1:7">
      <c r="A628">
        <v>3652</v>
      </c>
      <c r="B628" t="s">
        <v>889</v>
      </c>
      <c r="C628">
        <v>2.23</v>
      </c>
      <c r="D628">
        <v>111</v>
      </c>
      <c r="E628">
        <v>44.85</v>
      </c>
      <c r="F628">
        <v>1.24</v>
      </c>
      <c r="G628" t="s">
        <v>2074</v>
      </c>
    </row>
    <row r="629" spans="1:7">
      <c r="A629">
        <v>3653</v>
      </c>
      <c r="B629" t="s">
        <v>890</v>
      </c>
      <c r="C629">
        <v>1.52</v>
      </c>
      <c r="D629">
        <v>111</v>
      </c>
      <c r="E629">
        <v>43.06</v>
      </c>
      <c r="F629">
        <v>9.83</v>
      </c>
      <c r="G629" t="s">
        <v>2074</v>
      </c>
    </row>
    <row r="630" spans="1:7">
      <c r="A630">
        <v>3661</v>
      </c>
      <c r="B630" t="s">
        <v>891</v>
      </c>
      <c r="C630" s="47">
        <v>0.4</v>
      </c>
      <c r="D630">
        <v>111</v>
      </c>
      <c r="E630">
        <v>89.21</v>
      </c>
      <c r="F630">
        <v>13.84</v>
      </c>
      <c r="G630" t="s">
        <v>2074</v>
      </c>
    </row>
    <row r="631" spans="1:7">
      <c r="A631">
        <v>3665</v>
      </c>
      <c r="B631" t="s">
        <v>892</v>
      </c>
      <c r="C631">
        <v>3.74</v>
      </c>
      <c r="D631">
        <v>111</v>
      </c>
      <c r="E631">
        <v>15.96</v>
      </c>
      <c r="F631">
        <v>1.8</v>
      </c>
      <c r="G631" t="s">
        <v>2074</v>
      </c>
    </row>
    <row r="632" spans="1:7">
      <c r="A632">
        <v>3669</v>
      </c>
      <c r="B632" t="s">
        <v>893</v>
      </c>
      <c r="C632">
        <v>3</v>
      </c>
      <c r="D632">
        <v>111</v>
      </c>
      <c r="E632">
        <v>19.309999999999999</v>
      </c>
      <c r="F632">
        <v>1.47</v>
      </c>
      <c r="G632" t="s">
        <v>2074</v>
      </c>
    </row>
    <row r="633" spans="1:7">
      <c r="A633">
        <v>3673</v>
      </c>
      <c r="B633" t="s">
        <v>894</v>
      </c>
      <c r="C633">
        <v>1.38</v>
      </c>
      <c r="D633">
        <v>111</v>
      </c>
      <c r="E633">
        <v>64.64</v>
      </c>
      <c r="F633">
        <v>0.38</v>
      </c>
      <c r="G633" t="s">
        <v>2074</v>
      </c>
    </row>
    <row r="634" spans="1:7">
      <c r="A634">
        <v>3679</v>
      </c>
      <c r="B634" t="s">
        <v>895</v>
      </c>
      <c r="C634">
        <v>9.6199999999999992</v>
      </c>
      <c r="D634">
        <v>111</v>
      </c>
      <c r="E634">
        <v>13.07</v>
      </c>
      <c r="F634">
        <v>1.45</v>
      </c>
      <c r="G634" t="s">
        <v>2074</v>
      </c>
    </row>
    <row r="635" spans="1:7">
      <c r="A635">
        <v>3686</v>
      </c>
      <c r="B635" t="s">
        <v>897</v>
      </c>
      <c r="C635">
        <v>0</v>
      </c>
      <c r="D635">
        <v>111</v>
      </c>
      <c r="E635" t="s">
        <v>271</v>
      </c>
      <c r="F635">
        <v>1.46</v>
      </c>
      <c r="G635" t="s">
        <v>2074</v>
      </c>
    </row>
    <row r="636" spans="1:7">
      <c r="A636">
        <v>3694</v>
      </c>
      <c r="B636" t="s">
        <v>898</v>
      </c>
      <c r="C636">
        <v>0</v>
      </c>
      <c r="D636">
        <v>111</v>
      </c>
      <c r="E636">
        <v>20.56</v>
      </c>
      <c r="F636">
        <v>2.4300000000000002</v>
      </c>
      <c r="G636" t="s">
        <v>2074</v>
      </c>
    </row>
    <row r="637" spans="1:7">
      <c r="A637">
        <v>3701</v>
      </c>
      <c r="B637" t="s">
        <v>899</v>
      </c>
      <c r="C637">
        <v>0.83</v>
      </c>
      <c r="D637">
        <v>111</v>
      </c>
      <c r="E637">
        <v>28.41</v>
      </c>
      <c r="F637">
        <v>3.27</v>
      </c>
      <c r="G637" t="s">
        <v>2074</v>
      </c>
    </row>
    <row r="638" spans="1:7">
      <c r="A638">
        <v>3702</v>
      </c>
      <c r="B638" t="s">
        <v>900</v>
      </c>
      <c r="C638">
        <v>4.72</v>
      </c>
      <c r="D638">
        <v>111</v>
      </c>
      <c r="E638">
        <v>25.5</v>
      </c>
      <c r="F638">
        <v>1.81</v>
      </c>
      <c r="G638" t="s">
        <v>2074</v>
      </c>
    </row>
    <row r="639" spans="1:7">
      <c r="A639">
        <v>3703</v>
      </c>
      <c r="B639" t="s">
        <v>901</v>
      </c>
      <c r="C639">
        <v>8.8699999999999992</v>
      </c>
      <c r="D639">
        <v>111</v>
      </c>
      <c r="E639">
        <v>15.41</v>
      </c>
      <c r="F639">
        <v>0.88</v>
      </c>
      <c r="G639" t="s">
        <v>2074</v>
      </c>
    </row>
    <row r="640" spans="1:7">
      <c r="A640">
        <v>3704</v>
      </c>
      <c r="B640" t="s">
        <v>902</v>
      </c>
      <c r="C640">
        <v>2.44</v>
      </c>
      <c r="D640">
        <v>111</v>
      </c>
      <c r="E640">
        <v>13.4</v>
      </c>
      <c r="F640">
        <v>1.92</v>
      </c>
      <c r="G640" t="s">
        <v>2074</v>
      </c>
    </row>
    <row r="641" spans="1:7">
      <c r="A641">
        <v>3705</v>
      </c>
      <c r="B641" t="s">
        <v>903</v>
      </c>
      <c r="C641">
        <v>4.95</v>
      </c>
      <c r="D641">
        <v>111</v>
      </c>
      <c r="E641">
        <v>17.61</v>
      </c>
      <c r="F641">
        <v>1.73</v>
      </c>
      <c r="G641" t="s">
        <v>2074</v>
      </c>
    </row>
    <row r="642" spans="1:7">
      <c r="A642">
        <v>3706</v>
      </c>
      <c r="B642" t="s">
        <v>904</v>
      </c>
      <c r="C642">
        <v>2.92</v>
      </c>
      <c r="D642">
        <v>111</v>
      </c>
      <c r="E642">
        <v>46.89</v>
      </c>
      <c r="F642">
        <v>0.92</v>
      </c>
      <c r="G642" t="s">
        <v>2074</v>
      </c>
    </row>
    <row r="643" spans="1:7">
      <c r="A643">
        <v>3708</v>
      </c>
      <c r="B643" t="s">
        <v>905</v>
      </c>
      <c r="C643">
        <v>5.09</v>
      </c>
      <c r="D643">
        <v>111</v>
      </c>
      <c r="E643">
        <v>6.98</v>
      </c>
      <c r="F643">
        <v>1.28</v>
      </c>
      <c r="G643" t="s">
        <v>2074</v>
      </c>
    </row>
    <row r="644" spans="1:7">
      <c r="A644">
        <v>3711</v>
      </c>
      <c r="B644" t="s">
        <v>906</v>
      </c>
      <c r="C644">
        <v>6.51</v>
      </c>
      <c r="D644">
        <v>111</v>
      </c>
      <c r="E644">
        <v>15.27</v>
      </c>
      <c r="F644">
        <v>1.97</v>
      </c>
      <c r="G644" t="s">
        <v>2074</v>
      </c>
    </row>
    <row r="645" spans="1:7">
      <c r="A645">
        <v>3712</v>
      </c>
      <c r="B645" t="s">
        <v>907</v>
      </c>
      <c r="C645">
        <v>5.19</v>
      </c>
      <c r="D645">
        <v>111</v>
      </c>
      <c r="E645">
        <v>25.03</v>
      </c>
      <c r="F645">
        <v>1.21</v>
      </c>
      <c r="G645" t="s">
        <v>2074</v>
      </c>
    </row>
    <row r="646" spans="1:7">
      <c r="A646">
        <v>3714</v>
      </c>
      <c r="B646" t="s">
        <v>908</v>
      </c>
      <c r="C646">
        <v>0</v>
      </c>
      <c r="D646">
        <v>111</v>
      </c>
      <c r="E646" t="s">
        <v>271</v>
      </c>
      <c r="F646">
        <v>0.67</v>
      </c>
      <c r="G646" t="s">
        <v>2074</v>
      </c>
    </row>
    <row r="647" spans="1:7">
      <c r="A647">
        <v>3715</v>
      </c>
      <c r="B647" t="s">
        <v>909</v>
      </c>
      <c r="C647">
        <v>0.92</v>
      </c>
      <c r="D647">
        <v>111</v>
      </c>
      <c r="E647">
        <v>28.64</v>
      </c>
      <c r="F647">
        <v>3.6</v>
      </c>
      <c r="G647" t="s">
        <v>2074</v>
      </c>
    </row>
    <row r="648" spans="1:7">
      <c r="A648">
        <v>4104</v>
      </c>
      <c r="B648" t="s">
        <v>910</v>
      </c>
      <c r="C648">
        <v>4.6900000000000004</v>
      </c>
      <c r="D648">
        <v>111</v>
      </c>
      <c r="E648">
        <v>19.22</v>
      </c>
      <c r="F648">
        <v>1.61</v>
      </c>
      <c r="G648" t="s">
        <v>2074</v>
      </c>
    </row>
    <row r="649" spans="1:7">
      <c r="A649">
        <v>4106</v>
      </c>
      <c r="B649" t="s">
        <v>911</v>
      </c>
      <c r="C649">
        <v>2.94</v>
      </c>
      <c r="D649">
        <v>111</v>
      </c>
      <c r="E649">
        <v>20.07</v>
      </c>
      <c r="F649">
        <v>1.26</v>
      </c>
      <c r="G649" t="s">
        <v>2074</v>
      </c>
    </row>
    <row r="650" spans="1:7">
      <c r="A650">
        <v>4108</v>
      </c>
      <c r="B650" t="s">
        <v>912</v>
      </c>
      <c r="C650">
        <v>0</v>
      </c>
      <c r="D650">
        <v>111</v>
      </c>
      <c r="E650" t="s">
        <v>271</v>
      </c>
      <c r="F650">
        <v>2.2400000000000002</v>
      </c>
      <c r="G650" t="s">
        <v>2074</v>
      </c>
    </row>
    <row r="651" spans="1:7">
      <c r="A651">
        <v>4119</v>
      </c>
      <c r="B651" t="s">
        <v>913</v>
      </c>
      <c r="C651">
        <v>1.55</v>
      </c>
      <c r="D651">
        <v>111</v>
      </c>
      <c r="E651">
        <v>27.58</v>
      </c>
      <c r="F651">
        <v>2.52</v>
      </c>
      <c r="G651" t="s">
        <v>2074</v>
      </c>
    </row>
    <row r="652" spans="1:7">
      <c r="A652">
        <v>4133</v>
      </c>
      <c r="B652" t="s">
        <v>914</v>
      </c>
      <c r="C652">
        <v>2.2799999999999998</v>
      </c>
      <c r="D652">
        <v>111</v>
      </c>
      <c r="E652">
        <v>47.43</v>
      </c>
      <c r="F652">
        <v>1.66</v>
      </c>
      <c r="G652" t="s">
        <v>2074</v>
      </c>
    </row>
    <row r="653" spans="1:7">
      <c r="A653">
        <v>4137</v>
      </c>
      <c r="B653" t="s">
        <v>915</v>
      </c>
      <c r="C653">
        <v>3.58</v>
      </c>
      <c r="D653">
        <v>111</v>
      </c>
      <c r="E653">
        <v>16.579999999999998</v>
      </c>
      <c r="F653">
        <v>3.06</v>
      </c>
      <c r="G653" t="s">
        <v>2074</v>
      </c>
    </row>
    <row r="654" spans="1:7">
      <c r="A654">
        <v>4142</v>
      </c>
      <c r="B654" t="s">
        <v>916</v>
      </c>
      <c r="C654">
        <v>0</v>
      </c>
      <c r="D654">
        <v>111</v>
      </c>
      <c r="E654" t="s">
        <v>271</v>
      </c>
      <c r="F654">
        <v>2.37</v>
      </c>
      <c r="G654" t="s">
        <v>2074</v>
      </c>
    </row>
    <row r="655" spans="1:7">
      <c r="A655">
        <v>4148</v>
      </c>
      <c r="B655" t="s">
        <v>917</v>
      </c>
      <c r="C655">
        <v>5.07</v>
      </c>
      <c r="D655">
        <v>111</v>
      </c>
      <c r="E655">
        <v>16.23</v>
      </c>
      <c r="F655">
        <v>1.37</v>
      </c>
      <c r="G655" t="s">
        <v>2074</v>
      </c>
    </row>
    <row r="656" spans="1:7">
      <c r="A656">
        <v>4155</v>
      </c>
      <c r="B656" t="s">
        <v>918</v>
      </c>
      <c r="C656">
        <v>8.9600000000000009</v>
      </c>
      <c r="D656">
        <v>111</v>
      </c>
      <c r="E656">
        <v>125.5</v>
      </c>
      <c r="F656">
        <v>1.47</v>
      </c>
      <c r="G656" t="s">
        <v>2074</v>
      </c>
    </row>
    <row r="657" spans="1:7">
      <c r="A657">
        <v>4164</v>
      </c>
      <c r="B657" t="s">
        <v>919</v>
      </c>
      <c r="C657">
        <v>3.22</v>
      </c>
      <c r="D657">
        <v>111</v>
      </c>
      <c r="E657">
        <v>33.57</v>
      </c>
      <c r="F657">
        <v>1.62</v>
      </c>
      <c r="G657" t="s">
        <v>2074</v>
      </c>
    </row>
    <row r="658" spans="1:7">
      <c r="A658">
        <v>4190</v>
      </c>
      <c r="B658" t="s">
        <v>920</v>
      </c>
      <c r="C658">
        <v>1.72</v>
      </c>
      <c r="D658">
        <v>111</v>
      </c>
      <c r="E658" t="s">
        <v>271</v>
      </c>
      <c r="F658">
        <v>1.64</v>
      </c>
      <c r="G658" t="s">
        <v>2074</v>
      </c>
    </row>
    <row r="659" spans="1:7">
      <c r="A659">
        <v>4306</v>
      </c>
      <c r="B659" t="s">
        <v>921</v>
      </c>
      <c r="C659">
        <v>5.54</v>
      </c>
      <c r="D659">
        <v>111</v>
      </c>
      <c r="E659">
        <v>13.31</v>
      </c>
      <c r="F659">
        <v>0.94</v>
      </c>
      <c r="G659" t="s">
        <v>2074</v>
      </c>
    </row>
    <row r="660" spans="1:7">
      <c r="A660">
        <v>4414</v>
      </c>
      <c r="B660" t="s">
        <v>2053</v>
      </c>
      <c r="C660">
        <v>0</v>
      </c>
      <c r="D660">
        <v>111</v>
      </c>
      <c r="E660" t="s">
        <v>271</v>
      </c>
      <c r="F660">
        <v>0.81</v>
      </c>
      <c r="G660" t="s">
        <v>2074</v>
      </c>
    </row>
    <row r="661" spans="1:7">
      <c r="A661">
        <v>4426</v>
      </c>
      <c r="B661" t="s">
        <v>922</v>
      </c>
      <c r="C661">
        <v>0</v>
      </c>
      <c r="D661">
        <v>111</v>
      </c>
      <c r="E661">
        <v>94.57</v>
      </c>
      <c r="F661">
        <v>1.37</v>
      </c>
      <c r="G661" t="s">
        <v>2074</v>
      </c>
    </row>
    <row r="662" spans="1:7">
      <c r="A662">
        <v>4438</v>
      </c>
      <c r="B662" t="s">
        <v>923</v>
      </c>
      <c r="C662">
        <v>6.04</v>
      </c>
      <c r="D662">
        <v>111</v>
      </c>
      <c r="E662">
        <v>15.16</v>
      </c>
      <c r="F662">
        <v>1.41</v>
      </c>
      <c r="G662" t="s">
        <v>2074</v>
      </c>
    </row>
    <row r="663" spans="1:7">
      <c r="A663">
        <v>4439</v>
      </c>
      <c r="B663" t="s">
        <v>924</v>
      </c>
      <c r="C663">
        <v>5.51</v>
      </c>
      <c r="D663">
        <v>111</v>
      </c>
      <c r="E663">
        <v>10.77</v>
      </c>
      <c r="F663">
        <v>1.48</v>
      </c>
      <c r="G663" t="s">
        <v>2074</v>
      </c>
    </row>
    <row r="664" spans="1:7">
      <c r="A664">
        <v>4440</v>
      </c>
      <c r="B664" t="s">
        <v>925</v>
      </c>
      <c r="C664">
        <v>11.45</v>
      </c>
      <c r="D664">
        <v>111</v>
      </c>
      <c r="E664">
        <v>27.87</v>
      </c>
      <c r="F664">
        <v>1.38</v>
      </c>
      <c r="G664" t="s">
        <v>2074</v>
      </c>
    </row>
    <row r="665" spans="1:7">
      <c r="A665">
        <v>4526</v>
      </c>
      <c r="B665" t="s">
        <v>926</v>
      </c>
      <c r="C665">
        <v>1.07</v>
      </c>
      <c r="D665">
        <v>111</v>
      </c>
      <c r="E665" t="s">
        <v>271</v>
      </c>
      <c r="F665">
        <v>0.94</v>
      </c>
      <c r="G665" t="s">
        <v>2074</v>
      </c>
    </row>
    <row r="666" spans="1:7">
      <c r="A666">
        <v>4532</v>
      </c>
      <c r="B666" t="s">
        <v>927</v>
      </c>
      <c r="C666">
        <v>4.22</v>
      </c>
      <c r="D666">
        <v>111</v>
      </c>
      <c r="E666">
        <v>15.25</v>
      </c>
      <c r="F666">
        <v>1.0900000000000001</v>
      </c>
      <c r="G666" t="s">
        <v>2074</v>
      </c>
    </row>
    <row r="667" spans="1:7">
      <c r="A667">
        <v>4536</v>
      </c>
      <c r="B667" t="s">
        <v>928</v>
      </c>
      <c r="C667">
        <v>6.15</v>
      </c>
      <c r="D667">
        <v>111</v>
      </c>
      <c r="E667">
        <v>10.25</v>
      </c>
      <c r="F667">
        <v>2.04</v>
      </c>
      <c r="G667" t="s">
        <v>2074</v>
      </c>
    </row>
    <row r="668" spans="1:7">
      <c r="A668">
        <v>4540</v>
      </c>
      <c r="B668" t="s">
        <v>929</v>
      </c>
      <c r="C668">
        <v>4.58</v>
      </c>
      <c r="D668">
        <v>111</v>
      </c>
      <c r="E668">
        <v>49.69</v>
      </c>
      <c r="F668">
        <v>0.9</v>
      </c>
      <c r="G668" t="s">
        <v>2074</v>
      </c>
    </row>
    <row r="669" spans="1:7">
      <c r="A669">
        <v>4545</v>
      </c>
      <c r="B669" t="s">
        <v>930</v>
      </c>
      <c r="C669">
        <v>5</v>
      </c>
      <c r="D669">
        <v>111</v>
      </c>
      <c r="E669">
        <v>20.98</v>
      </c>
      <c r="F669">
        <v>1.22</v>
      </c>
      <c r="G669" t="s">
        <v>2074</v>
      </c>
    </row>
    <row r="670" spans="1:7">
      <c r="A670">
        <v>4551</v>
      </c>
      <c r="B670" t="s">
        <v>931</v>
      </c>
      <c r="C670">
        <v>4.67</v>
      </c>
      <c r="D670">
        <v>111</v>
      </c>
      <c r="E670">
        <v>19.350000000000001</v>
      </c>
      <c r="F670">
        <v>1.84</v>
      </c>
      <c r="G670" t="s">
        <v>2074</v>
      </c>
    </row>
    <row r="671" spans="1:7">
      <c r="A671">
        <v>4552</v>
      </c>
      <c r="B671" t="s">
        <v>932</v>
      </c>
      <c r="C671">
        <v>4.1100000000000003</v>
      </c>
      <c r="D671">
        <v>111</v>
      </c>
      <c r="E671">
        <v>9.08</v>
      </c>
      <c r="F671">
        <v>0.62</v>
      </c>
      <c r="G671" t="s">
        <v>2074</v>
      </c>
    </row>
    <row r="672" spans="1:7">
      <c r="A672">
        <v>4555</v>
      </c>
      <c r="B672" t="s">
        <v>933</v>
      </c>
      <c r="C672">
        <v>2.5099999999999998</v>
      </c>
      <c r="D672">
        <v>111</v>
      </c>
      <c r="E672">
        <v>288.10000000000002</v>
      </c>
      <c r="F672">
        <v>1.46</v>
      </c>
      <c r="G672" t="s">
        <v>2074</v>
      </c>
    </row>
    <row r="673" spans="1:7">
      <c r="A673">
        <v>4557</v>
      </c>
      <c r="B673" t="s">
        <v>934</v>
      </c>
      <c r="C673">
        <v>6.03</v>
      </c>
      <c r="D673">
        <v>111</v>
      </c>
      <c r="E673">
        <v>13</v>
      </c>
      <c r="F673">
        <v>2.38</v>
      </c>
      <c r="G673" t="s">
        <v>2074</v>
      </c>
    </row>
    <row r="674" spans="1:7">
      <c r="A674">
        <v>4560</v>
      </c>
      <c r="B674" t="s">
        <v>935</v>
      </c>
      <c r="C674">
        <v>5.99</v>
      </c>
      <c r="D674">
        <v>111</v>
      </c>
      <c r="E674">
        <v>24.3</v>
      </c>
      <c r="F674">
        <v>1.43</v>
      </c>
      <c r="G674" t="s">
        <v>2074</v>
      </c>
    </row>
    <row r="675" spans="1:7">
      <c r="A675">
        <v>4562</v>
      </c>
      <c r="B675" t="s">
        <v>936</v>
      </c>
      <c r="C675">
        <v>0</v>
      </c>
      <c r="D675">
        <v>111</v>
      </c>
      <c r="E675" t="s">
        <v>271</v>
      </c>
      <c r="F675">
        <v>1.25</v>
      </c>
      <c r="G675" t="s">
        <v>2074</v>
      </c>
    </row>
    <row r="676" spans="1:7">
      <c r="A676">
        <v>4564</v>
      </c>
      <c r="B676" t="s">
        <v>937</v>
      </c>
      <c r="C676">
        <v>0.84</v>
      </c>
      <c r="D676">
        <v>111</v>
      </c>
      <c r="E676" t="s">
        <v>271</v>
      </c>
      <c r="F676">
        <v>1.0900000000000001</v>
      </c>
      <c r="G676" t="s">
        <v>2074</v>
      </c>
    </row>
    <row r="677" spans="1:7">
      <c r="A677">
        <v>4566</v>
      </c>
      <c r="B677" t="s">
        <v>938</v>
      </c>
      <c r="C677">
        <v>3.92</v>
      </c>
      <c r="D677">
        <v>111</v>
      </c>
      <c r="E677">
        <v>15.91</v>
      </c>
      <c r="F677">
        <v>1.25</v>
      </c>
      <c r="G677" t="s">
        <v>2074</v>
      </c>
    </row>
    <row r="678" spans="1:7">
      <c r="A678">
        <v>4569</v>
      </c>
      <c r="B678" t="s">
        <v>2078</v>
      </c>
      <c r="C678">
        <v>5.91</v>
      </c>
      <c r="D678">
        <v>111</v>
      </c>
      <c r="E678">
        <v>9.84</v>
      </c>
      <c r="F678">
        <v>1.1100000000000001</v>
      </c>
      <c r="G678" t="s">
        <v>2074</v>
      </c>
    </row>
    <row r="679" spans="1:7">
      <c r="A679">
        <v>4571</v>
      </c>
      <c r="B679" t="s">
        <v>939</v>
      </c>
      <c r="C679">
        <v>4.3499999999999996</v>
      </c>
      <c r="D679">
        <v>111</v>
      </c>
      <c r="E679">
        <v>17.32</v>
      </c>
      <c r="F679">
        <v>1.68</v>
      </c>
      <c r="G679" t="s">
        <v>2074</v>
      </c>
    </row>
    <row r="680" spans="1:7">
      <c r="A680">
        <v>4572</v>
      </c>
      <c r="B680" t="s">
        <v>940</v>
      </c>
      <c r="C680">
        <v>1.21</v>
      </c>
      <c r="D680">
        <v>111</v>
      </c>
      <c r="E680">
        <v>30.85</v>
      </c>
      <c r="F680">
        <v>3.68</v>
      </c>
      <c r="G680" t="s">
        <v>2074</v>
      </c>
    </row>
    <row r="681" spans="1:7">
      <c r="A681">
        <v>4576</v>
      </c>
      <c r="B681" t="s">
        <v>941</v>
      </c>
      <c r="C681">
        <v>1.46</v>
      </c>
      <c r="D681">
        <v>111</v>
      </c>
      <c r="E681">
        <v>159.30000000000001</v>
      </c>
      <c r="F681">
        <v>2.17</v>
      </c>
      <c r="G681" t="s">
        <v>2074</v>
      </c>
    </row>
    <row r="682" spans="1:7">
      <c r="A682">
        <v>4581</v>
      </c>
      <c r="B682" t="s">
        <v>942</v>
      </c>
      <c r="C682">
        <v>3.71</v>
      </c>
      <c r="D682">
        <v>111</v>
      </c>
      <c r="E682">
        <v>12.17</v>
      </c>
      <c r="F682">
        <v>2.2000000000000002</v>
      </c>
      <c r="G682" t="s">
        <v>2074</v>
      </c>
    </row>
    <row r="683" spans="1:7">
      <c r="A683">
        <v>4583</v>
      </c>
      <c r="B683" t="s">
        <v>943</v>
      </c>
      <c r="C683">
        <v>4.71</v>
      </c>
      <c r="D683">
        <v>111</v>
      </c>
      <c r="E683">
        <v>17.05</v>
      </c>
      <c r="F683">
        <v>1.75</v>
      </c>
      <c r="G683" t="s">
        <v>2074</v>
      </c>
    </row>
    <row r="684" spans="1:7">
      <c r="A684">
        <v>4720</v>
      </c>
      <c r="B684" t="s">
        <v>944</v>
      </c>
      <c r="C684">
        <v>1.19</v>
      </c>
      <c r="D684">
        <v>111</v>
      </c>
      <c r="E684">
        <v>22.33</v>
      </c>
      <c r="F684">
        <v>1.26</v>
      </c>
      <c r="G684" t="s">
        <v>2074</v>
      </c>
    </row>
    <row r="685" spans="1:7">
      <c r="A685">
        <v>4722</v>
      </c>
      <c r="B685" t="s">
        <v>945</v>
      </c>
      <c r="C685">
        <v>5.07</v>
      </c>
      <c r="D685">
        <v>111</v>
      </c>
      <c r="E685">
        <v>32.89</v>
      </c>
      <c r="F685">
        <v>1.31</v>
      </c>
      <c r="G685" t="s">
        <v>2074</v>
      </c>
    </row>
    <row r="686" spans="1:7">
      <c r="A686">
        <v>4736</v>
      </c>
      <c r="B686" t="s">
        <v>1564</v>
      </c>
      <c r="C686">
        <v>12.11</v>
      </c>
      <c r="D686">
        <v>111</v>
      </c>
      <c r="E686">
        <v>12.16</v>
      </c>
      <c r="F686">
        <v>1.82</v>
      </c>
      <c r="G686" t="s">
        <v>2074</v>
      </c>
    </row>
    <row r="687" spans="1:7">
      <c r="A687">
        <v>4737</v>
      </c>
      <c r="B687" t="s">
        <v>946</v>
      </c>
      <c r="C687">
        <v>2.81</v>
      </c>
      <c r="D687">
        <v>111</v>
      </c>
      <c r="E687">
        <v>202.16</v>
      </c>
      <c r="F687">
        <v>2.33</v>
      </c>
      <c r="G687" t="s">
        <v>2074</v>
      </c>
    </row>
    <row r="688" spans="1:7">
      <c r="A688">
        <v>4739</v>
      </c>
      <c r="B688" t="s">
        <v>947</v>
      </c>
      <c r="C688">
        <v>3.84</v>
      </c>
      <c r="D688">
        <v>111</v>
      </c>
      <c r="E688" t="s">
        <v>271</v>
      </c>
      <c r="F688">
        <v>1.67</v>
      </c>
      <c r="G688" t="s">
        <v>2074</v>
      </c>
    </row>
    <row r="689" spans="1:7">
      <c r="A689">
        <v>4746</v>
      </c>
      <c r="B689" t="s">
        <v>948</v>
      </c>
      <c r="C689">
        <v>0.98</v>
      </c>
      <c r="D689">
        <v>111</v>
      </c>
      <c r="E689">
        <v>45.54</v>
      </c>
      <c r="F689">
        <v>1.66</v>
      </c>
      <c r="G689" t="s">
        <v>2074</v>
      </c>
    </row>
    <row r="690" spans="1:7">
      <c r="A690">
        <v>4755</v>
      </c>
      <c r="B690" t="s">
        <v>949</v>
      </c>
      <c r="C690">
        <v>4.7</v>
      </c>
      <c r="D690">
        <v>111</v>
      </c>
      <c r="E690">
        <v>31.93</v>
      </c>
      <c r="F690">
        <v>2.93</v>
      </c>
      <c r="G690" t="s">
        <v>2074</v>
      </c>
    </row>
    <row r="691" spans="1:7">
      <c r="A691">
        <v>4763</v>
      </c>
      <c r="B691" t="s">
        <v>950</v>
      </c>
      <c r="C691">
        <v>1.26</v>
      </c>
      <c r="D691">
        <v>111</v>
      </c>
      <c r="E691">
        <v>16.649999999999999</v>
      </c>
      <c r="F691">
        <v>7.11</v>
      </c>
      <c r="G691" t="s">
        <v>2074</v>
      </c>
    </row>
    <row r="692" spans="1:7">
      <c r="A692">
        <v>4764</v>
      </c>
      <c r="B692" t="s">
        <v>951</v>
      </c>
      <c r="C692">
        <v>1.2</v>
      </c>
      <c r="D692">
        <v>111</v>
      </c>
      <c r="E692" t="s">
        <v>271</v>
      </c>
      <c r="F692">
        <v>1.59</v>
      </c>
      <c r="G692" t="s">
        <v>2074</v>
      </c>
    </row>
    <row r="693" spans="1:7">
      <c r="A693">
        <v>4766</v>
      </c>
      <c r="B693" t="s">
        <v>952</v>
      </c>
      <c r="C693">
        <v>3.56</v>
      </c>
      <c r="D693">
        <v>111</v>
      </c>
      <c r="E693">
        <v>15.93</v>
      </c>
      <c r="F693">
        <v>2.62</v>
      </c>
      <c r="G693" t="s">
        <v>2074</v>
      </c>
    </row>
    <row r="694" spans="1:7">
      <c r="A694">
        <v>4770</v>
      </c>
      <c r="B694" t="s">
        <v>953</v>
      </c>
      <c r="C694">
        <v>3.69</v>
      </c>
      <c r="D694">
        <v>111</v>
      </c>
      <c r="E694">
        <v>14.39</v>
      </c>
      <c r="F694">
        <v>3.65</v>
      </c>
      <c r="G694" t="s">
        <v>2074</v>
      </c>
    </row>
    <row r="695" spans="1:7">
      <c r="A695">
        <v>4807</v>
      </c>
      <c r="B695" t="s">
        <v>954</v>
      </c>
      <c r="C695">
        <v>2.4300000000000002</v>
      </c>
      <c r="D695">
        <v>111</v>
      </c>
      <c r="E695" t="s">
        <v>271</v>
      </c>
      <c r="F695">
        <v>0.94</v>
      </c>
      <c r="G695" t="s">
        <v>2074</v>
      </c>
    </row>
    <row r="696" spans="1:7">
      <c r="A696">
        <v>4904</v>
      </c>
      <c r="B696" t="s">
        <v>955</v>
      </c>
      <c r="C696">
        <v>4.07</v>
      </c>
      <c r="D696">
        <v>111</v>
      </c>
      <c r="E696">
        <v>23.89</v>
      </c>
      <c r="F696">
        <v>4.2699999999999996</v>
      </c>
      <c r="G696" t="s">
        <v>2074</v>
      </c>
    </row>
    <row r="697" spans="1:7">
      <c r="A697">
        <v>4906</v>
      </c>
      <c r="B697" t="s">
        <v>956</v>
      </c>
      <c r="C697">
        <v>4.3499999999999996</v>
      </c>
      <c r="D697">
        <v>111</v>
      </c>
      <c r="E697">
        <v>13.17</v>
      </c>
      <c r="F697">
        <v>1.05</v>
      </c>
      <c r="G697" t="s">
        <v>2074</v>
      </c>
    </row>
    <row r="698" spans="1:7">
      <c r="A698">
        <v>4912</v>
      </c>
      <c r="B698" t="s">
        <v>957</v>
      </c>
      <c r="C698">
        <v>3.07</v>
      </c>
      <c r="D698">
        <v>111</v>
      </c>
      <c r="E698">
        <v>29.53</v>
      </c>
      <c r="F698">
        <v>1.47</v>
      </c>
      <c r="G698" t="s">
        <v>2074</v>
      </c>
    </row>
    <row r="699" spans="1:7">
      <c r="A699">
        <v>4915</v>
      </c>
      <c r="B699" t="s">
        <v>958</v>
      </c>
      <c r="C699">
        <v>5.76</v>
      </c>
      <c r="D699">
        <v>111</v>
      </c>
      <c r="E699">
        <v>12.09</v>
      </c>
      <c r="F699">
        <v>1.84</v>
      </c>
      <c r="G699" t="s">
        <v>2074</v>
      </c>
    </row>
    <row r="700" spans="1:7">
      <c r="A700">
        <v>4916</v>
      </c>
      <c r="B700" t="s">
        <v>959</v>
      </c>
      <c r="C700">
        <v>1.07</v>
      </c>
      <c r="D700">
        <v>111</v>
      </c>
      <c r="E700">
        <v>19.59</v>
      </c>
      <c r="F700">
        <v>1.64</v>
      </c>
      <c r="G700" t="s">
        <v>2074</v>
      </c>
    </row>
    <row r="701" spans="1:7">
      <c r="A701">
        <v>4919</v>
      </c>
      <c r="B701" t="s">
        <v>960</v>
      </c>
      <c r="C701">
        <v>4.93</v>
      </c>
      <c r="D701">
        <v>111</v>
      </c>
      <c r="E701">
        <v>24.57</v>
      </c>
      <c r="F701">
        <v>3.71</v>
      </c>
      <c r="G701" t="s">
        <v>2074</v>
      </c>
    </row>
    <row r="702" spans="1:7">
      <c r="A702">
        <v>4927</v>
      </c>
      <c r="B702" t="s">
        <v>961</v>
      </c>
      <c r="C702">
        <v>3.97</v>
      </c>
      <c r="D702">
        <v>111</v>
      </c>
      <c r="E702" t="s">
        <v>271</v>
      </c>
      <c r="F702">
        <v>1.35</v>
      </c>
      <c r="G702" t="s">
        <v>2074</v>
      </c>
    </row>
    <row r="703" spans="1:7">
      <c r="A703">
        <v>4930</v>
      </c>
      <c r="B703" t="s">
        <v>962</v>
      </c>
      <c r="C703">
        <v>6.18</v>
      </c>
      <c r="D703">
        <v>111</v>
      </c>
      <c r="E703">
        <v>9.57</v>
      </c>
      <c r="F703">
        <v>0.79</v>
      </c>
      <c r="G703" t="s">
        <v>2074</v>
      </c>
    </row>
    <row r="704" spans="1:7">
      <c r="A704">
        <v>4934</v>
      </c>
      <c r="B704" t="s">
        <v>963</v>
      </c>
      <c r="C704">
        <v>0</v>
      </c>
      <c r="D704">
        <v>111</v>
      </c>
      <c r="E704">
        <v>15.99</v>
      </c>
      <c r="F704">
        <v>2.57</v>
      </c>
      <c r="G704" t="s">
        <v>2074</v>
      </c>
    </row>
    <row r="705" spans="1:7">
      <c r="A705">
        <v>4935</v>
      </c>
      <c r="B705" t="s">
        <v>964</v>
      </c>
      <c r="C705">
        <v>7.66</v>
      </c>
      <c r="D705">
        <v>111</v>
      </c>
      <c r="E705">
        <v>12.64</v>
      </c>
      <c r="F705">
        <v>0.82</v>
      </c>
      <c r="G705" t="s">
        <v>2074</v>
      </c>
    </row>
    <row r="706" spans="1:7">
      <c r="A706">
        <v>4938</v>
      </c>
      <c r="B706" t="s">
        <v>965</v>
      </c>
      <c r="C706">
        <v>4.58</v>
      </c>
      <c r="D706">
        <v>111</v>
      </c>
      <c r="E706">
        <v>14.75</v>
      </c>
      <c r="F706">
        <v>1.21</v>
      </c>
      <c r="G706" t="s">
        <v>2074</v>
      </c>
    </row>
    <row r="707" spans="1:7">
      <c r="A707">
        <v>4942</v>
      </c>
      <c r="B707" t="s">
        <v>966</v>
      </c>
      <c r="C707">
        <v>5.75</v>
      </c>
      <c r="D707">
        <v>111</v>
      </c>
      <c r="E707">
        <v>11.1</v>
      </c>
      <c r="F707">
        <v>0.71</v>
      </c>
      <c r="G707" t="s">
        <v>2074</v>
      </c>
    </row>
    <row r="708" spans="1:7">
      <c r="A708">
        <v>4943</v>
      </c>
      <c r="B708" t="s">
        <v>967</v>
      </c>
      <c r="C708">
        <v>0</v>
      </c>
      <c r="D708">
        <v>111</v>
      </c>
      <c r="E708" t="s">
        <v>271</v>
      </c>
      <c r="F708">
        <v>48.67</v>
      </c>
      <c r="G708" t="s">
        <v>2074</v>
      </c>
    </row>
    <row r="709" spans="1:7">
      <c r="A709">
        <v>4952</v>
      </c>
      <c r="B709" t="s">
        <v>968</v>
      </c>
      <c r="C709">
        <v>9.11</v>
      </c>
      <c r="D709">
        <v>111</v>
      </c>
      <c r="E709">
        <v>33.89</v>
      </c>
      <c r="F709">
        <v>2.83</v>
      </c>
      <c r="G709" t="s">
        <v>2074</v>
      </c>
    </row>
    <row r="710" spans="1:7">
      <c r="A710">
        <v>4956</v>
      </c>
      <c r="B710" t="s">
        <v>969</v>
      </c>
      <c r="C710">
        <v>0</v>
      </c>
      <c r="D710">
        <v>111</v>
      </c>
      <c r="E710" t="s">
        <v>271</v>
      </c>
      <c r="F710">
        <v>0.92</v>
      </c>
      <c r="G710" t="s">
        <v>2074</v>
      </c>
    </row>
    <row r="711" spans="1:7">
      <c r="A711">
        <v>4958</v>
      </c>
      <c r="B711" t="s">
        <v>970</v>
      </c>
      <c r="C711">
        <v>5.5</v>
      </c>
      <c r="D711">
        <v>111</v>
      </c>
      <c r="E711">
        <v>13.94</v>
      </c>
      <c r="F711">
        <v>1.08</v>
      </c>
      <c r="G711" t="s">
        <v>2074</v>
      </c>
    </row>
    <row r="712" spans="1:7">
      <c r="A712">
        <v>4960</v>
      </c>
      <c r="B712" t="s">
        <v>971</v>
      </c>
      <c r="C712">
        <v>2.25</v>
      </c>
      <c r="D712">
        <v>111</v>
      </c>
      <c r="E712" t="s">
        <v>271</v>
      </c>
      <c r="F712">
        <v>0.81</v>
      </c>
      <c r="G712" t="s">
        <v>2074</v>
      </c>
    </row>
    <row r="713" spans="1:7">
      <c r="A713">
        <v>4961</v>
      </c>
      <c r="B713" t="s">
        <v>972</v>
      </c>
      <c r="C713">
        <v>3.3</v>
      </c>
      <c r="D713">
        <v>111</v>
      </c>
      <c r="E713">
        <v>15.88</v>
      </c>
      <c r="F713">
        <v>1.85</v>
      </c>
      <c r="G713" t="s">
        <v>2074</v>
      </c>
    </row>
    <row r="714" spans="1:7">
      <c r="A714">
        <v>4967</v>
      </c>
      <c r="B714" t="s">
        <v>973</v>
      </c>
      <c r="C714">
        <v>1.1399999999999999</v>
      </c>
      <c r="D714">
        <v>111</v>
      </c>
      <c r="E714">
        <v>55.09</v>
      </c>
      <c r="F714">
        <v>3.05</v>
      </c>
      <c r="G714" t="s">
        <v>2074</v>
      </c>
    </row>
    <row r="715" spans="1:7">
      <c r="A715">
        <v>4968</v>
      </c>
      <c r="B715" t="s">
        <v>974</v>
      </c>
      <c r="C715">
        <v>0</v>
      </c>
      <c r="D715">
        <v>111</v>
      </c>
      <c r="E715" t="s">
        <v>271</v>
      </c>
      <c r="F715">
        <v>7.46</v>
      </c>
      <c r="G715" t="s">
        <v>2074</v>
      </c>
    </row>
    <row r="716" spans="1:7">
      <c r="A716">
        <v>4976</v>
      </c>
      <c r="B716" t="s">
        <v>975</v>
      </c>
      <c r="C716">
        <v>0</v>
      </c>
      <c r="D716">
        <v>111</v>
      </c>
      <c r="E716" t="s">
        <v>271</v>
      </c>
      <c r="F716">
        <v>2.19</v>
      </c>
      <c r="G716" t="s">
        <v>2074</v>
      </c>
    </row>
    <row r="717" spans="1:7">
      <c r="A717">
        <v>4977</v>
      </c>
      <c r="B717" t="s">
        <v>976</v>
      </c>
      <c r="C717">
        <v>3.23</v>
      </c>
      <c r="D717">
        <v>111</v>
      </c>
      <c r="E717">
        <v>11.03</v>
      </c>
      <c r="F717">
        <v>1.57</v>
      </c>
      <c r="G717" t="s">
        <v>2074</v>
      </c>
    </row>
    <row r="718" spans="1:7">
      <c r="A718">
        <v>4989</v>
      </c>
      <c r="B718" t="s">
        <v>977</v>
      </c>
      <c r="C718">
        <v>1.98</v>
      </c>
      <c r="D718">
        <v>111</v>
      </c>
      <c r="E718" t="s">
        <v>271</v>
      </c>
      <c r="F718">
        <v>1.54</v>
      </c>
      <c r="G718" t="s">
        <v>2074</v>
      </c>
    </row>
    <row r="719" spans="1:7">
      <c r="A719">
        <v>4994</v>
      </c>
      <c r="B719" t="s">
        <v>978</v>
      </c>
      <c r="C719">
        <v>0.82</v>
      </c>
      <c r="D719">
        <v>111</v>
      </c>
      <c r="E719">
        <v>29.42</v>
      </c>
      <c r="F719">
        <v>3.49</v>
      </c>
      <c r="G719" t="s">
        <v>2074</v>
      </c>
    </row>
    <row r="720" spans="1:7">
      <c r="A720">
        <v>4999</v>
      </c>
      <c r="B720" t="s">
        <v>979</v>
      </c>
      <c r="C720">
        <v>4.93</v>
      </c>
      <c r="D720">
        <v>111</v>
      </c>
      <c r="E720">
        <v>507.14</v>
      </c>
      <c r="F720">
        <v>0.76</v>
      </c>
      <c r="G720" t="s">
        <v>2074</v>
      </c>
    </row>
    <row r="721" spans="1:7">
      <c r="A721">
        <v>5007</v>
      </c>
      <c r="B721" t="s">
        <v>980</v>
      </c>
      <c r="C721">
        <v>5.3</v>
      </c>
      <c r="D721">
        <v>111</v>
      </c>
      <c r="E721">
        <v>16.75</v>
      </c>
      <c r="F721">
        <v>2.48</v>
      </c>
      <c r="G721" t="s">
        <v>2074</v>
      </c>
    </row>
    <row r="722" spans="1:7">
      <c r="A722">
        <v>5203</v>
      </c>
      <c r="B722" t="s">
        <v>981</v>
      </c>
      <c r="C722">
        <v>2.35</v>
      </c>
      <c r="D722">
        <v>111</v>
      </c>
      <c r="E722">
        <v>47.12</v>
      </c>
      <c r="F722">
        <v>1.61</v>
      </c>
      <c r="G722" t="s">
        <v>2074</v>
      </c>
    </row>
    <row r="723" spans="1:7">
      <c r="A723">
        <v>5215</v>
      </c>
      <c r="B723" t="s">
        <v>982</v>
      </c>
      <c r="C723">
        <v>3.39</v>
      </c>
      <c r="D723">
        <v>111</v>
      </c>
      <c r="E723">
        <v>21.85</v>
      </c>
      <c r="F723">
        <v>1.1200000000000001</v>
      </c>
      <c r="G723" t="s">
        <v>2074</v>
      </c>
    </row>
    <row r="724" spans="1:7">
      <c r="A724">
        <v>5222</v>
      </c>
      <c r="B724" t="s">
        <v>983</v>
      </c>
      <c r="C724">
        <v>1.8</v>
      </c>
      <c r="D724">
        <v>111</v>
      </c>
      <c r="E724">
        <v>30.09</v>
      </c>
      <c r="F724">
        <v>5.87</v>
      </c>
      <c r="G724" t="s">
        <v>2074</v>
      </c>
    </row>
    <row r="725" spans="1:7">
      <c r="A725">
        <v>5225</v>
      </c>
      <c r="B725" t="s">
        <v>984</v>
      </c>
      <c r="C725">
        <v>5.07</v>
      </c>
      <c r="D725">
        <v>111</v>
      </c>
      <c r="E725">
        <v>8.74</v>
      </c>
      <c r="F725">
        <v>1.5</v>
      </c>
      <c r="G725" t="s">
        <v>2074</v>
      </c>
    </row>
    <row r="726" spans="1:7">
      <c r="A726">
        <v>5234</v>
      </c>
      <c r="B726" t="s">
        <v>985</v>
      </c>
      <c r="C726">
        <v>3.32</v>
      </c>
      <c r="D726">
        <v>111</v>
      </c>
      <c r="E726">
        <v>20.309999999999999</v>
      </c>
      <c r="F726">
        <v>3.37</v>
      </c>
      <c r="G726" t="s">
        <v>2074</v>
      </c>
    </row>
    <row r="727" spans="1:7">
      <c r="A727">
        <v>5243</v>
      </c>
      <c r="B727" t="s">
        <v>986</v>
      </c>
      <c r="C727">
        <v>2.61</v>
      </c>
      <c r="D727">
        <v>111</v>
      </c>
      <c r="E727">
        <v>14.13</v>
      </c>
      <c r="F727">
        <v>1.37</v>
      </c>
      <c r="G727" t="s">
        <v>2074</v>
      </c>
    </row>
    <row r="728" spans="1:7">
      <c r="A728">
        <v>5244</v>
      </c>
      <c r="B728" t="s">
        <v>987</v>
      </c>
      <c r="C728">
        <v>3.65</v>
      </c>
      <c r="D728">
        <v>111</v>
      </c>
      <c r="E728">
        <v>17.100000000000001</v>
      </c>
      <c r="F728">
        <v>1.72</v>
      </c>
      <c r="G728" t="s">
        <v>2074</v>
      </c>
    </row>
    <row r="729" spans="1:7">
      <c r="A729">
        <v>5258</v>
      </c>
      <c r="B729" t="s">
        <v>988</v>
      </c>
      <c r="C729">
        <v>1.05</v>
      </c>
      <c r="D729">
        <v>111</v>
      </c>
      <c r="E729">
        <v>13.54</v>
      </c>
      <c r="F729">
        <v>3.51</v>
      </c>
      <c r="G729" t="s">
        <v>2074</v>
      </c>
    </row>
    <row r="730" spans="1:7">
      <c r="A730">
        <v>5269</v>
      </c>
      <c r="B730" t="s">
        <v>989</v>
      </c>
      <c r="C730">
        <v>1.1000000000000001</v>
      </c>
      <c r="D730">
        <v>111</v>
      </c>
      <c r="E730">
        <v>67.37</v>
      </c>
      <c r="F730">
        <v>7.41</v>
      </c>
      <c r="G730" t="s">
        <v>2074</v>
      </c>
    </row>
    <row r="731" spans="1:7">
      <c r="A731">
        <v>5283</v>
      </c>
      <c r="B731" t="s">
        <v>990</v>
      </c>
      <c r="C731">
        <v>7.17</v>
      </c>
      <c r="D731">
        <v>111</v>
      </c>
      <c r="E731">
        <v>13.73</v>
      </c>
      <c r="F731">
        <v>1.85</v>
      </c>
      <c r="G731" t="s">
        <v>2074</v>
      </c>
    </row>
    <row r="732" spans="1:7">
      <c r="A732">
        <v>5284</v>
      </c>
      <c r="B732" t="s">
        <v>991</v>
      </c>
      <c r="C732">
        <v>2.35</v>
      </c>
      <c r="D732">
        <v>111</v>
      </c>
      <c r="E732">
        <v>12.33</v>
      </c>
      <c r="F732">
        <v>2.4900000000000002</v>
      </c>
      <c r="G732" t="s">
        <v>2074</v>
      </c>
    </row>
    <row r="733" spans="1:7">
      <c r="A733">
        <v>5285</v>
      </c>
      <c r="B733" t="s">
        <v>992</v>
      </c>
      <c r="C733">
        <v>4.8600000000000003</v>
      </c>
      <c r="D733">
        <v>111</v>
      </c>
      <c r="E733">
        <v>40.22</v>
      </c>
      <c r="F733">
        <v>2.5499999999999998</v>
      </c>
      <c r="G733" t="s">
        <v>2074</v>
      </c>
    </row>
    <row r="734" spans="1:7">
      <c r="A734">
        <v>5288</v>
      </c>
      <c r="B734" t="s">
        <v>993</v>
      </c>
      <c r="C734">
        <v>3.88</v>
      </c>
      <c r="D734">
        <v>111</v>
      </c>
      <c r="E734">
        <v>11.76</v>
      </c>
      <c r="F734">
        <v>2.4500000000000002</v>
      </c>
      <c r="G734" t="s">
        <v>2074</v>
      </c>
    </row>
    <row r="735" spans="1:7">
      <c r="A735">
        <v>5292</v>
      </c>
      <c r="B735" t="s">
        <v>2079</v>
      </c>
      <c r="C735">
        <v>2.37</v>
      </c>
      <c r="D735">
        <v>111</v>
      </c>
      <c r="E735">
        <v>13.79</v>
      </c>
      <c r="F735">
        <v>3.73</v>
      </c>
      <c r="G735" t="s">
        <v>2074</v>
      </c>
    </row>
    <row r="736" spans="1:7">
      <c r="A736">
        <v>5306</v>
      </c>
      <c r="B736" t="s">
        <v>994</v>
      </c>
      <c r="C736">
        <v>6.84</v>
      </c>
      <c r="D736">
        <v>111</v>
      </c>
      <c r="E736">
        <v>18.010000000000002</v>
      </c>
      <c r="F736">
        <v>2.17</v>
      </c>
      <c r="G736" t="s">
        <v>2074</v>
      </c>
    </row>
    <row r="737" spans="1:7">
      <c r="A737">
        <v>5388</v>
      </c>
      <c r="B737" t="s">
        <v>995</v>
      </c>
      <c r="C737">
        <v>3.35</v>
      </c>
      <c r="D737">
        <v>111</v>
      </c>
      <c r="E737" s="47">
        <v>15.59</v>
      </c>
      <c r="F737">
        <v>3.13</v>
      </c>
      <c r="G737" t="s">
        <v>2074</v>
      </c>
    </row>
    <row r="738" spans="1:7">
      <c r="A738">
        <v>5434</v>
      </c>
      <c r="B738" t="s">
        <v>996</v>
      </c>
      <c r="C738">
        <v>5.48</v>
      </c>
      <c r="D738">
        <v>111</v>
      </c>
      <c r="E738">
        <v>12.45</v>
      </c>
      <c r="F738">
        <v>2.39</v>
      </c>
      <c r="G738" t="s">
        <v>2074</v>
      </c>
    </row>
    <row r="739" spans="1:7">
      <c r="A739">
        <v>5469</v>
      </c>
      <c r="B739" t="s">
        <v>997</v>
      </c>
      <c r="C739">
        <v>4.34</v>
      </c>
      <c r="D739">
        <v>111</v>
      </c>
      <c r="E739">
        <v>10.09</v>
      </c>
      <c r="F739">
        <v>0.96</v>
      </c>
      <c r="G739" t="s">
        <v>2074</v>
      </c>
    </row>
    <row r="740" spans="1:7">
      <c r="A740">
        <v>5471</v>
      </c>
      <c r="B740" t="s">
        <v>998</v>
      </c>
      <c r="C740">
        <v>4.3600000000000003</v>
      </c>
      <c r="D740">
        <v>111</v>
      </c>
      <c r="E740">
        <v>58.57</v>
      </c>
      <c r="F740">
        <v>2.7</v>
      </c>
      <c r="G740" t="s">
        <v>2074</v>
      </c>
    </row>
    <row r="741" spans="1:7">
      <c r="A741">
        <v>5484</v>
      </c>
      <c r="B741" t="s">
        <v>999</v>
      </c>
      <c r="C741">
        <v>0</v>
      </c>
      <c r="D741">
        <v>111</v>
      </c>
      <c r="E741" t="s">
        <v>271</v>
      </c>
      <c r="F741">
        <v>2.57</v>
      </c>
      <c r="G741" t="s">
        <v>2074</v>
      </c>
    </row>
    <row r="742" spans="1:7">
      <c r="A742">
        <v>5515</v>
      </c>
      <c r="B742" t="s">
        <v>1000</v>
      </c>
      <c r="C742">
        <v>5.8</v>
      </c>
      <c r="D742">
        <v>111</v>
      </c>
      <c r="E742">
        <v>13.69</v>
      </c>
      <c r="F742">
        <v>0.89</v>
      </c>
      <c r="G742" t="s">
        <v>2074</v>
      </c>
    </row>
    <row r="743" spans="1:7">
      <c r="A743">
        <v>5519</v>
      </c>
      <c r="B743" t="s">
        <v>1001</v>
      </c>
      <c r="C743">
        <v>7.04</v>
      </c>
      <c r="D743">
        <v>111</v>
      </c>
      <c r="E743">
        <v>12.65</v>
      </c>
      <c r="F743">
        <v>1.34</v>
      </c>
      <c r="G743" t="s">
        <v>2074</v>
      </c>
    </row>
    <row r="744" spans="1:7">
      <c r="A744">
        <v>5521</v>
      </c>
      <c r="B744" t="s">
        <v>1002</v>
      </c>
      <c r="C744">
        <v>0</v>
      </c>
      <c r="D744">
        <v>111</v>
      </c>
      <c r="E744">
        <v>91.88</v>
      </c>
      <c r="F744">
        <v>1.35</v>
      </c>
      <c r="G744" t="s">
        <v>2074</v>
      </c>
    </row>
    <row r="745" spans="1:7">
      <c r="A745">
        <v>5522</v>
      </c>
      <c r="B745" t="s">
        <v>1003</v>
      </c>
      <c r="C745">
        <v>8.8000000000000007</v>
      </c>
      <c r="D745">
        <v>111</v>
      </c>
      <c r="E745">
        <v>13.46</v>
      </c>
      <c r="F745">
        <v>1.02</v>
      </c>
      <c r="G745" t="s">
        <v>2074</v>
      </c>
    </row>
    <row r="746" spans="1:7">
      <c r="A746">
        <v>5525</v>
      </c>
      <c r="B746" t="s">
        <v>1004</v>
      </c>
      <c r="C746">
        <v>7.88</v>
      </c>
      <c r="D746">
        <v>111</v>
      </c>
      <c r="E746">
        <v>9.2899999999999991</v>
      </c>
      <c r="F746">
        <v>1.41</v>
      </c>
      <c r="G746" t="s">
        <v>2074</v>
      </c>
    </row>
    <row r="747" spans="1:7">
      <c r="A747">
        <v>5531</v>
      </c>
      <c r="B747" t="s">
        <v>1005</v>
      </c>
      <c r="C747">
        <v>0</v>
      </c>
      <c r="D747">
        <v>111</v>
      </c>
      <c r="E747" t="s">
        <v>271</v>
      </c>
      <c r="F747">
        <v>1</v>
      </c>
      <c r="G747" t="s">
        <v>2074</v>
      </c>
    </row>
    <row r="748" spans="1:7">
      <c r="A748">
        <v>5533</v>
      </c>
      <c r="B748" t="s">
        <v>1006</v>
      </c>
      <c r="C748">
        <v>4.96</v>
      </c>
      <c r="D748">
        <v>111</v>
      </c>
      <c r="E748">
        <v>8.49</v>
      </c>
      <c r="F748">
        <v>0.73</v>
      </c>
      <c r="G748" t="s">
        <v>2074</v>
      </c>
    </row>
    <row r="749" spans="1:7">
      <c r="A749">
        <v>5534</v>
      </c>
      <c r="B749" t="s">
        <v>1007</v>
      </c>
      <c r="C749">
        <v>7.02</v>
      </c>
      <c r="D749">
        <v>111</v>
      </c>
      <c r="E749">
        <v>16.73</v>
      </c>
      <c r="F749">
        <v>1.22</v>
      </c>
      <c r="G749" t="s">
        <v>2074</v>
      </c>
    </row>
    <row r="750" spans="1:7">
      <c r="A750">
        <v>5538</v>
      </c>
      <c r="B750" t="s">
        <v>1008</v>
      </c>
      <c r="C750">
        <v>5.62</v>
      </c>
      <c r="D750">
        <v>111</v>
      </c>
      <c r="E750">
        <v>16.11</v>
      </c>
      <c r="F750">
        <v>1.06</v>
      </c>
      <c r="G750" t="s">
        <v>2074</v>
      </c>
    </row>
    <row r="751" spans="1:7">
      <c r="A751">
        <v>5546</v>
      </c>
      <c r="B751" t="s">
        <v>1009</v>
      </c>
      <c r="C751">
        <v>4.76</v>
      </c>
      <c r="D751">
        <v>111</v>
      </c>
      <c r="E751" t="s">
        <v>271</v>
      </c>
      <c r="F751">
        <v>1.06</v>
      </c>
      <c r="G751" t="s">
        <v>2074</v>
      </c>
    </row>
    <row r="752" spans="1:7">
      <c r="A752">
        <v>5607</v>
      </c>
      <c r="B752" t="s">
        <v>1010</v>
      </c>
      <c r="C752">
        <v>3.82</v>
      </c>
      <c r="D752">
        <v>111</v>
      </c>
      <c r="E752">
        <v>15.53</v>
      </c>
      <c r="F752">
        <v>2.0499999999999998</v>
      </c>
      <c r="G752" t="s">
        <v>2074</v>
      </c>
    </row>
    <row r="753" spans="1:7">
      <c r="A753">
        <v>5608</v>
      </c>
      <c r="B753" t="s">
        <v>1011</v>
      </c>
      <c r="C753">
        <v>7.3</v>
      </c>
      <c r="D753">
        <v>111</v>
      </c>
      <c r="E753" t="s">
        <v>271</v>
      </c>
      <c r="F753">
        <v>0.8</v>
      </c>
      <c r="G753" t="s">
        <v>2074</v>
      </c>
    </row>
    <row r="754" spans="1:7">
      <c r="A754">
        <v>5706</v>
      </c>
      <c r="B754" t="s">
        <v>1012</v>
      </c>
      <c r="C754">
        <v>0.41</v>
      </c>
      <c r="D754">
        <v>111</v>
      </c>
      <c r="E754">
        <v>48.36</v>
      </c>
      <c r="F754">
        <v>4.04</v>
      </c>
      <c r="G754" t="s">
        <v>2074</v>
      </c>
    </row>
    <row r="755" spans="1:7">
      <c r="A755">
        <v>5871</v>
      </c>
      <c r="B755" t="s">
        <v>1013</v>
      </c>
      <c r="C755">
        <v>3.42</v>
      </c>
      <c r="D755">
        <v>111</v>
      </c>
      <c r="E755" s="47">
        <v>13.39</v>
      </c>
      <c r="F755">
        <v>2.2599999999999998</v>
      </c>
      <c r="G755" t="s">
        <v>2074</v>
      </c>
    </row>
    <row r="756" spans="1:7">
      <c r="A756">
        <v>5876</v>
      </c>
      <c r="B756" t="s">
        <v>1014</v>
      </c>
      <c r="C756">
        <v>3.85</v>
      </c>
      <c r="D756">
        <v>111</v>
      </c>
      <c r="E756">
        <v>13.64</v>
      </c>
      <c r="F756">
        <v>1.25</v>
      </c>
      <c r="G756" t="s">
        <v>2074</v>
      </c>
    </row>
    <row r="757" spans="1:7">
      <c r="A757">
        <v>5880</v>
      </c>
      <c r="B757" t="s">
        <v>1015</v>
      </c>
      <c r="C757">
        <v>1.87</v>
      </c>
      <c r="D757">
        <v>111</v>
      </c>
      <c r="E757">
        <v>19.63</v>
      </c>
      <c r="F757">
        <v>1.71</v>
      </c>
      <c r="G757" t="s">
        <v>2074</v>
      </c>
    </row>
    <row r="758" spans="1:7">
      <c r="A758">
        <v>5906</v>
      </c>
      <c r="B758" t="s">
        <v>1016</v>
      </c>
      <c r="C758">
        <v>2.8</v>
      </c>
      <c r="D758">
        <v>111</v>
      </c>
      <c r="E758">
        <v>18.45</v>
      </c>
      <c r="F758">
        <v>3.63</v>
      </c>
      <c r="G758" t="s">
        <v>2074</v>
      </c>
    </row>
    <row r="759" spans="1:7">
      <c r="A759">
        <v>5907</v>
      </c>
      <c r="B759" t="s">
        <v>1017</v>
      </c>
      <c r="C759">
        <v>0</v>
      </c>
      <c r="D759">
        <v>111</v>
      </c>
      <c r="E759" t="s">
        <v>271</v>
      </c>
      <c r="F759">
        <v>0.36</v>
      </c>
      <c r="G759" t="s">
        <v>2074</v>
      </c>
    </row>
    <row r="760" spans="1:7">
      <c r="A760">
        <v>6005</v>
      </c>
      <c r="B760" t="s">
        <v>1018</v>
      </c>
      <c r="C760">
        <v>2.39</v>
      </c>
      <c r="D760">
        <v>111</v>
      </c>
      <c r="E760">
        <v>9.24</v>
      </c>
      <c r="F760">
        <v>0.91</v>
      </c>
      <c r="G760" t="s">
        <v>2074</v>
      </c>
    </row>
    <row r="761" spans="1:7">
      <c r="A761">
        <v>6024</v>
      </c>
      <c r="B761" t="s">
        <v>1019</v>
      </c>
      <c r="C761">
        <v>5.91</v>
      </c>
      <c r="D761">
        <v>111</v>
      </c>
      <c r="E761">
        <v>10.67</v>
      </c>
      <c r="F761">
        <v>1.54</v>
      </c>
      <c r="G761" t="s">
        <v>2074</v>
      </c>
    </row>
    <row r="762" spans="1:7">
      <c r="A762">
        <v>6108</v>
      </c>
      <c r="B762" t="s">
        <v>1020</v>
      </c>
      <c r="C762">
        <v>2.34</v>
      </c>
      <c r="D762">
        <v>111</v>
      </c>
      <c r="E762">
        <v>53.5</v>
      </c>
      <c r="F762">
        <v>0.93</v>
      </c>
      <c r="G762" t="s">
        <v>2074</v>
      </c>
    </row>
    <row r="763" spans="1:7">
      <c r="A763">
        <v>6112</v>
      </c>
      <c r="B763" t="s">
        <v>1021</v>
      </c>
      <c r="C763">
        <v>2.87</v>
      </c>
      <c r="D763">
        <v>111</v>
      </c>
      <c r="E763">
        <v>21.58</v>
      </c>
      <c r="F763">
        <v>2.99</v>
      </c>
      <c r="G763" t="s">
        <v>2074</v>
      </c>
    </row>
    <row r="764" spans="1:7">
      <c r="A764">
        <v>6115</v>
      </c>
      <c r="B764" t="s">
        <v>1022</v>
      </c>
      <c r="C764">
        <v>6.93</v>
      </c>
      <c r="D764">
        <v>111</v>
      </c>
      <c r="E764">
        <v>14.38</v>
      </c>
      <c r="F764">
        <v>1.7</v>
      </c>
      <c r="G764" t="s">
        <v>2074</v>
      </c>
    </row>
    <row r="765" spans="1:7">
      <c r="A765">
        <v>6116</v>
      </c>
      <c r="B765" t="s">
        <v>1023</v>
      </c>
      <c r="C765">
        <v>0</v>
      </c>
      <c r="D765">
        <v>111</v>
      </c>
      <c r="E765" t="s">
        <v>271</v>
      </c>
      <c r="F765">
        <v>0.78</v>
      </c>
      <c r="G765" t="s">
        <v>2074</v>
      </c>
    </row>
    <row r="766" spans="1:7">
      <c r="A766">
        <v>6117</v>
      </c>
      <c r="B766" t="s">
        <v>1024</v>
      </c>
      <c r="C766">
        <v>0</v>
      </c>
      <c r="D766">
        <v>111</v>
      </c>
      <c r="E766" s="47">
        <v>1278.33</v>
      </c>
      <c r="F766">
        <v>5.89</v>
      </c>
      <c r="G766" t="s">
        <v>2074</v>
      </c>
    </row>
    <row r="767" spans="1:7">
      <c r="A767">
        <v>6120</v>
      </c>
      <c r="B767" t="s">
        <v>1025</v>
      </c>
      <c r="C767">
        <v>1.1200000000000001</v>
      </c>
      <c r="D767">
        <v>111</v>
      </c>
      <c r="E767">
        <v>35.26</v>
      </c>
      <c r="F767">
        <v>0.98</v>
      </c>
      <c r="G767" t="s">
        <v>2074</v>
      </c>
    </row>
    <row r="768" spans="1:7">
      <c r="A768">
        <v>6128</v>
      </c>
      <c r="B768" t="s">
        <v>1026</v>
      </c>
      <c r="C768">
        <v>6.36</v>
      </c>
      <c r="D768">
        <v>111</v>
      </c>
      <c r="E768">
        <v>9.8000000000000007</v>
      </c>
      <c r="F768">
        <v>1.06</v>
      </c>
      <c r="G768" t="s">
        <v>2074</v>
      </c>
    </row>
    <row r="769" spans="1:7">
      <c r="A769">
        <v>6133</v>
      </c>
      <c r="B769" t="s">
        <v>1027</v>
      </c>
      <c r="C769">
        <v>3.14</v>
      </c>
      <c r="D769">
        <v>111</v>
      </c>
      <c r="E769">
        <v>48.18</v>
      </c>
      <c r="F769">
        <v>1.62</v>
      </c>
      <c r="G769" t="s">
        <v>2074</v>
      </c>
    </row>
    <row r="770" spans="1:7">
      <c r="A770">
        <v>6136</v>
      </c>
      <c r="B770" t="s">
        <v>1028</v>
      </c>
      <c r="C770">
        <v>5.12</v>
      </c>
      <c r="D770">
        <v>111</v>
      </c>
      <c r="E770" s="47">
        <v>22.91</v>
      </c>
      <c r="F770">
        <v>0.78</v>
      </c>
      <c r="G770" t="s">
        <v>2074</v>
      </c>
    </row>
    <row r="771" spans="1:7">
      <c r="A771">
        <v>6139</v>
      </c>
      <c r="B771" t="s">
        <v>1029</v>
      </c>
      <c r="C771">
        <v>2.06</v>
      </c>
      <c r="D771">
        <v>111</v>
      </c>
      <c r="E771">
        <v>18.420000000000002</v>
      </c>
      <c r="F771">
        <v>3.88</v>
      </c>
      <c r="G771" t="s">
        <v>2074</v>
      </c>
    </row>
    <row r="772" spans="1:7">
      <c r="A772">
        <v>6141</v>
      </c>
      <c r="B772" t="s">
        <v>1030</v>
      </c>
      <c r="C772">
        <v>0</v>
      </c>
      <c r="D772">
        <v>111</v>
      </c>
      <c r="E772" t="s">
        <v>271</v>
      </c>
      <c r="F772">
        <v>0.89</v>
      </c>
      <c r="G772" t="s">
        <v>2074</v>
      </c>
    </row>
    <row r="773" spans="1:7">
      <c r="A773">
        <v>6142</v>
      </c>
      <c r="B773" t="s">
        <v>1031</v>
      </c>
      <c r="C773">
        <v>2.19</v>
      </c>
      <c r="D773">
        <v>111</v>
      </c>
      <c r="E773">
        <v>91.36</v>
      </c>
      <c r="F773">
        <v>1.04</v>
      </c>
      <c r="G773" t="s">
        <v>2074</v>
      </c>
    </row>
    <row r="774" spans="1:7">
      <c r="A774">
        <v>6152</v>
      </c>
      <c r="B774" t="s">
        <v>1032</v>
      </c>
      <c r="C774">
        <v>0</v>
      </c>
      <c r="D774">
        <v>111</v>
      </c>
      <c r="E774">
        <v>219</v>
      </c>
      <c r="F774">
        <v>1.22</v>
      </c>
      <c r="G774" t="s">
        <v>2074</v>
      </c>
    </row>
    <row r="775" spans="1:7">
      <c r="A775">
        <v>6153</v>
      </c>
      <c r="B775" t="s">
        <v>1033</v>
      </c>
      <c r="C775">
        <v>1.08</v>
      </c>
      <c r="D775">
        <v>111</v>
      </c>
      <c r="E775" t="s">
        <v>271</v>
      </c>
      <c r="F775">
        <v>0.96</v>
      </c>
      <c r="G775" t="s">
        <v>2074</v>
      </c>
    </row>
    <row r="776" spans="1:7">
      <c r="A776">
        <v>6155</v>
      </c>
      <c r="B776" t="s">
        <v>1034</v>
      </c>
      <c r="C776">
        <v>5.64</v>
      </c>
      <c r="D776">
        <v>111</v>
      </c>
      <c r="E776">
        <v>23.75</v>
      </c>
      <c r="F776">
        <v>1.53</v>
      </c>
      <c r="G776" t="s">
        <v>2074</v>
      </c>
    </row>
    <row r="777" spans="1:7">
      <c r="A777">
        <v>6164</v>
      </c>
      <c r="B777" t="s">
        <v>1035</v>
      </c>
      <c r="C777">
        <v>4.3499999999999996</v>
      </c>
      <c r="D777">
        <v>111</v>
      </c>
      <c r="E777">
        <v>70.28</v>
      </c>
      <c r="F777">
        <v>1.1299999999999999</v>
      </c>
      <c r="G777" t="s">
        <v>2074</v>
      </c>
    </row>
    <row r="778" spans="1:7">
      <c r="A778">
        <v>6165</v>
      </c>
      <c r="B778" t="s">
        <v>1036</v>
      </c>
      <c r="C778">
        <v>0</v>
      </c>
      <c r="D778">
        <v>111</v>
      </c>
      <c r="E778" t="s">
        <v>271</v>
      </c>
      <c r="F778">
        <v>2.58</v>
      </c>
      <c r="G778" t="s">
        <v>2074</v>
      </c>
    </row>
    <row r="779" spans="1:7">
      <c r="A779">
        <v>6166</v>
      </c>
      <c r="B779" t="s">
        <v>1037</v>
      </c>
      <c r="C779">
        <v>4.04</v>
      </c>
      <c r="D779">
        <v>111</v>
      </c>
      <c r="E779">
        <v>39.43</v>
      </c>
      <c r="F779">
        <v>2.5</v>
      </c>
      <c r="G779" t="s">
        <v>2074</v>
      </c>
    </row>
    <row r="780" spans="1:7">
      <c r="A780">
        <v>6168</v>
      </c>
      <c r="B780" t="s">
        <v>1038</v>
      </c>
      <c r="C780">
        <v>5.69</v>
      </c>
      <c r="D780">
        <v>111</v>
      </c>
      <c r="E780">
        <v>36.1</v>
      </c>
      <c r="F780">
        <v>1.76</v>
      </c>
      <c r="G780" t="s">
        <v>2074</v>
      </c>
    </row>
    <row r="781" spans="1:7">
      <c r="A781">
        <v>6176</v>
      </c>
      <c r="B781" t="s">
        <v>1039</v>
      </c>
      <c r="C781">
        <v>7.52</v>
      </c>
      <c r="D781">
        <v>111</v>
      </c>
      <c r="E781">
        <v>10.28</v>
      </c>
      <c r="F781">
        <v>1.79</v>
      </c>
      <c r="G781" t="s">
        <v>2074</v>
      </c>
    </row>
    <row r="782" spans="1:7">
      <c r="A782">
        <v>6177</v>
      </c>
      <c r="B782" t="s">
        <v>1040</v>
      </c>
      <c r="C782">
        <v>4.3</v>
      </c>
      <c r="D782">
        <v>111</v>
      </c>
      <c r="E782">
        <v>35.93</v>
      </c>
      <c r="F782">
        <v>1.89</v>
      </c>
      <c r="G782" t="s">
        <v>2074</v>
      </c>
    </row>
    <row r="783" spans="1:7">
      <c r="A783">
        <v>6183</v>
      </c>
      <c r="B783" t="s">
        <v>1041</v>
      </c>
      <c r="C783">
        <v>3.74</v>
      </c>
      <c r="D783">
        <v>111</v>
      </c>
      <c r="E783">
        <v>22.53</v>
      </c>
      <c r="F783">
        <v>3.97</v>
      </c>
      <c r="G783" t="s">
        <v>2074</v>
      </c>
    </row>
    <row r="784" spans="1:7">
      <c r="A784">
        <v>6184</v>
      </c>
      <c r="B784" t="s">
        <v>1042</v>
      </c>
      <c r="C784">
        <v>5.81</v>
      </c>
      <c r="D784">
        <v>111</v>
      </c>
      <c r="E784">
        <v>14.66</v>
      </c>
      <c r="F784">
        <v>1.75</v>
      </c>
      <c r="G784" t="s">
        <v>2074</v>
      </c>
    </row>
    <row r="785" spans="1:7">
      <c r="A785">
        <v>6189</v>
      </c>
      <c r="B785" t="s">
        <v>1043</v>
      </c>
      <c r="C785">
        <v>5.9</v>
      </c>
      <c r="D785">
        <v>111</v>
      </c>
      <c r="E785">
        <v>14</v>
      </c>
      <c r="F785">
        <v>2.31</v>
      </c>
      <c r="G785" t="s">
        <v>2074</v>
      </c>
    </row>
    <row r="786" spans="1:7">
      <c r="A786">
        <v>6191</v>
      </c>
      <c r="B786" t="s">
        <v>1044</v>
      </c>
      <c r="C786">
        <v>4.0599999999999996</v>
      </c>
      <c r="D786">
        <v>111</v>
      </c>
      <c r="E786">
        <v>10.25</v>
      </c>
      <c r="F786">
        <v>1.49</v>
      </c>
      <c r="G786" t="s">
        <v>2074</v>
      </c>
    </row>
    <row r="787" spans="1:7">
      <c r="A787">
        <v>6192</v>
      </c>
      <c r="B787" t="s">
        <v>1045</v>
      </c>
      <c r="C787">
        <v>4.4800000000000004</v>
      </c>
      <c r="D787">
        <v>111</v>
      </c>
      <c r="E787">
        <v>10.1</v>
      </c>
      <c r="F787">
        <v>1.35</v>
      </c>
      <c r="G787" t="s">
        <v>2074</v>
      </c>
    </row>
    <row r="788" spans="1:7">
      <c r="A788">
        <v>6196</v>
      </c>
      <c r="B788" t="s">
        <v>1046</v>
      </c>
      <c r="C788">
        <v>4.01</v>
      </c>
      <c r="D788">
        <v>111</v>
      </c>
      <c r="E788">
        <v>11.77</v>
      </c>
      <c r="F788">
        <v>2.61</v>
      </c>
      <c r="G788" t="s">
        <v>2074</v>
      </c>
    </row>
    <row r="789" spans="1:7">
      <c r="A789">
        <v>6197</v>
      </c>
      <c r="B789" t="s">
        <v>1047</v>
      </c>
      <c r="C789">
        <v>3.8</v>
      </c>
      <c r="D789">
        <v>111</v>
      </c>
      <c r="E789">
        <v>19.829999999999998</v>
      </c>
      <c r="F789">
        <v>3.18</v>
      </c>
      <c r="G789" t="s">
        <v>2074</v>
      </c>
    </row>
    <row r="790" spans="1:7">
      <c r="A790">
        <v>6201</v>
      </c>
      <c r="B790" t="s">
        <v>1048</v>
      </c>
      <c r="C790">
        <v>5.42</v>
      </c>
      <c r="D790">
        <v>111</v>
      </c>
      <c r="E790">
        <v>12.48</v>
      </c>
      <c r="F790">
        <v>1.84</v>
      </c>
      <c r="G790" t="s">
        <v>2074</v>
      </c>
    </row>
    <row r="791" spans="1:7">
      <c r="A791">
        <v>6202</v>
      </c>
      <c r="B791" t="s">
        <v>1049</v>
      </c>
      <c r="C791">
        <v>6</v>
      </c>
      <c r="D791">
        <v>111</v>
      </c>
      <c r="E791">
        <v>104.22</v>
      </c>
      <c r="F791">
        <v>3.76</v>
      </c>
      <c r="G791" t="s">
        <v>2074</v>
      </c>
    </row>
    <row r="792" spans="1:7">
      <c r="A792">
        <v>6205</v>
      </c>
      <c r="B792" t="s">
        <v>1050</v>
      </c>
      <c r="C792">
        <v>4.12</v>
      </c>
      <c r="D792">
        <v>111</v>
      </c>
      <c r="E792">
        <v>25.82</v>
      </c>
      <c r="F792">
        <v>2.42</v>
      </c>
      <c r="G792" t="s">
        <v>2074</v>
      </c>
    </row>
    <row r="793" spans="1:7">
      <c r="A793">
        <v>6206</v>
      </c>
      <c r="B793" t="s">
        <v>1051</v>
      </c>
      <c r="C793">
        <v>7.88</v>
      </c>
      <c r="D793">
        <v>111</v>
      </c>
      <c r="E793" s="47">
        <v>23.58</v>
      </c>
      <c r="F793">
        <v>2.2200000000000002</v>
      </c>
      <c r="G793" t="s">
        <v>2074</v>
      </c>
    </row>
    <row r="794" spans="1:7">
      <c r="A794">
        <v>6209</v>
      </c>
      <c r="B794" t="s">
        <v>1052</v>
      </c>
      <c r="C794">
        <v>2.54</v>
      </c>
      <c r="D794">
        <v>111</v>
      </c>
      <c r="E794">
        <v>250.91</v>
      </c>
      <c r="F794">
        <v>1.53</v>
      </c>
      <c r="G794" t="s">
        <v>2074</v>
      </c>
    </row>
    <row r="795" spans="1:7">
      <c r="A795">
        <v>6213</v>
      </c>
      <c r="B795" t="s">
        <v>1053</v>
      </c>
      <c r="C795">
        <v>3.54</v>
      </c>
      <c r="D795">
        <v>111</v>
      </c>
      <c r="E795">
        <v>44.87</v>
      </c>
      <c r="F795">
        <v>1.56</v>
      </c>
      <c r="G795" t="s">
        <v>2074</v>
      </c>
    </row>
    <row r="796" spans="1:7">
      <c r="A796">
        <v>6214</v>
      </c>
      <c r="B796" t="s">
        <v>1054</v>
      </c>
      <c r="C796">
        <v>4.46</v>
      </c>
      <c r="D796">
        <v>111</v>
      </c>
      <c r="E796">
        <v>18.420000000000002</v>
      </c>
      <c r="F796">
        <v>1.97</v>
      </c>
      <c r="G796" t="s">
        <v>2074</v>
      </c>
    </row>
    <row r="797" spans="1:7">
      <c r="A797">
        <v>6215</v>
      </c>
      <c r="B797" t="s">
        <v>1055</v>
      </c>
      <c r="C797">
        <v>7.09</v>
      </c>
      <c r="D797">
        <v>111</v>
      </c>
      <c r="E797">
        <v>20.82</v>
      </c>
      <c r="F797">
        <v>1.42</v>
      </c>
      <c r="G797" t="s">
        <v>2074</v>
      </c>
    </row>
    <row r="798" spans="1:7">
      <c r="A798">
        <v>6216</v>
      </c>
      <c r="B798" t="s">
        <v>1056</v>
      </c>
      <c r="C798">
        <v>5.41</v>
      </c>
      <c r="D798">
        <v>111</v>
      </c>
      <c r="E798">
        <v>22.85</v>
      </c>
      <c r="F798">
        <v>1.68</v>
      </c>
      <c r="G798" t="s">
        <v>2074</v>
      </c>
    </row>
    <row r="799" spans="1:7">
      <c r="A799">
        <v>6224</v>
      </c>
      <c r="B799" t="s">
        <v>1057</v>
      </c>
      <c r="C799">
        <v>2.6</v>
      </c>
      <c r="D799">
        <v>111</v>
      </c>
      <c r="E799">
        <v>46.45</v>
      </c>
      <c r="F799">
        <v>1.88</v>
      </c>
      <c r="G799" t="s">
        <v>2074</v>
      </c>
    </row>
    <row r="800" spans="1:7">
      <c r="A800">
        <v>6225</v>
      </c>
      <c r="B800" t="s">
        <v>1058</v>
      </c>
      <c r="C800">
        <v>0</v>
      </c>
      <c r="D800">
        <v>111</v>
      </c>
      <c r="E800" t="s">
        <v>271</v>
      </c>
      <c r="F800">
        <v>3.99</v>
      </c>
      <c r="G800" t="s">
        <v>2074</v>
      </c>
    </row>
    <row r="801" spans="1:7">
      <c r="A801">
        <v>6226</v>
      </c>
      <c r="B801" t="s">
        <v>1059</v>
      </c>
      <c r="C801">
        <v>0</v>
      </c>
      <c r="D801">
        <v>111</v>
      </c>
      <c r="E801" t="s">
        <v>271</v>
      </c>
      <c r="F801">
        <v>1.03</v>
      </c>
      <c r="G801" t="s">
        <v>2074</v>
      </c>
    </row>
    <row r="802" spans="1:7">
      <c r="A802">
        <v>6230</v>
      </c>
      <c r="B802" t="s">
        <v>1060</v>
      </c>
      <c r="C802">
        <v>0.71</v>
      </c>
      <c r="D802">
        <v>111</v>
      </c>
      <c r="E802">
        <v>16.3</v>
      </c>
      <c r="F802">
        <v>2.23</v>
      </c>
      <c r="G802" t="s">
        <v>2074</v>
      </c>
    </row>
    <row r="803" spans="1:7">
      <c r="A803">
        <v>6235</v>
      </c>
      <c r="B803" t="s">
        <v>1061</v>
      </c>
      <c r="C803">
        <v>0.61</v>
      </c>
      <c r="D803">
        <v>111</v>
      </c>
      <c r="E803">
        <v>29.36</v>
      </c>
      <c r="F803">
        <v>5.65</v>
      </c>
      <c r="G803" t="s">
        <v>2074</v>
      </c>
    </row>
    <row r="804" spans="1:7">
      <c r="A804">
        <v>6239</v>
      </c>
      <c r="B804" t="s">
        <v>1062</v>
      </c>
      <c r="C804">
        <v>4.96</v>
      </c>
      <c r="D804">
        <v>111</v>
      </c>
      <c r="E804">
        <v>19.53</v>
      </c>
      <c r="F804">
        <v>2.06</v>
      </c>
      <c r="G804" t="s">
        <v>2074</v>
      </c>
    </row>
    <row r="805" spans="1:7">
      <c r="A805">
        <v>6243</v>
      </c>
      <c r="B805" t="s">
        <v>1063</v>
      </c>
      <c r="C805">
        <v>1.61</v>
      </c>
      <c r="D805">
        <v>111</v>
      </c>
      <c r="E805">
        <v>42.87</v>
      </c>
      <c r="F805">
        <v>4.07</v>
      </c>
      <c r="G805" t="s">
        <v>2074</v>
      </c>
    </row>
    <row r="806" spans="1:7">
      <c r="A806">
        <v>6257</v>
      </c>
      <c r="B806" t="s">
        <v>1064</v>
      </c>
      <c r="C806">
        <v>6.44</v>
      </c>
      <c r="D806">
        <v>111</v>
      </c>
      <c r="E806">
        <v>17.34</v>
      </c>
      <c r="F806">
        <v>1.81</v>
      </c>
      <c r="G806" t="s">
        <v>2074</v>
      </c>
    </row>
    <row r="807" spans="1:7">
      <c r="A807">
        <v>6269</v>
      </c>
      <c r="B807" t="s">
        <v>1065</v>
      </c>
      <c r="C807">
        <v>5.66</v>
      </c>
      <c r="D807">
        <v>111</v>
      </c>
      <c r="E807">
        <v>14.38</v>
      </c>
      <c r="F807">
        <v>1.1299999999999999</v>
      </c>
      <c r="G807" t="s">
        <v>2074</v>
      </c>
    </row>
    <row r="808" spans="1:7">
      <c r="A808">
        <v>6271</v>
      </c>
      <c r="B808" t="s">
        <v>1066</v>
      </c>
      <c r="C808">
        <v>6.84</v>
      </c>
      <c r="D808">
        <v>111</v>
      </c>
      <c r="E808">
        <v>29.22</v>
      </c>
      <c r="F808">
        <v>1.37</v>
      </c>
      <c r="G808" t="s">
        <v>2074</v>
      </c>
    </row>
    <row r="809" spans="1:7">
      <c r="A809">
        <v>6277</v>
      </c>
      <c r="B809" t="s">
        <v>1067</v>
      </c>
      <c r="C809">
        <v>7.1</v>
      </c>
      <c r="D809">
        <v>111</v>
      </c>
      <c r="E809">
        <v>14.65</v>
      </c>
      <c r="F809">
        <v>2.08</v>
      </c>
      <c r="G809" t="s">
        <v>2074</v>
      </c>
    </row>
    <row r="810" spans="1:7">
      <c r="A810">
        <v>6278</v>
      </c>
      <c r="B810" t="s">
        <v>1068</v>
      </c>
      <c r="C810">
        <v>7.3</v>
      </c>
      <c r="D810">
        <v>111</v>
      </c>
      <c r="E810">
        <v>10.199999999999999</v>
      </c>
      <c r="F810">
        <v>1.38</v>
      </c>
      <c r="G810" t="s">
        <v>2074</v>
      </c>
    </row>
    <row r="811" spans="1:7">
      <c r="A811">
        <v>6281</v>
      </c>
      <c r="B811" t="s">
        <v>1069</v>
      </c>
      <c r="C811">
        <v>5.88</v>
      </c>
      <c r="D811">
        <v>111</v>
      </c>
      <c r="E811">
        <v>15.98</v>
      </c>
      <c r="F811">
        <v>3.04</v>
      </c>
      <c r="G811" t="s">
        <v>2074</v>
      </c>
    </row>
    <row r="812" spans="1:7">
      <c r="A812">
        <v>6282</v>
      </c>
      <c r="B812" t="s">
        <v>1070</v>
      </c>
      <c r="C812">
        <v>0.49</v>
      </c>
      <c r="D812">
        <v>111</v>
      </c>
      <c r="E812" t="s">
        <v>271</v>
      </c>
      <c r="F812">
        <v>1.51</v>
      </c>
      <c r="G812" t="s">
        <v>2074</v>
      </c>
    </row>
    <row r="813" spans="1:7">
      <c r="A813">
        <v>6283</v>
      </c>
      <c r="B813" t="s">
        <v>1071</v>
      </c>
      <c r="C813">
        <v>0</v>
      </c>
      <c r="D813">
        <v>111</v>
      </c>
      <c r="E813" t="s">
        <v>271</v>
      </c>
      <c r="F813">
        <v>2.4900000000000002</v>
      </c>
      <c r="G813" t="s">
        <v>2074</v>
      </c>
    </row>
    <row r="814" spans="1:7">
      <c r="A814">
        <v>6285</v>
      </c>
      <c r="B814" t="s">
        <v>1072</v>
      </c>
      <c r="C814">
        <v>3.1</v>
      </c>
      <c r="D814">
        <v>111</v>
      </c>
      <c r="E814">
        <v>17.010000000000002</v>
      </c>
      <c r="F814">
        <v>2.65</v>
      </c>
      <c r="G814" t="s">
        <v>2074</v>
      </c>
    </row>
    <row r="815" spans="1:7">
      <c r="A815">
        <v>6288</v>
      </c>
      <c r="B815" t="s">
        <v>1073</v>
      </c>
      <c r="C815">
        <v>0.56999999999999995</v>
      </c>
      <c r="D815">
        <v>111</v>
      </c>
      <c r="E815" t="s">
        <v>271</v>
      </c>
      <c r="F815">
        <v>2.1800000000000002</v>
      </c>
      <c r="G815" t="s">
        <v>2074</v>
      </c>
    </row>
    <row r="816" spans="1:7">
      <c r="A816">
        <v>6405</v>
      </c>
      <c r="B816" t="s">
        <v>1074</v>
      </c>
      <c r="C816">
        <v>0.42</v>
      </c>
      <c r="D816">
        <v>111</v>
      </c>
      <c r="E816" t="s">
        <v>271</v>
      </c>
      <c r="F816">
        <v>0.62</v>
      </c>
      <c r="G816" t="s">
        <v>2074</v>
      </c>
    </row>
    <row r="817" spans="1:7">
      <c r="A817">
        <v>6409</v>
      </c>
      <c r="B817" t="s">
        <v>1075</v>
      </c>
      <c r="C817">
        <v>2.54</v>
      </c>
      <c r="D817">
        <v>111</v>
      </c>
      <c r="E817">
        <v>39.03</v>
      </c>
      <c r="F817">
        <v>19.54</v>
      </c>
      <c r="G817" t="s">
        <v>2074</v>
      </c>
    </row>
    <row r="818" spans="1:7">
      <c r="A818">
        <v>6412</v>
      </c>
      <c r="B818" t="s">
        <v>1076</v>
      </c>
      <c r="C818">
        <v>4.05</v>
      </c>
      <c r="D818">
        <v>111</v>
      </c>
      <c r="E818" s="47">
        <v>18.95</v>
      </c>
      <c r="F818">
        <v>4.4800000000000004</v>
      </c>
      <c r="G818" t="s">
        <v>2074</v>
      </c>
    </row>
    <row r="819" spans="1:7">
      <c r="A819">
        <v>6414</v>
      </c>
      <c r="B819" t="s">
        <v>1077</v>
      </c>
      <c r="C819">
        <v>4.75</v>
      </c>
      <c r="D819">
        <v>111</v>
      </c>
      <c r="E819">
        <v>8.86</v>
      </c>
      <c r="F819">
        <v>1.6</v>
      </c>
      <c r="G819" t="s">
        <v>2074</v>
      </c>
    </row>
    <row r="820" spans="1:7">
      <c r="A820">
        <v>6415</v>
      </c>
      <c r="B820" t="s">
        <v>1078</v>
      </c>
      <c r="C820">
        <v>0.9</v>
      </c>
      <c r="D820">
        <v>111</v>
      </c>
      <c r="E820">
        <v>126.9</v>
      </c>
      <c r="F820">
        <v>6.02</v>
      </c>
      <c r="G820" t="s">
        <v>2074</v>
      </c>
    </row>
    <row r="821" spans="1:7">
      <c r="A821">
        <v>6416</v>
      </c>
      <c r="B821" t="s">
        <v>1079</v>
      </c>
      <c r="C821">
        <v>3.58</v>
      </c>
      <c r="D821">
        <v>111</v>
      </c>
      <c r="E821">
        <v>20.34</v>
      </c>
      <c r="F821">
        <v>2.19</v>
      </c>
      <c r="G821" t="s">
        <v>2074</v>
      </c>
    </row>
    <row r="822" spans="1:7">
      <c r="A822">
        <v>6426</v>
      </c>
      <c r="B822" t="s">
        <v>1080</v>
      </c>
      <c r="C822">
        <v>2.7</v>
      </c>
      <c r="D822">
        <v>111</v>
      </c>
      <c r="E822" t="s">
        <v>271</v>
      </c>
      <c r="F822">
        <v>2.5099999999999998</v>
      </c>
      <c r="G822" t="s">
        <v>2074</v>
      </c>
    </row>
    <row r="823" spans="1:7">
      <c r="A823">
        <v>6431</v>
      </c>
      <c r="B823" t="s">
        <v>1081</v>
      </c>
      <c r="C823">
        <v>0</v>
      </c>
      <c r="D823">
        <v>111</v>
      </c>
      <c r="E823" t="s">
        <v>271</v>
      </c>
      <c r="F823">
        <v>1.99</v>
      </c>
      <c r="G823" t="s">
        <v>2074</v>
      </c>
    </row>
    <row r="824" spans="1:7">
      <c r="A824">
        <v>6438</v>
      </c>
      <c r="B824" t="s">
        <v>1082</v>
      </c>
      <c r="C824">
        <v>5.74</v>
      </c>
      <c r="D824">
        <v>111</v>
      </c>
      <c r="E824">
        <v>11.86</v>
      </c>
      <c r="F824">
        <v>2</v>
      </c>
      <c r="G824" t="s">
        <v>2074</v>
      </c>
    </row>
    <row r="825" spans="1:7">
      <c r="A825">
        <v>6442</v>
      </c>
      <c r="B825" t="s">
        <v>1083</v>
      </c>
      <c r="C825">
        <v>2.99</v>
      </c>
      <c r="D825">
        <v>111</v>
      </c>
      <c r="E825">
        <v>30.83</v>
      </c>
      <c r="F825">
        <v>2.3199999999999998</v>
      </c>
      <c r="G825" t="s">
        <v>2074</v>
      </c>
    </row>
    <row r="826" spans="1:7">
      <c r="A826">
        <v>6443</v>
      </c>
      <c r="B826" t="s">
        <v>1084</v>
      </c>
      <c r="C826">
        <v>0.34</v>
      </c>
      <c r="D826">
        <v>111</v>
      </c>
      <c r="E826">
        <v>27.13</v>
      </c>
      <c r="F826">
        <v>1.99</v>
      </c>
      <c r="G826" t="s">
        <v>2074</v>
      </c>
    </row>
    <row r="827" spans="1:7">
      <c r="A827">
        <v>6449</v>
      </c>
      <c r="B827" t="s">
        <v>1085</v>
      </c>
      <c r="C827">
        <v>3.31</v>
      </c>
      <c r="D827">
        <v>111</v>
      </c>
      <c r="E827">
        <v>20.14</v>
      </c>
      <c r="F827">
        <v>2.08</v>
      </c>
      <c r="G827" t="s">
        <v>2074</v>
      </c>
    </row>
    <row r="828" spans="1:7">
      <c r="A828">
        <v>6451</v>
      </c>
      <c r="B828" t="s">
        <v>1086</v>
      </c>
      <c r="C828">
        <v>0.84</v>
      </c>
      <c r="D828">
        <v>111</v>
      </c>
      <c r="E828">
        <v>59.44</v>
      </c>
      <c r="F828">
        <v>2.23</v>
      </c>
      <c r="G828" t="s">
        <v>2074</v>
      </c>
    </row>
    <row r="829" spans="1:7">
      <c r="A829">
        <v>6456</v>
      </c>
      <c r="B829" t="s">
        <v>1087</v>
      </c>
      <c r="C829">
        <v>5.3</v>
      </c>
      <c r="D829">
        <v>111</v>
      </c>
      <c r="E829" t="s">
        <v>271</v>
      </c>
      <c r="F829">
        <v>0.74</v>
      </c>
      <c r="G829" t="s">
        <v>2074</v>
      </c>
    </row>
    <row r="830" spans="1:7">
      <c r="A830">
        <v>6464</v>
      </c>
      <c r="B830" t="s">
        <v>1088</v>
      </c>
      <c r="C830">
        <v>5.81</v>
      </c>
      <c r="D830">
        <v>111</v>
      </c>
      <c r="E830">
        <v>12.46</v>
      </c>
      <c r="F830">
        <v>1.38</v>
      </c>
      <c r="G830" t="s">
        <v>2074</v>
      </c>
    </row>
    <row r="831" spans="1:7">
      <c r="A831">
        <v>6472</v>
      </c>
      <c r="B831" t="s">
        <v>1832</v>
      </c>
      <c r="C831">
        <v>1.72</v>
      </c>
      <c r="D831">
        <v>111</v>
      </c>
      <c r="E831">
        <v>22.5</v>
      </c>
      <c r="F831">
        <v>8.36</v>
      </c>
      <c r="G831" t="s">
        <v>2074</v>
      </c>
    </row>
    <row r="832" spans="1:7">
      <c r="A832">
        <v>6477</v>
      </c>
      <c r="B832" t="s">
        <v>1089</v>
      </c>
      <c r="C832">
        <v>2.62</v>
      </c>
      <c r="D832">
        <v>111</v>
      </c>
      <c r="E832">
        <v>16.61</v>
      </c>
      <c r="F832">
        <v>1.38</v>
      </c>
      <c r="G832" t="s">
        <v>2074</v>
      </c>
    </row>
    <row r="833" spans="1:7">
      <c r="A833">
        <v>6491</v>
      </c>
      <c r="B833" t="s">
        <v>1090</v>
      </c>
      <c r="C833">
        <v>2.52</v>
      </c>
      <c r="D833">
        <v>111</v>
      </c>
      <c r="E833">
        <v>20.61</v>
      </c>
      <c r="F833">
        <v>3.31</v>
      </c>
      <c r="G833" t="s">
        <v>2074</v>
      </c>
    </row>
    <row r="834" spans="1:7">
      <c r="A834">
        <v>6504</v>
      </c>
      <c r="B834" t="s">
        <v>1091</v>
      </c>
      <c r="C834">
        <v>1.29</v>
      </c>
      <c r="D834">
        <v>111</v>
      </c>
      <c r="E834">
        <v>58.35</v>
      </c>
      <c r="F834">
        <v>1.56</v>
      </c>
      <c r="G834" t="s">
        <v>2074</v>
      </c>
    </row>
    <row r="835" spans="1:7">
      <c r="A835">
        <v>6505</v>
      </c>
      <c r="B835" t="s">
        <v>1092</v>
      </c>
      <c r="C835">
        <v>1.36</v>
      </c>
      <c r="D835">
        <v>111</v>
      </c>
      <c r="E835">
        <v>72.7</v>
      </c>
      <c r="F835">
        <v>2.33</v>
      </c>
      <c r="G835" t="s">
        <v>2074</v>
      </c>
    </row>
    <row r="836" spans="1:7">
      <c r="A836">
        <v>6515</v>
      </c>
      <c r="B836" t="s">
        <v>1093</v>
      </c>
      <c r="C836">
        <v>2.62</v>
      </c>
      <c r="D836">
        <v>111</v>
      </c>
      <c r="E836">
        <v>36.04</v>
      </c>
      <c r="F836">
        <v>8.5500000000000007</v>
      </c>
      <c r="G836" t="s">
        <v>2074</v>
      </c>
    </row>
    <row r="837" spans="1:7">
      <c r="A837">
        <v>6525</v>
      </c>
      <c r="B837" t="s">
        <v>1094</v>
      </c>
      <c r="C837">
        <v>8.0399999999999991</v>
      </c>
      <c r="D837">
        <v>111</v>
      </c>
      <c r="E837">
        <v>15.55</v>
      </c>
      <c r="F837">
        <v>2.13</v>
      </c>
      <c r="G837" t="s">
        <v>2074</v>
      </c>
    </row>
    <row r="838" spans="1:7">
      <c r="A838">
        <v>6526</v>
      </c>
      <c r="B838" t="s">
        <v>2080</v>
      </c>
      <c r="C838">
        <v>2.6</v>
      </c>
      <c r="D838">
        <v>111</v>
      </c>
      <c r="E838">
        <v>86.51</v>
      </c>
      <c r="F838">
        <v>11.31</v>
      </c>
      <c r="G838" t="s">
        <v>2074</v>
      </c>
    </row>
    <row r="839" spans="1:7">
      <c r="A839">
        <v>6531</v>
      </c>
      <c r="B839" t="s">
        <v>1095</v>
      </c>
      <c r="C839">
        <v>1.49</v>
      </c>
      <c r="D839">
        <v>111</v>
      </c>
      <c r="E839">
        <v>66.62</v>
      </c>
      <c r="F839">
        <v>6.95</v>
      </c>
      <c r="G839" t="s">
        <v>2074</v>
      </c>
    </row>
    <row r="840" spans="1:7">
      <c r="A840">
        <v>6533</v>
      </c>
      <c r="B840" t="s">
        <v>1096</v>
      </c>
      <c r="C840">
        <v>0.31</v>
      </c>
      <c r="D840">
        <v>111</v>
      </c>
      <c r="E840" t="s">
        <v>271</v>
      </c>
      <c r="F840">
        <v>4.9400000000000004</v>
      </c>
      <c r="G840" t="s">
        <v>2074</v>
      </c>
    </row>
    <row r="841" spans="1:7">
      <c r="A841">
        <v>6534</v>
      </c>
      <c r="B841" t="s">
        <v>2081</v>
      </c>
      <c r="C841">
        <v>4.82</v>
      </c>
      <c r="D841">
        <v>111</v>
      </c>
      <c r="E841">
        <v>17.579999999999998</v>
      </c>
      <c r="F841">
        <v>3.61</v>
      </c>
      <c r="G841" t="s">
        <v>2074</v>
      </c>
    </row>
    <row r="842" spans="1:7">
      <c r="A842">
        <v>6541</v>
      </c>
      <c r="B842" t="s">
        <v>1097</v>
      </c>
      <c r="C842">
        <v>0</v>
      </c>
      <c r="D842">
        <v>111</v>
      </c>
      <c r="E842" t="s">
        <v>271</v>
      </c>
      <c r="F842">
        <v>6.36</v>
      </c>
      <c r="G842" t="s">
        <v>2074</v>
      </c>
    </row>
    <row r="843" spans="1:7">
      <c r="A843">
        <v>6550</v>
      </c>
      <c r="B843" t="s">
        <v>1098</v>
      </c>
      <c r="C843">
        <v>0</v>
      </c>
      <c r="D843">
        <v>111</v>
      </c>
      <c r="E843" t="s">
        <v>271</v>
      </c>
      <c r="F843">
        <v>6.89</v>
      </c>
      <c r="G843" t="s">
        <v>2074</v>
      </c>
    </row>
    <row r="844" spans="1:7">
      <c r="A844">
        <v>6552</v>
      </c>
      <c r="B844" t="s">
        <v>1099</v>
      </c>
      <c r="C844">
        <v>1.23</v>
      </c>
      <c r="D844">
        <v>111</v>
      </c>
      <c r="E844" t="s">
        <v>271</v>
      </c>
      <c r="F844">
        <v>1.22</v>
      </c>
      <c r="G844" t="s">
        <v>2074</v>
      </c>
    </row>
    <row r="845" spans="1:7">
      <c r="A845">
        <v>6558</v>
      </c>
      <c r="B845" t="s">
        <v>1100</v>
      </c>
      <c r="C845">
        <v>0</v>
      </c>
      <c r="D845">
        <v>111</v>
      </c>
      <c r="E845" t="s">
        <v>271</v>
      </c>
      <c r="F845">
        <v>1.66</v>
      </c>
      <c r="G845" t="s">
        <v>2074</v>
      </c>
    </row>
    <row r="846" spans="1:7">
      <c r="A846">
        <v>6573</v>
      </c>
      <c r="B846" t="s">
        <v>1101</v>
      </c>
      <c r="C846">
        <v>0</v>
      </c>
      <c r="D846">
        <v>111</v>
      </c>
      <c r="E846" t="s">
        <v>271</v>
      </c>
      <c r="F846">
        <v>1.49</v>
      </c>
      <c r="G846" t="s">
        <v>2074</v>
      </c>
    </row>
    <row r="847" spans="1:7">
      <c r="A847">
        <v>6579</v>
      </c>
      <c r="B847" t="s">
        <v>1102</v>
      </c>
      <c r="C847">
        <v>3.14</v>
      </c>
      <c r="D847">
        <v>111</v>
      </c>
      <c r="E847" s="47">
        <v>19.77</v>
      </c>
      <c r="F847">
        <v>2.39</v>
      </c>
      <c r="G847" t="s">
        <v>2074</v>
      </c>
    </row>
    <row r="848" spans="1:7">
      <c r="A848">
        <v>6581</v>
      </c>
      <c r="B848" t="s">
        <v>1103</v>
      </c>
      <c r="C848">
        <v>7.1</v>
      </c>
      <c r="D848">
        <v>111</v>
      </c>
      <c r="E848">
        <v>18.809999999999999</v>
      </c>
      <c r="F848">
        <v>2.6</v>
      </c>
      <c r="G848" t="s">
        <v>2074</v>
      </c>
    </row>
    <row r="849" spans="1:7">
      <c r="A849">
        <v>6582</v>
      </c>
      <c r="B849" t="s">
        <v>1104</v>
      </c>
      <c r="C849">
        <v>2.69</v>
      </c>
      <c r="D849">
        <v>111</v>
      </c>
      <c r="E849" t="s">
        <v>271</v>
      </c>
      <c r="F849">
        <v>1.01</v>
      </c>
      <c r="G849" t="s">
        <v>2074</v>
      </c>
    </row>
    <row r="850" spans="1:7">
      <c r="A850">
        <v>6585</v>
      </c>
      <c r="B850" t="s">
        <v>1105</v>
      </c>
      <c r="C850">
        <v>2.21</v>
      </c>
      <c r="D850">
        <v>111</v>
      </c>
      <c r="E850">
        <v>27.42</v>
      </c>
      <c r="F850">
        <v>3.1</v>
      </c>
      <c r="G850" t="s">
        <v>2074</v>
      </c>
    </row>
    <row r="851" spans="1:7">
      <c r="A851">
        <v>6591</v>
      </c>
      <c r="B851" t="s">
        <v>1106</v>
      </c>
      <c r="C851">
        <v>7.97</v>
      </c>
      <c r="D851">
        <v>111</v>
      </c>
      <c r="E851">
        <v>13.29</v>
      </c>
      <c r="F851">
        <v>0.99</v>
      </c>
      <c r="G851" t="s">
        <v>2074</v>
      </c>
    </row>
    <row r="852" spans="1:7">
      <c r="A852">
        <v>6592</v>
      </c>
      <c r="B852" t="s">
        <v>1107</v>
      </c>
      <c r="C852">
        <v>3.52</v>
      </c>
      <c r="D852">
        <v>111</v>
      </c>
      <c r="E852">
        <v>22.94</v>
      </c>
      <c r="F852">
        <v>2.42</v>
      </c>
      <c r="G852" t="s">
        <v>2074</v>
      </c>
    </row>
    <row r="853" spans="1:7">
      <c r="A853">
        <v>6598</v>
      </c>
      <c r="B853" t="s">
        <v>1108</v>
      </c>
      <c r="C853">
        <v>0</v>
      </c>
      <c r="D853">
        <v>111</v>
      </c>
      <c r="E853" t="s">
        <v>271</v>
      </c>
      <c r="F853">
        <v>2.96</v>
      </c>
      <c r="G853" t="s">
        <v>2074</v>
      </c>
    </row>
    <row r="854" spans="1:7">
      <c r="A854">
        <v>6605</v>
      </c>
      <c r="B854" t="s">
        <v>1109</v>
      </c>
      <c r="C854">
        <v>3.4</v>
      </c>
      <c r="D854">
        <v>111</v>
      </c>
      <c r="E854">
        <v>11.72</v>
      </c>
      <c r="F854">
        <v>1.49</v>
      </c>
      <c r="G854" t="s">
        <v>2074</v>
      </c>
    </row>
    <row r="855" spans="1:7">
      <c r="A855">
        <v>6606</v>
      </c>
      <c r="B855" t="s">
        <v>2082</v>
      </c>
      <c r="C855">
        <v>8.33</v>
      </c>
      <c r="D855">
        <v>111</v>
      </c>
      <c r="E855">
        <v>23.08</v>
      </c>
      <c r="F855">
        <v>1.58</v>
      </c>
      <c r="G855" t="s">
        <v>2074</v>
      </c>
    </row>
    <row r="856" spans="1:7">
      <c r="A856">
        <v>6625</v>
      </c>
      <c r="B856" t="s">
        <v>1110</v>
      </c>
      <c r="C856">
        <v>0</v>
      </c>
      <c r="D856">
        <v>111</v>
      </c>
      <c r="E856">
        <v>16.559999999999999</v>
      </c>
      <c r="F856">
        <v>5.69</v>
      </c>
      <c r="G856" t="s">
        <v>2074</v>
      </c>
    </row>
    <row r="857" spans="1:7">
      <c r="A857">
        <v>6641</v>
      </c>
      <c r="B857" t="s">
        <v>1111</v>
      </c>
      <c r="C857">
        <v>8.01</v>
      </c>
      <c r="D857">
        <v>111</v>
      </c>
      <c r="E857">
        <v>23.62</v>
      </c>
      <c r="F857">
        <v>1.1299999999999999</v>
      </c>
      <c r="G857" t="s">
        <v>2074</v>
      </c>
    </row>
    <row r="858" spans="1:7">
      <c r="A858">
        <v>6645</v>
      </c>
      <c r="B858" t="s">
        <v>2083</v>
      </c>
      <c r="C858">
        <v>2.76</v>
      </c>
      <c r="D858">
        <v>111</v>
      </c>
      <c r="E858" t="s">
        <v>271</v>
      </c>
      <c r="F858">
        <v>3.29</v>
      </c>
      <c r="G858" t="s">
        <v>2074</v>
      </c>
    </row>
    <row r="859" spans="1:7">
      <c r="A859">
        <v>6655</v>
      </c>
      <c r="B859" t="s">
        <v>1112</v>
      </c>
      <c r="C859">
        <v>0</v>
      </c>
      <c r="D859">
        <v>111</v>
      </c>
      <c r="E859">
        <v>34.94</v>
      </c>
      <c r="F859">
        <v>4.08</v>
      </c>
      <c r="G859" t="s">
        <v>2074</v>
      </c>
    </row>
    <row r="860" spans="1:7">
      <c r="A860">
        <v>6657</v>
      </c>
      <c r="B860" t="s">
        <v>2084</v>
      </c>
      <c r="C860">
        <v>0</v>
      </c>
      <c r="D860">
        <v>111</v>
      </c>
      <c r="E860" t="s">
        <v>271</v>
      </c>
      <c r="F860">
        <v>5.33</v>
      </c>
      <c r="G860" t="s">
        <v>2074</v>
      </c>
    </row>
    <row r="861" spans="1:7">
      <c r="A861">
        <v>6658</v>
      </c>
      <c r="B861" t="s">
        <v>2085</v>
      </c>
      <c r="C861">
        <v>4.62</v>
      </c>
      <c r="D861">
        <v>111</v>
      </c>
      <c r="E861">
        <v>17.16</v>
      </c>
      <c r="F861">
        <v>1.38</v>
      </c>
      <c r="G861" t="s">
        <v>2074</v>
      </c>
    </row>
    <row r="862" spans="1:7">
      <c r="A862">
        <v>6666</v>
      </c>
      <c r="B862" t="s">
        <v>1113</v>
      </c>
      <c r="C862">
        <v>1.77</v>
      </c>
      <c r="D862">
        <v>111</v>
      </c>
      <c r="E862">
        <v>45.14</v>
      </c>
      <c r="F862">
        <v>1.81</v>
      </c>
      <c r="G862" t="s">
        <v>2074</v>
      </c>
    </row>
    <row r="863" spans="1:7">
      <c r="A863">
        <v>6668</v>
      </c>
      <c r="B863" t="s">
        <v>1114</v>
      </c>
      <c r="C863">
        <v>0</v>
      </c>
      <c r="D863">
        <v>111</v>
      </c>
      <c r="E863" t="s">
        <v>271</v>
      </c>
      <c r="F863">
        <v>2.4900000000000002</v>
      </c>
      <c r="G863" t="s">
        <v>2074</v>
      </c>
    </row>
    <row r="864" spans="1:7">
      <c r="A864">
        <v>6669</v>
      </c>
      <c r="B864" t="s">
        <v>1115</v>
      </c>
      <c r="C864">
        <v>2.74</v>
      </c>
      <c r="D864">
        <v>111</v>
      </c>
      <c r="E864">
        <v>25.57</v>
      </c>
      <c r="F864">
        <v>7.9</v>
      </c>
      <c r="G864" t="s">
        <v>2074</v>
      </c>
    </row>
    <row r="865" spans="1:7">
      <c r="A865">
        <v>6670</v>
      </c>
      <c r="B865" t="s">
        <v>1116</v>
      </c>
      <c r="C865">
        <v>10.65</v>
      </c>
      <c r="D865">
        <v>111</v>
      </c>
      <c r="E865">
        <v>9.75</v>
      </c>
      <c r="F865">
        <v>2.57</v>
      </c>
      <c r="G865" t="s">
        <v>2074</v>
      </c>
    </row>
    <row r="866" spans="1:7">
      <c r="A866">
        <v>6671</v>
      </c>
      <c r="B866" t="s">
        <v>1117</v>
      </c>
      <c r="C866">
        <v>4.91</v>
      </c>
      <c r="D866">
        <v>111</v>
      </c>
      <c r="E866">
        <v>13.7</v>
      </c>
      <c r="F866">
        <v>1.47</v>
      </c>
      <c r="G866" t="s">
        <v>2074</v>
      </c>
    </row>
    <row r="867" spans="1:7">
      <c r="A867">
        <v>6672</v>
      </c>
      <c r="B867" t="s">
        <v>1118</v>
      </c>
      <c r="C867">
        <v>3.99</v>
      </c>
      <c r="D867">
        <v>111</v>
      </c>
      <c r="E867">
        <v>14.81</v>
      </c>
      <c r="F867">
        <v>1.99</v>
      </c>
      <c r="G867" t="s">
        <v>2074</v>
      </c>
    </row>
    <row r="868" spans="1:7">
      <c r="A868">
        <v>6674</v>
      </c>
      <c r="B868" t="s">
        <v>1119</v>
      </c>
      <c r="C868">
        <v>1.82</v>
      </c>
      <c r="D868">
        <v>111</v>
      </c>
      <c r="E868" t="s">
        <v>271</v>
      </c>
      <c r="F868">
        <v>1.46</v>
      </c>
      <c r="G868" t="s">
        <v>2074</v>
      </c>
    </row>
    <row r="869" spans="1:7">
      <c r="A869">
        <v>6689</v>
      </c>
      <c r="B869" t="s">
        <v>1120</v>
      </c>
      <c r="C869">
        <v>2.1</v>
      </c>
      <c r="D869">
        <v>111</v>
      </c>
      <c r="E869">
        <v>60.41</v>
      </c>
      <c r="F869">
        <v>3.15</v>
      </c>
      <c r="G869" t="s">
        <v>2074</v>
      </c>
    </row>
    <row r="870" spans="1:7">
      <c r="A870">
        <v>6691</v>
      </c>
      <c r="B870" t="s">
        <v>1121</v>
      </c>
      <c r="C870">
        <v>7.05</v>
      </c>
      <c r="D870">
        <v>111</v>
      </c>
      <c r="E870">
        <v>15.14</v>
      </c>
      <c r="F870">
        <v>5.25</v>
      </c>
      <c r="G870" t="s">
        <v>2074</v>
      </c>
    </row>
    <row r="871" spans="1:7">
      <c r="A871">
        <v>6695</v>
      </c>
      <c r="B871" t="s">
        <v>1122</v>
      </c>
      <c r="C871">
        <v>0</v>
      </c>
      <c r="D871">
        <v>111</v>
      </c>
      <c r="E871" t="s">
        <v>271</v>
      </c>
      <c r="F871">
        <v>3.96</v>
      </c>
      <c r="G871" t="s">
        <v>2074</v>
      </c>
    </row>
    <row r="872" spans="1:7">
      <c r="A872">
        <v>6698</v>
      </c>
      <c r="B872" t="s">
        <v>1123</v>
      </c>
      <c r="C872">
        <v>0</v>
      </c>
      <c r="D872">
        <v>111</v>
      </c>
      <c r="E872" t="s">
        <v>271</v>
      </c>
      <c r="F872">
        <v>1.62</v>
      </c>
      <c r="G872" t="s">
        <v>2074</v>
      </c>
    </row>
    <row r="873" spans="1:7">
      <c r="A873">
        <v>6706</v>
      </c>
      <c r="B873" t="s">
        <v>1124</v>
      </c>
      <c r="C873">
        <v>5.25</v>
      </c>
      <c r="D873">
        <v>111</v>
      </c>
      <c r="E873" t="s">
        <v>271</v>
      </c>
      <c r="F873">
        <v>1.28</v>
      </c>
      <c r="G873" t="s">
        <v>2074</v>
      </c>
    </row>
    <row r="874" spans="1:7">
      <c r="A874">
        <v>6715</v>
      </c>
      <c r="B874" t="s">
        <v>1125</v>
      </c>
      <c r="C874">
        <v>2.62</v>
      </c>
      <c r="D874">
        <v>111</v>
      </c>
      <c r="E874">
        <v>23.45</v>
      </c>
      <c r="F874">
        <v>3.78</v>
      </c>
      <c r="G874" t="s">
        <v>2074</v>
      </c>
    </row>
    <row r="875" spans="1:7">
      <c r="A875">
        <v>6719</v>
      </c>
      <c r="B875" t="s">
        <v>1126</v>
      </c>
      <c r="C875">
        <v>3.17</v>
      </c>
      <c r="D875">
        <v>111</v>
      </c>
      <c r="E875">
        <v>448.57</v>
      </c>
      <c r="F875">
        <v>3.13</v>
      </c>
      <c r="G875" t="s">
        <v>2074</v>
      </c>
    </row>
    <row r="876" spans="1:7">
      <c r="A876">
        <v>6742</v>
      </c>
      <c r="B876" t="s">
        <v>2086</v>
      </c>
      <c r="C876">
        <v>3.97</v>
      </c>
      <c r="D876">
        <v>111</v>
      </c>
      <c r="E876">
        <v>16.760000000000002</v>
      </c>
      <c r="F876">
        <v>3.47</v>
      </c>
      <c r="G876" t="s">
        <v>2074</v>
      </c>
    </row>
    <row r="877" spans="1:7">
      <c r="A877">
        <v>6743</v>
      </c>
      <c r="B877" t="s">
        <v>1127</v>
      </c>
      <c r="C877">
        <v>0.96</v>
      </c>
      <c r="D877">
        <v>111</v>
      </c>
      <c r="E877" t="s">
        <v>271</v>
      </c>
      <c r="F877">
        <v>2.81</v>
      </c>
      <c r="G877" t="s">
        <v>2074</v>
      </c>
    </row>
    <row r="878" spans="1:7">
      <c r="A878">
        <v>6753</v>
      </c>
      <c r="B878" t="s">
        <v>2087</v>
      </c>
      <c r="C878">
        <v>1.17</v>
      </c>
      <c r="D878">
        <v>111</v>
      </c>
      <c r="E878">
        <v>19.98</v>
      </c>
      <c r="F878">
        <v>3.31</v>
      </c>
      <c r="G878" t="s">
        <v>2074</v>
      </c>
    </row>
    <row r="879" spans="1:7">
      <c r="A879">
        <v>6754</v>
      </c>
      <c r="B879" t="s">
        <v>1128</v>
      </c>
      <c r="C879">
        <v>6.39</v>
      </c>
      <c r="D879">
        <v>111</v>
      </c>
      <c r="E879">
        <v>11.44</v>
      </c>
      <c r="F879">
        <v>1.83</v>
      </c>
      <c r="G879" t="s">
        <v>2074</v>
      </c>
    </row>
    <row r="880" spans="1:7">
      <c r="A880">
        <v>6756</v>
      </c>
      <c r="B880" t="s">
        <v>1129</v>
      </c>
      <c r="C880">
        <v>2.72</v>
      </c>
      <c r="D880">
        <v>111</v>
      </c>
      <c r="E880">
        <v>89</v>
      </c>
      <c r="F880">
        <v>6.64</v>
      </c>
      <c r="G880" t="s">
        <v>2074</v>
      </c>
    </row>
    <row r="881" spans="1:7">
      <c r="A881">
        <v>6757</v>
      </c>
      <c r="B881" t="s">
        <v>2088</v>
      </c>
      <c r="C881">
        <v>0</v>
      </c>
      <c r="D881">
        <v>111</v>
      </c>
      <c r="E881">
        <v>15.85</v>
      </c>
      <c r="F881">
        <v>4.0199999999999996</v>
      </c>
      <c r="G881" t="s">
        <v>2074</v>
      </c>
    </row>
    <row r="882" spans="1:7">
      <c r="A882">
        <v>6768</v>
      </c>
      <c r="B882" t="s">
        <v>1130</v>
      </c>
      <c r="C882">
        <v>7.47</v>
      </c>
      <c r="D882">
        <v>111</v>
      </c>
      <c r="E882">
        <v>18.079999999999998</v>
      </c>
      <c r="F882">
        <v>0.94</v>
      </c>
      <c r="G882" t="s">
        <v>2074</v>
      </c>
    </row>
    <row r="883" spans="1:7">
      <c r="A883">
        <v>6770</v>
      </c>
      <c r="B883" t="s">
        <v>1131</v>
      </c>
      <c r="C883">
        <v>3.5</v>
      </c>
      <c r="D883">
        <v>111</v>
      </c>
      <c r="E883">
        <v>49.92</v>
      </c>
      <c r="F883">
        <v>1.26</v>
      </c>
      <c r="G883" t="s">
        <v>2074</v>
      </c>
    </row>
    <row r="884" spans="1:7">
      <c r="A884">
        <v>6776</v>
      </c>
      <c r="B884" t="s">
        <v>1132</v>
      </c>
      <c r="C884">
        <v>6.17</v>
      </c>
      <c r="D884">
        <v>111</v>
      </c>
      <c r="E884" s="47">
        <v>11.21</v>
      </c>
      <c r="F884">
        <v>2.27</v>
      </c>
      <c r="G884" t="s">
        <v>2074</v>
      </c>
    </row>
    <row r="885" spans="1:7">
      <c r="A885">
        <v>6781</v>
      </c>
      <c r="B885" t="s">
        <v>1133</v>
      </c>
      <c r="C885">
        <v>2.52</v>
      </c>
      <c r="D885">
        <v>111</v>
      </c>
      <c r="E885">
        <v>28.98</v>
      </c>
      <c r="F885">
        <v>4.96</v>
      </c>
      <c r="G885" t="s">
        <v>2074</v>
      </c>
    </row>
    <row r="886" spans="1:7">
      <c r="A886">
        <v>6782</v>
      </c>
      <c r="B886" t="s">
        <v>1134</v>
      </c>
      <c r="C886">
        <v>2.5299999999999998</v>
      </c>
      <c r="D886">
        <v>111</v>
      </c>
      <c r="E886">
        <v>42.8</v>
      </c>
      <c r="F886">
        <v>4.68</v>
      </c>
      <c r="G886" t="s">
        <v>2074</v>
      </c>
    </row>
    <row r="887" spans="1:7">
      <c r="A887">
        <v>6789</v>
      </c>
      <c r="B887" t="s">
        <v>1135</v>
      </c>
      <c r="C887">
        <v>0.72</v>
      </c>
      <c r="D887">
        <v>111</v>
      </c>
      <c r="E887">
        <v>156.21</v>
      </c>
      <c r="F887">
        <v>5.27</v>
      </c>
      <c r="G887" t="s">
        <v>2074</v>
      </c>
    </row>
    <row r="888" spans="1:7">
      <c r="A888">
        <v>6790</v>
      </c>
      <c r="B888" t="s">
        <v>1136</v>
      </c>
      <c r="C888">
        <v>5.42</v>
      </c>
      <c r="D888">
        <v>111</v>
      </c>
      <c r="E888">
        <v>14.77</v>
      </c>
      <c r="F888">
        <v>2.08</v>
      </c>
      <c r="G888" t="s">
        <v>2074</v>
      </c>
    </row>
    <row r="889" spans="1:7">
      <c r="A889">
        <v>6792</v>
      </c>
      <c r="B889" t="s">
        <v>1137</v>
      </c>
      <c r="C889">
        <v>5.68</v>
      </c>
      <c r="D889">
        <v>111</v>
      </c>
      <c r="E889">
        <v>17.29</v>
      </c>
      <c r="F889">
        <v>2.48</v>
      </c>
      <c r="G889" t="s">
        <v>2074</v>
      </c>
    </row>
    <row r="890" spans="1:7">
      <c r="A890">
        <v>6796</v>
      </c>
      <c r="B890" t="s">
        <v>1138</v>
      </c>
      <c r="C890">
        <v>1.65</v>
      </c>
      <c r="D890">
        <v>111</v>
      </c>
      <c r="E890">
        <v>50.46</v>
      </c>
      <c r="F890">
        <v>4.8499999999999996</v>
      </c>
      <c r="G890" t="s">
        <v>2074</v>
      </c>
    </row>
    <row r="891" spans="1:7">
      <c r="A891">
        <v>6799</v>
      </c>
      <c r="B891" t="s">
        <v>1139</v>
      </c>
      <c r="C891">
        <v>1.57</v>
      </c>
      <c r="D891">
        <v>111</v>
      </c>
      <c r="E891">
        <v>36.549999999999997</v>
      </c>
      <c r="F891">
        <v>5.9</v>
      </c>
      <c r="G891" t="s">
        <v>2074</v>
      </c>
    </row>
    <row r="892" spans="1:7">
      <c r="A892">
        <v>6805</v>
      </c>
      <c r="B892" t="s">
        <v>2089</v>
      </c>
      <c r="C892">
        <v>1.05</v>
      </c>
      <c r="D892">
        <v>111</v>
      </c>
      <c r="E892">
        <v>44.07</v>
      </c>
      <c r="F892">
        <v>8.8800000000000008</v>
      </c>
      <c r="G892" t="s">
        <v>2074</v>
      </c>
    </row>
    <row r="893" spans="1:7">
      <c r="A893">
        <v>6806</v>
      </c>
      <c r="B893" t="s">
        <v>1140</v>
      </c>
      <c r="C893">
        <v>0.47</v>
      </c>
      <c r="D893">
        <v>111</v>
      </c>
      <c r="E893">
        <v>63.77</v>
      </c>
      <c r="F893">
        <v>2.1800000000000002</v>
      </c>
      <c r="G893" t="s">
        <v>2074</v>
      </c>
    </row>
    <row r="894" spans="1:7">
      <c r="A894">
        <v>6807</v>
      </c>
      <c r="B894" t="s">
        <v>1141</v>
      </c>
      <c r="C894">
        <v>4.99</v>
      </c>
      <c r="D894">
        <v>111</v>
      </c>
      <c r="E894">
        <v>9.1300000000000008</v>
      </c>
      <c r="F894">
        <v>0.99</v>
      </c>
      <c r="G894" t="s">
        <v>2074</v>
      </c>
    </row>
    <row r="895" spans="1:7">
      <c r="A895">
        <v>6830</v>
      </c>
      <c r="B895" t="s">
        <v>1142</v>
      </c>
      <c r="C895">
        <v>3.89</v>
      </c>
      <c r="D895">
        <v>111</v>
      </c>
      <c r="E895">
        <v>22.18</v>
      </c>
      <c r="F895">
        <v>2.64</v>
      </c>
      <c r="G895" t="s">
        <v>2074</v>
      </c>
    </row>
    <row r="896" spans="1:7">
      <c r="A896">
        <v>6834</v>
      </c>
      <c r="B896" t="s">
        <v>1143</v>
      </c>
      <c r="C896">
        <v>4.47</v>
      </c>
      <c r="D896">
        <v>111</v>
      </c>
      <c r="E896" t="s">
        <v>271</v>
      </c>
      <c r="F896">
        <v>1.5</v>
      </c>
      <c r="G896" t="s">
        <v>2074</v>
      </c>
    </row>
    <row r="897" spans="1:7">
      <c r="A897">
        <v>6835</v>
      </c>
      <c r="B897" t="s">
        <v>1144</v>
      </c>
      <c r="C897">
        <v>4.42</v>
      </c>
      <c r="D897">
        <v>111</v>
      </c>
      <c r="E897">
        <v>17.45</v>
      </c>
      <c r="F897">
        <v>1.9</v>
      </c>
      <c r="G897" t="s">
        <v>2074</v>
      </c>
    </row>
    <row r="898" spans="1:7">
      <c r="A898">
        <v>6854</v>
      </c>
      <c r="B898" t="s">
        <v>1145</v>
      </c>
      <c r="C898">
        <v>0</v>
      </c>
      <c r="D898">
        <v>111</v>
      </c>
      <c r="E898" t="s">
        <v>271</v>
      </c>
      <c r="F898">
        <v>5.0199999999999996</v>
      </c>
      <c r="G898" t="s">
        <v>2074</v>
      </c>
    </row>
    <row r="899" spans="1:7">
      <c r="A899">
        <v>6861</v>
      </c>
      <c r="B899" t="s">
        <v>2090</v>
      </c>
      <c r="C899">
        <v>1.52</v>
      </c>
      <c r="D899">
        <v>111</v>
      </c>
      <c r="E899">
        <v>24.94</v>
      </c>
      <c r="F899">
        <v>2.67</v>
      </c>
      <c r="G899" t="s">
        <v>2074</v>
      </c>
    </row>
    <row r="900" spans="1:7">
      <c r="A900">
        <v>6863</v>
      </c>
      <c r="B900" t="s">
        <v>2091</v>
      </c>
      <c r="C900">
        <v>1.37</v>
      </c>
      <c r="D900">
        <v>111</v>
      </c>
      <c r="E900">
        <v>31.69</v>
      </c>
      <c r="F900">
        <v>2.04</v>
      </c>
      <c r="G900" t="s">
        <v>2074</v>
      </c>
    </row>
    <row r="901" spans="1:7">
      <c r="A901">
        <v>6869</v>
      </c>
      <c r="B901" t="s">
        <v>2092</v>
      </c>
      <c r="C901">
        <v>2.11</v>
      </c>
      <c r="D901">
        <v>111</v>
      </c>
      <c r="E901">
        <v>10.220000000000001</v>
      </c>
      <c r="F901">
        <v>2.94</v>
      </c>
      <c r="G901" t="s">
        <v>2074</v>
      </c>
    </row>
    <row r="902" spans="1:7">
      <c r="A902">
        <v>6873</v>
      </c>
      <c r="B902" t="s">
        <v>2093</v>
      </c>
      <c r="C902">
        <v>3.07</v>
      </c>
      <c r="D902">
        <v>111</v>
      </c>
      <c r="E902">
        <v>17.329999999999998</v>
      </c>
      <c r="F902">
        <v>2.6</v>
      </c>
      <c r="G902" t="s">
        <v>2074</v>
      </c>
    </row>
    <row r="903" spans="1:7">
      <c r="A903">
        <v>6901</v>
      </c>
      <c r="B903" t="s">
        <v>2094</v>
      </c>
      <c r="C903">
        <v>4.0999999999999996</v>
      </c>
      <c r="D903">
        <v>111</v>
      </c>
      <c r="E903" t="s">
        <v>271</v>
      </c>
      <c r="F903">
        <v>3.27</v>
      </c>
      <c r="G903" t="s">
        <v>2074</v>
      </c>
    </row>
    <row r="904" spans="1:7">
      <c r="A904">
        <v>6902</v>
      </c>
      <c r="B904" t="s">
        <v>2095</v>
      </c>
      <c r="C904">
        <v>0</v>
      </c>
      <c r="D904">
        <v>111</v>
      </c>
      <c r="E904" t="s">
        <v>271</v>
      </c>
      <c r="F904">
        <v>11.14</v>
      </c>
      <c r="G904" t="s">
        <v>2074</v>
      </c>
    </row>
    <row r="905" spans="1:7">
      <c r="A905">
        <v>6916</v>
      </c>
      <c r="B905" t="s">
        <v>2096</v>
      </c>
      <c r="C905">
        <v>8.5</v>
      </c>
      <c r="D905">
        <v>111</v>
      </c>
      <c r="E905">
        <v>7.44</v>
      </c>
      <c r="F905">
        <v>1.79</v>
      </c>
      <c r="G905" t="s">
        <v>2074</v>
      </c>
    </row>
    <row r="906" spans="1:7">
      <c r="A906">
        <v>6933</v>
      </c>
      <c r="B906" t="s">
        <v>2097</v>
      </c>
      <c r="C906">
        <v>0</v>
      </c>
      <c r="D906">
        <v>111</v>
      </c>
      <c r="E906">
        <v>46.37</v>
      </c>
      <c r="F906">
        <v>6.37</v>
      </c>
      <c r="G906" t="s">
        <v>2074</v>
      </c>
    </row>
    <row r="907" spans="1:7">
      <c r="A907">
        <v>6937</v>
      </c>
      <c r="B907" t="s">
        <v>2098</v>
      </c>
      <c r="C907">
        <v>0.42</v>
      </c>
      <c r="D907">
        <v>111</v>
      </c>
      <c r="E907">
        <v>42.9</v>
      </c>
      <c r="F907">
        <v>7.31</v>
      </c>
      <c r="G907" t="s">
        <v>2074</v>
      </c>
    </row>
    <row r="908" spans="1:7">
      <c r="A908">
        <v>8011</v>
      </c>
      <c r="B908" t="s">
        <v>1146</v>
      </c>
      <c r="C908">
        <v>0</v>
      </c>
      <c r="D908">
        <v>111</v>
      </c>
      <c r="E908" t="s">
        <v>271</v>
      </c>
      <c r="F908">
        <v>1.38</v>
      </c>
      <c r="G908" t="s">
        <v>2074</v>
      </c>
    </row>
    <row r="909" spans="1:7">
      <c r="A909">
        <v>8016</v>
      </c>
      <c r="B909" t="s">
        <v>1147</v>
      </c>
      <c r="C909">
        <v>7.91</v>
      </c>
      <c r="D909">
        <v>111</v>
      </c>
      <c r="E909">
        <v>18.5</v>
      </c>
      <c r="F909">
        <v>3.2</v>
      </c>
      <c r="G909" t="s">
        <v>2074</v>
      </c>
    </row>
    <row r="910" spans="1:7">
      <c r="A910">
        <v>8021</v>
      </c>
      <c r="B910" t="s">
        <v>1148</v>
      </c>
      <c r="C910">
        <v>7.14</v>
      </c>
      <c r="D910">
        <v>111</v>
      </c>
      <c r="E910" t="s">
        <v>271</v>
      </c>
      <c r="F910">
        <v>0.9</v>
      </c>
      <c r="G910" t="s">
        <v>2074</v>
      </c>
    </row>
    <row r="911" spans="1:7">
      <c r="A911">
        <v>8028</v>
      </c>
      <c r="B911" t="s">
        <v>1149</v>
      </c>
      <c r="C911">
        <v>3.45</v>
      </c>
      <c r="D911">
        <v>111</v>
      </c>
      <c r="E911">
        <v>22.55</v>
      </c>
      <c r="F911">
        <v>2.64</v>
      </c>
      <c r="G911" t="s">
        <v>2074</v>
      </c>
    </row>
    <row r="912" spans="1:7">
      <c r="A912">
        <v>8033</v>
      </c>
      <c r="B912" t="s">
        <v>1150</v>
      </c>
      <c r="C912">
        <v>0</v>
      </c>
      <c r="D912">
        <v>111</v>
      </c>
      <c r="E912" t="s">
        <v>271</v>
      </c>
      <c r="F912">
        <v>6.59</v>
      </c>
      <c r="G912" t="s">
        <v>2074</v>
      </c>
    </row>
    <row r="913" spans="1:7">
      <c r="A913">
        <v>8039</v>
      </c>
      <c r="B913" t="s">
        <v>1151</v>
      </c>
      <c r="C913">
        <v>5.0999999999999996</v>
      </c>
      <c r="D913">
        <v>111</v>
      </c>
      <c r="E913">
        <v>26.95</v>
      </c>
      <c r="F913">
        <v>1.29</v>
      </c>
      <c r="G913" t="s">
        <v>2074</v>
      </c>
    </row>
    <row r="914" spans="1:7">
      <c r="A914">
        <v>8046</v>
      </c>
      <c r="B914" t="s">
        <v>1152</v>
      </c>
      <c r="C914">
        <v>7.16</v>
      </c>
      <c r="D914">
        <v>111</v>
      </c>
      <c r="E914">
        <v>16.05</v>
      </c>
      <c r="F914">
        <v>3.43</v>
      </c>
      <c r="G914" t="s">
        <v>2074</v>
      </c>
    </row>
    <row r="915" spans="1:7">
      <c r="A915">
        <v>8070</v>
      </c>
      <c r="B915" t="s">
        <v>1153</v>
      </c>
      <c r="C915">
        <v>7.25</v>
      </c>
      <c r="D915">
        <v>111</v>
      </c>
      <c r="E915">
        <v>14.66</v>
      </c>
      <c r="F915">
        <v>1.66</v>
      </c>
      <c r="G915" t="s">
        <v>2074</v>
      </c>
    </row>
    <row r="916" spans="1:7">
      <c r="A916">
        <v>8072</v>
      </c>
      <c r="B916" t="s">
        <v>1154</v>
      </c>
      <c r="C916">
        <v>3.68</v>
      </c>
      <c r="D916">
        <v>111</v>
      </c>
      <c r="E916">
        <v>33.94</v>
      </c>
      <c r="F916">
        <v>0.97</v>
      </c>
      <c r="G916" t="s">
        <v>2074</v>
      </c>
    </row>
    <row r="917" spans="1:7">
      <c r="A917">
        <v>8081</v>
      </c>
      <c r="B917" t="s">
        <v>1155</v>
      </c>
      <c r="C917">
        <v>5.3</v>
      </c>
      <c r="D917">
        <v>111</v>
      </c>
      <c r="E917">
        <v>16.78</v>
      </c>
      <c r="F917">
        <v>3.31</v>
      </c>
      <c r="G917" t="s">
        <v>2074</v>
      </c>
    </row>
    <row r="918" spans="1:7">
      <c r="A918">
        <v>8101</v>
      </c>
      <c r="B918" t="s">
        <v>1156</v>
      </c>
      <c r="C918">
        <v>0</v>
      </c>
      <c r="D918">
        <v>111</v>
      </c>
      <c r="E918" t="s">
        <v>271</v>
      </c>
      <c r="F918">
        <v>2.33</v>
      </c>
      <c r="G918" t="s">
        <v>2074</v>
      </c>
    </row>
    <row r="919" spans="1:7">
      <c r="A919">
        <v>8103</v>
      </c>
      <c r="B919" t="s">
        <v>1157</v>
      </c>
      <c r="C919">
        <v>4.4400000000000004</v>
      </c>
      <c r="D919">
        <v>111</v>
      </c>
      <c r="E919">
        <v>15.96</v>
      </c>
      <c r="F919">
        <v>1.1399999999999999</v>
      </c>
      <c r="G919" t="s">
        <v>2074</v>
      </c>
    </row>
    <row r="920" spans="1:7">
      <c r="A920">
        <v>8104</v>
      </c>
      <c r="B920" t="s">
        <v>1158</v>
      </c>
      <c r="C920">
        <v>4.29</v>
      </c>
      <c r="D920">
        <v>111</v>
      </c>
      <c r="E920" t="s">
        <v>271</v>
      </c>
      <c r="F920">
        <v>1.36</v>
      </c>
      <c r="G920" t="s">
        <v>2074</v>
      </c>
    </row>
    <row r="921" spans="1:7">
      <c r="A921">
        <v>8105</v>
      </c>
      <c r="B921" t="s">
        <v>1159</v>
      </c>
      <c r="C921">
        <v>1.49</v>
      </c>
      <c r="D921">
        <v>111</v>
      </c>
      <c r="E921">
        <v>21.69</v>
      </c>
      <c r="F921">
        <v>0.75</v>
      </c>
      <c r="G921" t="s">
        <v>2074</v>
      </c>
    </row>
    <row r="922" spans="1:7">
      <c r="A922">
        <v>8110</v>
      </c>
      <c r="B922" t="s">
        <v>1160</v>
      </c>
      <c r="C922">
        <v>0.98</v>
      </c>
      <c r="D922">
        <v>111</v>
      </c>
      <c r="E922" t="s">
        <v>271</v>
      </c>
      <c r="F922">
        <v>0.76</v>
      </c>
      <c r="G922" t="s">
        <v>2074</v>
      </c>
    </row>
    <row r="923" spans="1:7">
      <c r="A923">
        <v>8112</v>
      </c>
      <c r="B923" t="s">
        <v>1161</v>
      </c>
      <c r="C923">
        <v>7.27</v>
      </c>
      <c r="D923">
        <v>111</v>
      </c>
      <c r="E923">
        <v>20.51</v>
      </c>
      <c r="F923">
        <v>1.93</v>
      </c>
      <c r="G923" t="s">
        <v>2074</v>
      </c>
    </row>
    <row r="924" spans="1:7">
      <c r="A924">
        <v>8114</v>
      </c>
      <c r="B924" t="s">
        <v>1162</v>
      </c>
      <c r="C924">
        <v>5.68</v>
      </c>
      <c r="D924">
        <v>111</v>
      </c>
      <c r="E924">
        <v>20.36</v>
      </c>
      <c r="F924">
        <v>2.4900000000000002</v>
      </c>
      <c r="G924" t="s">
        <v>2074</v>
      </c>
    </row>
    <row r="925" spans="1:7">
      <c r="A925">
        <v>8131</v>
      </c>
      <c r="B925" t="s">
        <v>1163</v>
      </c>
      <c r="C925">
        <v>8.4600000000000009</v>
      </c>
      <c r="D925">
        <v>111</v>
      </c>
      <c r="E925">
        <v>21.91</v>
      </c>
      <c r="F925">
        <v>1.48</v>
      </c>
      <c r="G925" t="s">
        <v>2074</v>
      </c>
    </row>
    <row r="926" spans="1:7">
      <c r="A926">
        <v>8150</v>
      </c>
      <c r="B926" t="s">
        <v>1164</v>
      </c>
      <c r="C926">
        <v>5.44</v>
      </c>
      <c r="D926">
        <v>111</v>
      </c>
      <c r="E926">
        <v>19.649999999999999</v>
      </c>
      <c r="F926">
        <v>1.26</v>
      </c>
      <c r="G926" t="s">
        <v>2074</v>
      </c>
    </row>
    <row r="927" spans="1:7">
      <c r="A927">
        <v>8163</v>
      </c>
      <c r="B927" t="s">
        <v>1165</v>
      </c>
      <c r="C927">
        <v>5.54</v>
      </c>
      <c r="D927">
        <v>111</v>
      </c>
      <c r="E927">
        <v>8.69</v>
      </c>
      <c r="F927">
        <v>1.23</v>
      </c>
      <c r="G927" t="s">
        <v>2074</v>
      </c>
    </row>
    <row r="928" spans="1:7">
      <c r="A928">
        <v>8201</v>
      </c>
      <c r="B928" t="s">
        <v>1166</v>
      </c>
      <c r="C928">
        <v>0</v>
      </c>
      <c r="D928">
        <v>111</v>
      </c>
      <c r="E928" t="s">
        <v>271</v>
      </c>
      <c r="F928">
        <v>2.08</v>
      </c>
      <c r="G928" t="s">
        <v>2074</v>
      </c>
    </row>
    <row r="929" spans="1:7">
      <c r="A929">
        <v>8210</v>
      </c>
      <c r="B929" t="s">
        <v>1167</v>
      </c>
      <c r="C929">
        <v>1.47</v>
      </c>
      <c r="D929">
        <v>111</v>
      </c>
      <c r="E929">
        <v>47.88</v>
      </c>
      <c r="F929">
        <v>6.45</v>
      </c>
      <c r="G929" t="s">
        <v>2074</v>
      </c>
    </row>
    <row r="930" spans="1:7">
      <c r="A930">
        <v>8213</v>
      </c>
      <c r="B930" t="s">
        <v>1168</v>
      </c>
      <c r="C930">
        <v>5.77</v>
      </c>
      <c r="D930">
        <v>111</v>
      </c>
      <c r="E930">
        <v>10.83</v>
      </c>
      <c r="F930">
        <v>0.8</v>
      </c>
      <c r="G930" t="s">
        <v>2074</v>
      </c>
    </row>
    <row r="931" spans="1:7">
      <c r="A931">
        <v>8215</v>
      </c>
      <c r="B931" t="s">
        <v>1169</v>
      </c>
      <c r="C931">
        <v>5.77</v>
      </c>
      <c r="D931">
        <v>111</v>
      </c>
      <c r="E931">
        <v>18.93</v>
      </c>
      <c r="F931">
        <v>1.91</v>
      </c>
      <c r="G931" t="s">
        <v>2074</v>
      </c>
    </row>
    <row r="932" spans="1:7">
      <c r="A932">
        <v>8222</v>
      </c>
      <c r="B932" t="s">
        <v>1170</v>
      </c>
      <c r="C932">
        <v>0</v>
      </c>
      <c r="D932">
        <v>111</v>
      </c>
      <c r="E932">
        <v>60.51</v>
      </c>
      <c r="F932">
        <v>3.89</v>
      </c>
      <c r="G932" t="s">
        <v>2074</v>
      </c>
    </row>
    <row r="933" spans="1:7">
      <c r="A933">
        <v>8249</v>
      </c>
      <c r="B933" t="s">
        <v>1171</v>
      </c>
      <c r="C933">
        <v>6.37</v>
      </c>
      <c r="D933">
        <v>111</v>
      </c>
      <c r="E933">
        <v>16.48</v>
      </c>
      <c r="F933">
        <v>0.77</v>
      </c>
      <c r="G933" t="s">
        <v>2074</v>
      </c>
    </row>
    <row r="934" spans="1:7">
      <c r="A934">
        <v>8261</v>
      </c>
      <c r="B934" t="s">
        <v>1172</v>
      </c>
      <c r="C934">
        <v>5.0999999999999996</v>
      </c>
      <c r="D934">
        <v>111</v>
      </c>
      <c r="E934">
        <v>33.200000000000003</v>
      </c>
      <c r="F934">
        <v>2.2000000000000002</v>
      </c>
      <c r="G934" t="s">
        <v>2074</v>
      </c>
    </row>
    <row r="935" spans="1:7">
      <c r="A935">
        <v>8271</v>
      </c>
      <c r="B935" t="s">
        <v>1173</v>
      </c>
      <c r="C935">
        <v>5.33</v>
      </c>
      <c r="D935">
        <v>111</v>
      </c>
      <c r="E935">
        <v>14.74</v>
      </c>
      <c r="F935">
        <v>1.82</v>
      </c>
      <c r="G935" t="s">
        <v>2074</v>
      </c>
    </row>
    <row r="936" spans="1:7">
      <c r="A936">
        <v>8341</v>
      </c>
      <c r="B936" t="s">
        <v>1174</v>
      </c>
      <c r="C936">
        <v>6.52</v>
      </c>
      <c r="D936">
        <v>111</v>
      </c>
      <c r="E936">
        <v>31.25</v>
      </c>
      <c r="F936">
        <v>3.02</v>
      </c>
      <c r="G936" t="s">
        <v>2074</v>
      </c>
    </row>
    <row r="937" spans="1:7">
      <c r="A937">
        <v>8367</v>
      </c>
      <c r="B937" t="s">
        <v>1175</v>
      </c>
      <c r="C937">
        <v>5.42</v>
      </c>
      <c r="D937">
        <v>111</v>
      </c>
      <c r="E937">
        <v>15.63</v>
      </c>
      <c r="F937">
        <v>1.37</v>
      </c>
      <c r="G937" t="s">
        <v>2074</v>
      </c>
    </row>
    <row r="938" spans="1:7">
      <c r="A938">
        <v>8374</v>
      </c>
      <c r="B938" t="s">
        <v>1176</v>
      </c>
      <c r="C938">
        <v>1.77</v>
      </c>
      <c r="D938">
        <v>111</v>
      </c>
      <c r="E938" t="s">
        <v>271</v>
      </c>
      <c r="F938">
        <v>1.6</v>
      </c>
      <c r="G938" t="s">
        <v>2074</v>
      </c>
    </row>
    <row r="939" spans="1:7">
      <c r="A939">
        <v>8404</v>
      </c>
      <c r="B939" t="s">
        <v>1177</v>
      </c>
      <c r="C939">
        <v>3.54</v>
      </c>
      <c r="D939">
        <v>111</v>
      </c>
      <c r="E939" t="s">
        <v>271</v>
      </c>
      <c r="F939">
        <v>1.3</v>
      </c>
      <c r="G939" t="s">
        <v>2074</v>
      </c>
    </row>
    <row r="940" spans="1:7">
      <c r="A940">
        <v>8411</v>
      </c>
      <c r="B940" t="s">
        <v>1178</v>
      </c>
      <c r="C940">
        <v>0</v>
      </c>
      <c r="D940">
        <v>111</v>
      </c>
      <c r="E940">
        <v>46.06</v>
      </c>
      <c r="F940">
        <v>0.56999999999999995</v>
      </c>
      <c r="G940" t="s">
        <v>2074</v>
      </c>
    </row>
    <row r="941" spans="1:7">
      <c r="A941">
        <v>8422</v>
      </c>
      <c r="B941" t="s">
        <v>1179</v>
      </c>
      <c r="C941">
        <v>5.55</v>
      </c>
      <c r="D941">
        <v>111</v>
      </c>
      <c r="E941">
        <v>17</v>
      </c>
      <c r="F941">
        <v>3.26</v>
      </c>
      <c r="G941" t="s">
        <v>2074</v>
      </c>
    </row>
    <row r="942" spans="1:7">
      <c r="A942">
        <v>8429</v>
      </c>
      <c r="B942" t="s">
        <v>1180</v>
      </c>
      <c r="C942">
        <v>0</v>
      </c>
      <c r="D942">
        <v>111</v>
      </c>
      <c r="E942" t="s">
        <v>271</v>
      </c>
      <c r="F942">
        <v>0.32</v>
      </c>
      <c r="G942" t="s">
        <v>2074</v>
      </c>
    </row>
    <row r="943" spans="1:7">
      <c r="A943">
        <v>8438</v>
      </c>
      <c r="B943" t="s">
        <v>1181</v>
      </c>
      <c r="C943">
        <v>3.82</v>
      </c>
      <c r="D943">
        <v>111</v>
      </c>
      <c r="E943">
        <v>28.48</v>
      </c>
      <c r="F943">
        <v>1.08</v>
      </c>
      <c r="G943" t="s">
        <v>2074</v>
      </c>
    </row>
    <row r="944" spans="1:7">
      <c r="A944">
        <v>8442</v>
      </c>
      <c r="B944" t="s">
        <v>1182</v>
      </c>
      <c r="C944">
        <v>4.71</v>
      </c>
      <c r="D944">
        <v>111</v>
      </c>
      <c r="E944">
        <v>10.01</v>
      </c>
      <c r="F944">
        <v>2.37</v>
      </c>
      <c r="G944" t="s">
        <v>2074</v>
      </c>
    </row>
    <row r="945" spans="1:7">
      <c r="A945">
        <v>8443</v>
      </c>
      <c r="B945" t="s">
        <v>1183</v>
      </c>
      <c r="C945">
        <v>0</v>
      </c>
      <c r="D945">
        <v>111</v>
      </c>
      <c r="E945" t="s">
        <v>271</v>
      </c>
      <c r="F945">
        <v>0.97</v>
      </c>
      <c r="G945" t="s">
        <v>2074</v>
      </c>
    </row>
    <row r="946" spans="1:7">
      <c r="A946">
        <v>8454</v>
      </c>
      <c r="B946" t="s">
        <v>1184</v>
      </c>
      <c r="C946">
        <v>2.95</v>
      </c>
      <c r="D946">
        <v>111</v>
      </c>
      <c r="E946">
        <v>34.93</v>
      </c>
      <c r="F946">
        <v>13.7</v>
      </c>
      <c r="G946" t="s">
        <v>2074</v>
      </c>
    </row>
    <row r="947" spans="1:7">
      <c r="A947">
        <v>8462</v>
      </c>
      <c r="B947" t="s">
        <v>1185</v>
      </c>
      <c r="C947">
        <v>1.26</v>
      </c>
      <c r="D947">
        <v>111</v>
      </c>
      <c r="E947">
        <v>164</v>
      </c>
      <c r="F947">
        <v>5.76</v>
      </c>
      <c r="G947" t="s">
        <v>2074</v>
      </c>
    </row>
    <row r="948" spans="1:7">
      <c r="A948">
        <v>8463</v>
      </c>
      <c r="B948" t="s">
        <v>1186</v>
      </c>
      <c r="C948">
        <v>0.92</v>
      </c>
      <c r="D948">
        <v>111</v>
      </c>
      <c r="E948">
        <v>31.58</v>
      </c>
      <c r="F948">
        <v>1.7</v>
      </c>
      <c r="G948" t="s">
        <v>2074</v>
      </c>
    </row>
    <row r="949" spans="1:7">
      <c r="A949">
        <v>8464</v>
      </c>
      <c r="B949" t="s">
        <v>1187</v>
      </c>
      <c r="C949">
        <v>3.12</v>
      </c>
      <c r="D949">
        <v>111</v>
      </c>
      <c r="E949">
        <v>18.670000000000002</v>
      </c>
      <c r="F949">
        <v>4.5</v>
      </c>
      <c r="G949" t="s">
        <v>2074</v>
      </c>
    </row>
    <row r="950" spans="1:7">
      <c r="A950">
        <v>8466</v>
      </c>
      <c r="B950" t="s">
        <v>1188</v>
      </c>
      <c r="C950">
        <v>2.98</v>
      </c>
      <c r="D950">
        <v>111</v>
      </c>
      <c r="E950" t="s">
        <v>271</v>
      </c>
      <c r="F950">
        <v>1.29</v>
      </c>
      <c r="G950" t="s">
        <v>2074</v>
      </c>
    </row>
    <row r="951" spans="1:7">
      <c r="A951">
        <v>8467</v>
      </c>
      <c r="B951" t="s">
        <v>1189</v>
      </c>
      <c r="C951">
        <v>3.98</v>
      </c>
      <c r="D951">
        <v>111</v>
      </c>
      <c r="E951">
        <v>22.02</v>
      </c>
      <c r="F951">
        <v>3.3</v>
      </c>
      <c r="G951" t="s">
        <v>2074</v>
      </c>
    </row>
    <row r="952" spans="1:7">
      <c r="A952">
        <v>8473</v>
      </c>
      <c r="B952" t="s">
        <v>1190</v>
      </c>
      <c r="C952">
        <v>0</v>
      </c>
      <c r="D952">
        <v>111</v>
      </c>
      <c r="E952" t="s">
        <v>271</v>
      </c>
      <c r="F952">
        <v>0.82</v>
      </c>
      <c r="G952" t="s">
        <v>2074</v>
      </c>
    </row>
    <row r="953" spans="1:7">
      <c r="A953">
        <v>8476</v>
      </c>
      <c r="B953" t="s">
        <v>2019</v>
      </c>
      <c r="C953">
        <v>5.01</v>
      </c>
      <c r="D953">
        <v>111</v>
      </c>
      <c r="E953">
        <v>6.15</v>
      </c>
      <c r="F953">
        <v>2.4</v>
      </c>
      <c r="G953" t="s">
        <v>2074</v>
      </c>
    </row>
    <row r="954" spans="1:7">
      <c r="A954">
        <v>8478</v>
      </c>
      <c r="B954" t="s">
        <v>1191</v>
      </c>
      <c r="C954">
        <v>2.62</v>
      </c>
      <c r="D954">
        <v>111</v>
      </c>
      <c r="E954">
        <v>17.18</v>
      </c>
      <c r="F954">
        <v>5.96</v>
      </c>
      <c r="G954" t="s">
        <v>2074</v>
      </c>
    </row>
    <row r="955" spans="1:7">
      <c r="A955">
        <v>8481</v>
      </c>
      <c r="B955" t="s">
        <v>1192</v>
      </c>
      <c r="C955">
        <v>7.44</v>
      </c>
      <c r="D955">
        <v>111</v>
      </c>
      <c r="E955">
        <v>24.69</v>
      </c>
      <c r="F955">
        <v>2.12</v>
      </c>
      <c r="G955" t="s">
        <v>2074</v>
      </c>
    </row>
    <row r="956" spans="1:7">
      <c r="A956">
        <v>8482</v>
      </c>
      <c r="B956" t="s">
        <v>1193</v>
      </c>
      <c r="C956">
        <v>9.01</v>
      </c>
      <c r="D956">
        <v>111</v>
      </c>
      <c r="E956">
        <v>16.55</v>
      </c>
      <c r="F956">
        <v>2.16</v>
      </c>
      <c r="G956" t="s">
        <v>2074</v>
      </c>
    </row>
    <row r="957" spans="1:7">
      <c r="A957">
        <v>8488</v>
      </c>
      <c r="B957" t="s">
        <v>1194</v>
      </c>
      <c r="C957">
        <v>0</v>
      </c>
      <c r="D957">
        <v>111</v>
      </c>
      <c r="E957" t="s">
        <v>271</v>
      </c>
      <c r="F957">
        <v>0.48</v>
      </c>
      <c r="G957" t="s">
        <v>2074</v>
      </c>
    </row>
    <row r="958" spans="1:7">
      <c r="A958">
        <v>8499</v>
      </c>
      <c r="B958" t="s">
        <v>1195</v>
      </c>
      <c r="C958">
        <v>1.56</v>
      </c>
      <c r="D958">
        <v>111</v>
      </c>
      <c r="E958">
        <v>9.49</v>
      </c>
      <c r="F958">
        <v>0.69</v>
      </c>
      <c r="G958" t="s">
        <v>2074</v>
      </c>
    </row>
    <row r="959" spans="1:7">
      <c r="A959">
        <v>8926</v>
      </c>
      <c r="B959" t="s">
        <v>1196</v>
      </c>
      <c r="C959">
        <v>3.73</v>
      </c>
      <c r="D959">
        <v>111</v>
      </c>
      <c r="E959">
        <v>17.649999999999999</v>
      </c>
      <c r="F959">
        <v>1.92</v>
      </c>
      <c r="G959" t="s">
        <v>2074</v>
      </c>
    </row>
    <row r="960" spans="1:7">
      <c r="A960">
        <v>8940</v>
      </c>
      <c r="B960" t="s">
        <v>1197</v>
      </c>
      <c r="C960">
        <v>0</v>
      </c>
      <c r="D960">
        <v>111</v>
      </c>
      <c r="E960">
        <v>20.79</v>
      </c>
      <c r="F960">
        <v>3.16</v>
      </c>
      <c r="G960" t="s">
        <v>2074</v>
      </c>
    </row>
    <row r="961" spans="1:7">
      <c r="A961">
        <v>8996</v>
      </c>
      <c r="B961" t="s">
        <v>1198</v>
      </c>
      <c r="C961">
        <v>0.67</v>
      </c>
      <c r="D961">
        <v>111</v>
      </c>
      <c r="E961">
        <v>31.1</v>
      </c>
      <c r="F961">
        <v>8.14</v>
      </c>
      <c r="G961" t="s">
        <v>2074</v>
      </c>
    </row>
    <row r="962" spans="1:7">
      <c r="A962">
        <v>9802</v>
      </c>
      <c r="B962" t="s">
        <v>1199</v>
      </c>
      <c r="C962">
        <v>5.39</v>
      </c>
      <c r="D962">
        <v>111</v>
      </c>
      <c r="E962">
        <v>12.48</v>
      </c>
      <c r="F962">
        <v>1.93</v>
      </c>
      <c r="G962" t="s">
        <v>2074</v>
      </c>
    </row>
    <row r="963" spans="1:7">
      <c r="A963">
        <v>9902</v>
      </c>
      <c r="B963" t="s">
        <v>1200</v>
      </c>
      <c r="C963">
        <v>0</v>
      </c>
      <c r="D963">
        <v>111</v>
      </c>
      <c r="E963">
        <v>61.43</v>
      </c>
      <c r="F963">
        <v>1.02</v>
      </c>
      <c r="G963" t="s">
        <v>2074</v>
      </c>
    </row>
    <row r="964" spans="1:7">
      <c r="A964">
        <v>9904</v>
      </c>
      <c r="B964" t="s">
        <v>1201</v>
      </c>
      <c r="C964">
        <v>4.21</v>
      </c>
      <c r="D964">
        <v>111</v>
      </c>
      <c r="E964">
        <v>11.66</v>
      </c>
      <c r="F964">
        <v>0.75</v>
      </c>
      <c r="G964" t="s">
        <v>2074</v>
      </c>
    </row>
    <row r="965" spans="1:7">
      <c r="A965">
        <v>9905</v>
      </c>
      <c r="B965" t="s">
        <v>1202</v>
      </c>
      <c r="C965">
        <v>4.96</v>
      </c>
      <c r="D965">
        <v>111</v>
      </c>
      <c r="E965">
        <v>16.239999999999998</v>
      </c>
      <c r="F965">
        <v>0.98</v>
      </c>
      <c r="G965" t="s">
        <v>2074</v>
      </c>
    </row>
    <row r="966" spans="1:7">
      <c r="A966">
        <v>9906</v>
      </c>
      <c r="B966" t="s">
        <v>1203</v>
      </c>
      <c r="C966">
        <v>8.25</v>
      </c>
      <c r="D966">
        <v>111</v>
      </c>
      <c r="E966">
        <v>8.48</v>
      </c>
      <c r="F966">
        <v>3.02</v>
      </c>
      <c r="G966" t="s">
        <v>2074</v>
      </c>
    </row>
    <row r="967" spans="1:7">
      <c r="A967">
        <v>9907</v>
      </c>
      <c r="B967" t="s">
        <v>1204</v>
      </c>
      <c r="C967">
        <v>9.16</v>
      </c>
      <c r="D967">
        <v>111</v>
      </c>
      <c r="E967">
        <v>34.36</v>
      </c>
      <c r="F967">
        <v>1.32</v>
      </c>
      <c r="G967" t="s">
        <v>2074</v>
      </c>
    </row>
    <row r="968" spans="1:7">
      <c r="A968">
        <v>9908</v>
      </c>
      <c r="B968" t="s">
        <v>1205</v>
      </c>
      <c r="C968">
        <v>3.36</v>
      </c>
      <c r="D968">
        <v>111</v>
      </c>
      <c r="E968">
        <v>14.8</v>
      </c>
      <c r="F968">
        <v>1.26</v>
      </c>
      <c r="G968" t="s">
        <v>2074</v>
      </c>
    </row>
    <row r="969" spans="1:7">
      <c r="A969">
        <v>9910</v>
      </c>
      <c r="B969" t="s">
        <v>1206</v>
      </c>
      <c r="C969">
        <v>5.09</v>
      </c>
      <c r="D969">
        <v>111</v>
      </c>
      <c r="E969">
        <v>32.35</v>
      </c>
      <c r="F969">
        <v>7.55</v>
      </c>
      <c r="G969" t="s">
        <v>2074</v>
      </c>
    </row>
    <row r="970" spans="1:7">
      <c r="A970">
        <v>9911</v>
      </c>
      <c r="B970" t="s">
        <v>1207</v>
      </c>
      <c r="C970">
        <v>5.32</v>
      </c>
      <c r="D970">
        <v>111</v>
      </c>
      <c r="E970">
        <v>15.34</v>
      </c>
      <c r="F970">
        <v>2.68</v>
      </c>
      <c r="G970" t="s">
        <v>2074</v>
      </c>
    </row>
    <row r="971" spans="1:7">
      <c r="A971">
        <v>9912</v>
      </c>
      <c r="B971" t="s">
        <v>1208</v>
      </c>
      <c r="C971">
        <v>0</v>
      </c>
      <c r="D971">
        <v>111</v>
      </c>
      <c r="E971" t="s">
        <v>271</v>
      </c>
      <c r="F971">
        <v>1.36</v>
      </c>
      <c r="G971" t="s">
        <v>2074</v>
      </c>
    </row>
    <row r="972" spans="1:7">
      <c r="A972">
        <v>9914</v>
      </c>
      <c r="B972" t="s">
        <v>1209</v>
      </c>
      <c r="C972">
        <v>3.84</v>
      </c>
      <c r="D972">
        <v>111</v>
      </c>
      <c r="E972">
        <v>23.73</v>
      </c>
      <c r="F972">
        <v>2.54</v>
      </c>
      <c r="G972" t="s">
        <v>2074</v>
      </c>
    </row>
    <row r="973" spans="1:7">
      <c r="A973">
        <v>9917</v>
      </c>
      <c r="B973" t="s">
        <v>1210</v>
      </c>
      <c r="C973">
        <v>4.2699999999999996</v>
      </c>
      <c r="D973">
        <v>111</v>
      </c>
      <c r="E973">
        <v>20.03</v>
      </c>
      <c r="F973">
        <v>4.3600000000000003</v>
      </c>
      <c r="G973" t="s">
        <v>2074</v>
      </c>
    </row>
    <row r="974" spans="1:7">
      <c r="A974">
        <v>9918</v>
      </c>
      <c r="B974" t="s">
        <v>1211</v>
      </c>
      <c r="C974">
        <v>2.44</v>
      </c>
      <c r="D974">
        <v>111</v>
      </c>
      <c r="E974">
        <v>23.01</v>
      </c>
      <c r="F974">
        <v>2.36</v>
      </c>
      <c r="G974" t="s">
        <v>2074</v>
      </c>
    </row>
    <row r="975" spans="1:7">
      <c r="A975">
        <v>9919</v>
      </c>
      <c r="B975" t="s">
        <v>1212</v>
      </c>
      <c r="C975">
        <v>0.56999999999999995</v>
      </c>
      <c r="D975">
        <v>111</v>
      </c>
      <c r="E975">
        <v>7.84</v>
      </c>
      <c r="F975">
        <v>1.66</v>
      </c>
      <c r="G975" t="s">
        <v>2074</v>
      </c>
    </row>
    <row r="976" spans="1:7">
      <c r="A976">
        <v>9921</v>
      </c>
      <c r="B976" t="s">
        <v>1213</v>
      </c>
      <c r="C976">
        <v>4.24</v>
      </c>
      <c r="D976">
        <v>111</v>
      </c>
      <c r="E976">
        <v>21.65</v>
      </c>
      <c r="F976">
        <v>2.14</v>
      </c>
      <c r="G976" t="s">
        <v>2074</v>
      </c>
    </row>
    <row r="977" spans="1:7">
      <c r="A977">
        <v>9924</v>
      </c>
      <c r="B977" t="s">
        <v>1214</v>
      </c>
      <c r="C977">
        <v>6.06</v>
      </c>
      <c r="D977">
        <v>111</v>
      </c>
      <c r="E977">
        <v>10.54</v>
      </c>
      <c r="F977">
        <v>1.33</v>
      </c>
      <c r="G977" t="s">
        <v>2074</v>
      </c>
    </row>
    <row r="978" spans="1:7">
      <c r="A978">
        <v>9925</v>
      </c>
      <c r="B978" t="s">
        <v>1215</v>
      </c>
      <c r="C978">
        <v>4.96</v>
      </c>
      <c r="D978">
        <v>111</v>
      </c>
      <c r="E978">
        <v>16.739999999999998</v>
      </c>
      <c r="F978">
        <v>1.44</v>
      </c>
      <c r="G978" t="s">
        <v>2074</v>
      </c>
    </row>
    <row r="979" spans="1:7">
      <c r="A979">
        <v>9926</v>
      </c>
      <c r="B979" t="s">
        <v>1216</v>
      </c>
      <c r="C979">
        <v>3.57</v>
      </c>
      <c r="D979">
        <v>111</v>
      </c>
      <c r="E979">
        <v>21.71</v>
      </c>
      <c r="F979">
        <v>2.63</v>
      </c>
      <c r="G979" t="s">
        <v>2074</v>
      </c>
    </row>
    <row r="980" spans="1:7">
      <c r="A980">
        <v>9927</v>
      </c>
      <c r="B980" t="s">
        <v>1217</v>
      </c>
      <c r="C980">
        <v>5.67</v>
      </c>
      <c r="D980">
        <v>111</v>
      </c>
      <c r="E980">
        <v>12.11</v>
      </c>
      <c r="F980">
        <v>1.89</v>
      </c>
      <c r="G980" t="s">
        <v>2074</v>
      </c>
    </row>
    <row r="981" spans="1:7">
      <c r="A981">
        <v>9928</v>
      </c>
      <c r="B981" t="s">
        <v>1218</v>
      </c>
      <c r="C981">
        <v>0</v>
      </c>
      <c r="D981">
        <v>111</v>
      </c>
      <c r="E981" t="s">
        <v>271</v>
      </c>
      <c r="F981">
        <v>3.76</v>
      </c>
      <c r="G981" t="s">
        <v>2074</v>
      </c>
    </row>
    <row r="982" spans="1:7">
      <c r="A982">
        <v>9929</v>
      </c>
      <c r="B982" t="s">
        <v>1219</v>
      </c>
      <c r="C982">
        <v>0</v>
      </c>
      <c r="D982">
        <v>111</v>
      </c>
      <c r="E982">
        <v>55.16</v>
      </c>
      <c r="F982">
        <v>1.81</v>
      </c>
      <c r="G982" t="s">
        <v>2074</v>
      </c>
    </row>
    <row r="983" spans="1:7">
      <c r="A983">
        <v>9930</v>
      </c>
      <c r="B983" t="s">
        <v>1220</v>
      </c>
      <c r="C983">
        <v>4.34</v>
      </c>
      <c r="D983">
        <v>111</v>
      </c>
      <c r="E983">
        <v>18.7</v>
      </c>
      <c r="F983">
        <v>2.44</v>
      </c>
      <c r="G983" t="s">
        <v>2074</v>
      </c>
    </row>
    <row r="984" spans="1:7">
      <c r="A984">
        <v>9931</v>
      </c>
      <c r="B984" t="s">
        <v>1221</v>
      </c>
      <c r="C984">
        <v>3.03</v>
      </c>
      <c r="D984">
        <v>111</v>
      </c>
      <c r="E984">
        <v>30.66</v>
      </c>
      <c r="F984">
        <v>1.88</v>
      </c>
      <c r="G984" t="s">
        <v>2074</v>
      </c>
    </row>
    <row r="985" spans="1:7">
      <c r="A985">
        <v>9933</v>
      </c>
      <c r="B985" t="s">
        <v>1222</v>
      </c>
      <c r="C985">
        <v>4.51</v>
      </c>
      <c r="D985">
        <v>111</v>
      </c>
      <c r="E985">
        <v>19.329999999999998</v>
      </c>
      <c r="F985">
        <v>1.92</v>
      </c>
      <c r="G985" t="s">
        <v>2074</v>
      </c>
    </row>
    <row r="986" spans="1:7">
      <c r="A986">
        <v>9934</v>
      </c>
      <c r="B986" t="s">
        <v>1223</v>
      </c>
      <c r="C986">
        <v>0</v>
      </c>
      <c r="D986">
        <v>111</v>
      </c>
      <c r="E986">
        <v>12.66</v>
      </c>
      <c r="F986">
        <v>1.06</v>
      </c>
      <c r="G986" t="s">
        <v>2074</v>
      </c>
    </row>
    <row r="987" spans="1:7">
      <c r="A987">
        <v>9935</v>
      </c>
      <c r="B987" t="s">
        <v>1224</v>
      </c>
      <c r="C987">
        <v>4.04</v>
      </c>
      <c r="D987">
        <v>111</v>
      </c>
      <c r="E987">
        <v>35.89</v>
      </c>
      <c r="F987">
        <v>1.67</v>
      </c>
      <c r="G987" t="s">
        <v>2074</v>
      </c>
    </row>
    <row r="988" spans="1:7">
      <c r="A988">
        <v>9937</v>
      </c>
      <c r="B988" t="s">
        <v>1225</v>
      </c>
      <c r="C988">
        <v>2.99</v>
      </c>
      <c r="D988">
        <v>111</v>
      </c>
      <c r="E988">
        <v>28.46</v>
      </c>
      <c r="F988">
        <v>4.08</v>
      </c>
      <c r="G988" t="s">
        <v>2074</v>
      </c>
    </row>
    <row r="989" spans="1:7">
      <c r="A989">
        <v>9938</v>
      </c>
      <c r="B989" t="s">
        <v>1226</v>
      </c>
      <c r="C989">
        <v>4.34</v>
      </c>
      <c r="D989">
        <v>111</v>
      </c>
      <c r="E989">
        <v>30.64</v>
      </c>
      <c r="F989">
        <v>1.47</v>
      </c>
      <c r="G989" t="s">
        <v>2074</v>
      </c>
    </row>
    <row r="990" spans="1:7">
      <c r="A990">
        <v>9939</v>
      </c>
      <c r="B990" t="s">
        <v>1227</v>
      </c>
      <c r="C990">
        <v>3.84</v>
      </c>
      <c r="D990">
        <v>111</v>
      </c>
      <c r="E990">
        <v>15.53</v>
      </c>
      <c r="F990">
        <v>2.23</v>
      </c>
      <c r="G990" t="s">
        <v>2074</v>
      </c>
    </row>
    <row r="991" spans="1:7">
      <c r="A991">
        <v>9940</v>
      </c>
      <c r="B991" t="s">
        <v>1228</v>
      </c>
      <c r="C991">
        <v>4.01</v>
      </c>
      <c r="D991">
        <v>111</v>
      </c>
      <c r="E991">
        <v>13.93</v>
      </c>
      <c r="F991">
        <v>1.77</v>
      </c>
      <c r="G991" t="s">
        <v>2074</v>
      </c>
    </row>
    <row r="992" spans="1:7">
      <c r="A992">
        <v>9941</v>
      </c>
      <c r="B992" t="s">
        <v>1229</v>
      </c>
      <c r="C992">
        <v>3.55</v>
      </c>
      <c r="D992">
        <v>111</v>
      </c>
      <c r="E992">
        <v>18.329999999999998</v>
      </c>
      <c r="F992">
        <v>3.44</v>
      </c>
      <c r="G992" t="s">
        <v>2074</v>
      </c>
    </row>
    <row r="993" spans="1:7">
      <c r="A993">
        <v>9942</v>
      </c>
      <c r="B993" t="s">
        <v>1230</v>
      </c>
      <c r="C993">
        <v>4.16</v>
      </c>
      <c r="D993">
        <v>111</v>
      </c>
      <c r="E993">
        <v>11.63</v>
      </c>
      <c r="F993">
        <v>2.96</v>
      </c>
      <c r="G993" t="s">
        <v>2074</v>
      </c>
    </row>
    <row r="994" spans="1:7">
      <c r="A994">
        <v>9943</v>
      </c>
      <c r="B994" t="s">
        <v>1231</v>
      </c>
      <c r="C994">
        <v>3.65</v>
      </c>
      <c r="D994">
        <v>111</v>
      </c>
      <c r="E994">
        <v>14.1</v>
      </c>
      <c r="F994">
        <v>2.88</v>
      </c>
      <c r="G994" t="s">
        <v>2074</v>
      </c>
    </row>
    <row r="995" spans="1:7">
      <c r="A995">
        <v>9944</v>
      </c>
      <c r="B995" t="s">
        <v>1232</v>
      </c>
      <c r="C995">
        <v>5.2</v>
      </c>
      <c r="D995">
        <v>111</v>
      </c>
      <c r="E995">
        <v>6.05</v>
      </c>
      <c r="F995">
        <v>0.6</v>
      </c>
      <c r="G995" t="s">
        <v>2074</v>
      </c>
    </row>
    <row r="996" spans="1:7">
      <c r="A996">
        <v>9945</v>
      </c>
      <c r="B996" t="s">
        <v>1233</v>
      </c>
      <c r="C996">
        <v>0</v>
      </c>
      <c r="D996">
        <v>111</v>
      </c>
      <c r="E996">
        <v>18.149999999999999</v>
      </c>
      <c r="F996">
        <v>1.26</v>
      </c>
      <c r="G996" t="s">
        <v>2074</v>
      </c>
    </row>
    <row r="997" spans="1:7">
      <c r="A997">
        <v>9946</v>
      </c>
      <c r="B997" t="s">
        <v>1234</v>
      </c>
      <c r="C997">
        <v>2.11</v>
      </c>
      <c r="D997">
        <v>111</v>
      </c>
      <c r="E997">
        <v>120</v>
      </c>
      <c r="F997">
        <v>1.04</v>
      </c>
      <c r="G997" t="s">
        <v>2074</v>
      </c>
    </row>
    <row r="998" spans="1:7">
      <c r="A998">
        <v>9955</v>
      </c>
      <c r="B998" t="s">
        <v>1235</v>
      </c>
      <c r="C998">
        <v>0</v>
      </c>
      <c r="D998">
        <v>111</v>
      </c>
      <c r="E998" t="s">
        <v>271</v>
      </c>
      <c r="F998">
        <v>1.88</v>
      </c>
      <c r="G998" t="s">
        <v>2074</v>
      </c>
    </row>
    <row r="999" spans="1:7">
      <c r="A999">
        <v>9958</v>
      </c>
      <c r="B999" t="s">
        <v>1236</v>
      </c>
      <c r="C999">
        <v>0.28000000000000003</v>
      </c>
      <c r="D999">
        <v>111</v>
      </c>
      <c r="E999">
        <v>91.36</v>
      </c>
      <c r="F999">
        <v>5.19</v>
      </c>
      <c r="G999" t="s">
        <v>2074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5EECC-971F-4CF3-9D69-668C440F5628}">
  <sheetPr codeName="工作表25"/>
  <dimension ref="A1:G815"/>
  <sheetViews>
    <sheetView topLeftCell="A786" workbookViewId="0">
      <selection activeCell="A3" sqref="A3:B810"/>
    </sheetView>
  </sheetViews>
  <sheetFormatPr baseColWidth="10" defaultColWidth="8.83203125" defaultRowHeight="15"/>
  <cols>
    <col min="1" max="1" width="80.83203125" bestFit="1" customWidth="1"/>
    <col min="2" max="2" width="12.83203125" bestFit="1" customWidth="1"/>
    <col min="3" max="3" width="8.5" bestFit="1" customWidth="1"/>
    <col min="4" max="4" width="12.83203125" bestFit="1" customWidth="1"/>
    <col min="5" max="5" width="10.5" bestFit="1" customWidth="1"/>
    <col min="6" max="6" width="11.5" bestFit="1" customWidth="1"/>
    <col min="7" max="7" width="12.83203125" bestFit="1" customWidth="1"/>
  </cols>
  <sheetData>
    <row r="1" spans="1:7">
      <c r="A1" t="s">
        <v>2099</v>
      </c>
    </row>
    <row r="2" spans="1:7">
      <c r="A2" t="s">
        <v>1237</v>
      </c>
      <c r="B2" t="s">
        <v>1238</v>
      </c>
      <c r="C2" t="s">
        <v>265</v>
      </c>
      <c r="D2" t="s">
        <v>1239</v>
      </c>
      <c r="E2" t="s">
        <v>264</v>
      </c>
      <c r="F2" t="s">
        <v>263</v>
      </c>
      <c r="G2" t="s">
        <v>266</v>
      </c>
    </row>
    <row r="3" spans="1:7">
      <c r="A3">
        <v>1240</v>
      </c>
      <c r="B3" t="s">
        <v>1240</v>
      </c>
      <c r="C3">
        <v>17.07</v>
      </c>
      <c r="D3">
        <v>1.2</v>
      </c>
      <c r="E3">
        <v>111</v>
      </c>
      <c r="F3">
        <v>2.5099999999999998</v>
      </c>
      <c r="G3">
        <v>1.47</v>
      </c>
    </row>
    <row r="4" spans="1:7">
      <c r="A4">
        <v>1259</v>
      </c>
      <c r="B4" t="s">
        <v>1242</v>
      </c>
      <c r="C4">
        <v>14.01</v>
      </c>
      <c r="D4">
        <v>2.6</v>
      </c>
      <c r="E4">
        <v>111</v>
      </c>
      <c r="F4">
        <v>3.39</v>
      </c>
      <c r="G4">
        <v>1.02</v>
      </c>
    </row>
    <row r="5" spans="1:7">
      <c r="A5">
        <v>1264</v>
      </c>
      <c r="B5" t="s">
        <v>1243</v>
      </c>
      <c r="C5">
        <v>16.100000000000001</v>
      </c>
      <c r="D5">
        <v>12</v>
      </c>
      <c r="E5">
        <v>111</v>
      </c>
      <c r="F5">
        <v>4.12</v>
      </c>
      <c r="G5">
        <v>3.58</v>
      </c>
    </row>
    <row r="6" spans="1:7">
      <c r="A6">
        <v>1268</v>
      </c>
      <c r="B6" t="s">
        <v>1244</v>
      </c>
      <c r="C6">
        <v>17.62</v>
      </c>
      <c r="D6">
        <v>3</v>
      </c>
      <c r="E6">
        <v>111</v>
      </c>
      <c r="F6">
        <v>1.92</v>
      </c>
      <c r="G6">
        <v>3.2</v>
      </c>
    </row>
    <row r="7" spans="1:7">
      <c r="A7">
        <v>1336</v>
      </c>
      <c r="B7" t="s">
        <v>1245</v>
      </c>
      <c r="C7">
        <v>17.52</v>
      </c>
      <c r="D7">
        <v>0.41</v>
      </c>
      <c r="E7">
        <v>111</v>
      </c>
      <c r="F7">
        <v>1.93</v>
      </c>
      <c r="G7">
        <v>0.92</v>
      </c>
    </row>
    <row r="8" spans="1:7">
      <c r="A8">
        <v>1565</v>
      </c>
      <c r="B8" t="s">
        <v>1246</v>
      </c>
      <c r="C8">
        <v>15.51</v>
      </c>
      <c r="D8">
        <v>13.5</v>
      </c>
      <c r="E8">
        <v>111</v>
      </c>
      <c r="F8">
        <v>7.11</v>
      </c>
      <c r="G8">
        <v>1.59</v>
      </c>
    </row>
    <row r="9" spans="1:7">
      <c r="A9">
        <v>1569</v>
      </c>
      <c r="B9" t="s">
        <v>1247</v>
      </c>
      <c r="C9" t="s">
        <v>1259</v>
      </c>
      <c r="D9">
        <v>2</v>
      </c>
      <c r="E9">
        <v>111</v>
      </c>
      <c r="F9">
        <v>8.4</v>
      </c>
      <c r="G9">
        <v>0.87</v>
      </c>
    </row>
    <row r="10" spans="1:7">
      <c r="A10">
        <v>1570</v>
      </c>
      <c r="B10" t="s">
        <v>1248</v>
      </c>
      <c r="C10">
        <v>28.65</v>
      </c>
      <c r="D10">
        <v>1</v>
      </c>
      <c r="E10">
        <v>111</v>
      </c>
      <c r="F10">
        <v>4.72</v>
      </c>
      <c r="G10">
        <v>1.23</v>
      </c>
    </row>
    <row r="11" spans="1:7">
      <c r="A11">
        <v>1580</v>
      </c>
      <c r="B11" t="s">
        <v>1249</v>
      </c>
      <c r="C11">
        <v>14.29</v>
      </c>
      <c r="D11">
        <v>6</v>
      </c>
      <c r="E11">
        <v>111</v>
      </c>
      <c r="F11">
        <v>3.92</v>
      </c>
      <c r="G11">
        <v>2.77</v>
      </c>
    </row>
    <row r="12" spans="1:7">
      <c r="A12">
        <v>1584</v>
      </c>
      <c r="B12" t="s">
        <v>1250</v>
      </c>
      <c r="C12">
        <v>27.46</v>
      </c>
      <c r="D12">
        <v>0.7</v>
      </c>
      <c r="E12">
        <v>111</v>
      </c>
      <c r="F12">
        <v>1.96</v>
      </c>
      <c r="G12">
        <v>2.02</v>
      </c>
    </row>
    <row r="13" spans="1:7">
      <c r="A13">
        <v>1586</v>
      </c>
      <c r="B13" t="s">
        <v>1251</v>
      </c>
      <c r="C13" t="s">
        <v>1259</v>
      </c>
      <c r="D13">
        <v>0.25</v>
      </c>
      <c r="E13">
        <v>111</v>
      </c>
      <c r="F13">
        <v>0.74</v>
      </c>
      <c r="G13">
        <v>1.86</v>
      </c>
    </row>
    <row r="14" spans="1:7">
      <c r="A14">
        <v>1591</v>
      </c>
      <c r="B14" t="s">
        <v>1252</v>
      </c>
      <c r="C14" t="s">
        <v>1259</v>
      </c>
      <c r="D14">
        <v>0.5</v>
      </c>
      <c r="E14">
        <v>111</v>
      </c>
      <c r="F14">
        <v>0.97</v>
      </c>
      <c r="G14">
        <v>3.94</v>
      </c>
    </row>
    <row r="15" spans="1:7">
      <c r="A15">
        <v>1593</v>
      </c>
      <c r="B15" t="s">
        <v>1253</v>
      </c>
      <c r="C15">
        <v>27.03</v>
      </c>
      <c r="D15">
        <v>3.1799810599999998</v>
      </c>
      <c r="E15">
        <v>111</v>
      </c>
      <c r="F15">
        <v>6.13</v>
      </c>
      <c r="G15">
        <v>1.56</v>
      </c>
    </row>
    <row r="16" spans="1:7">
      <c r="A16">
        <v>1595</v>
      </c>
      <c r="B16" t="s">
        <v>1254</v>
      </c>
      <c r="C16">
        <v>27.55</v>
      </c>
      <c r="D16">
        <v>2.0260001999999999</v>
      </c>
      <c r="E16">
        <v>111</v>
      </c>
      <c r="F16">
        <v>5.37</v>
      </c>
      <c r="G16">
        <v>0.67</v>
      </c>
    </row>
    <row r="17" spans="1:7">
      <c r="A17">
        <v>1599</v>
      </c>
      <c r="B17" t="s">
        <v>1255</v>
      </c>
      <c r="C17">
        <v>28.78</v>
      </c>
      <c r="D17">
        <v>1.5</v>
      </c>
      <c r="E17">
        <v>111</v>
      </c>
      <c r="F17">
        <v>4.24</v>
      </c>
      <c r="G17">
        <v>1.31</v>
      </c>
    </row>
    <row r="18" spans="1:7">
      <c r="A18">
        <v>1742</v>
      </c>
      <c r="B18" t="s">
        <v>1256</v>
      </c>
      <c r="C18" t="s">
        <v>1259</v>
      </c>
      <c r="D18">
        <v>0</v>
      </c>
      <c r="E18">
        <v>111</v>
      </c>
      <c r="F18">
        <v>0</v>
      </c>
      <c r="G18">
        <v>1.1599999999999999</v>
      </c>
    </row>
    <row r="19" spans="1:7">
      <c r="A19">
        <v>1777</v>
      </c>
      <c r="B19" t="s">
        <v>1257</v>
      </c>
      <c r="C19">
        <v>15.27</v>
      </c>
      <c r="D19">
        <v>3</v>
      </c>
      <c r="E19">
        <v>111</v>
      </c>
      <c r="F19">
        <v>3.52</v>
      </c>
      <c r="G19">
        <v>1.66</v>
      </c>
    </row>
    <row r="20" spans="1:7">
      <c r="A20">
        <v>1781</v>
      </c>
      <c r="B20" t="s">
        <v>1258</v>
      </c>
      <c r="C20" t="s">
        <v>1259</v>
      </c>
      <c r="D20">
        <v>0</v>
      </c>
      <c r="E20">
        <v>111</v>
      </c>
      <c r="F20">
        <v>0</v>
      </c>
      <c r="G20">
        <v>2.21</v>
      </c>
    </row>
    <row r="21" spans="1:7">
      <c r="A21">
        <v>1784</v>
      </c>
      <c r="B21" t="s">
        <v>1260</v>
      </c>
      <c r="C21">
        <v>34.380000000000003</v>
      </c>
      <c r="D21">
        <v>0.69649506000000005</v>
      </c>
      <c r="E21">
        <v>111</v>
      </c>
      <c r="F21">
        <v>1.2</v>
      </c>
      <c r="G21">
        <v>2.42</v>
      </c>
    </row>
    <row r="22" spans="1:7">
      <c r="A22">
        <v>1785</v>
      </c>
      <c r="B22" t="s">
        <v>1261</v>
      </c>
      <c r="C22">
        <v>20.13</v>
      </c>
      <c r="D22">
        <v>1.5006159800000001</v>
      </c>
      <c r="E22">
        <v>111</v>
      </c>
      <c r="F22">
        <v>3.86</v>
      </c>
      <c r="G22">
        <v>1.79</v>
      </c>
    </row>
    <row r="23" spans="1:7">
      <c r="A23">
        <v>1788</v>
      </c>
      <c r="B23" t="s">
        <v>1262</v>
      </c>
      <c r="C23">
        <v>17.170000000000002</v>
      </c>
      <c r="D23">
        <v>7</v>
      </c>
      <c r="E23">
        <v>111</v>
      </c>
      <c r="F23">
        <v>5.17</v>
      </c>
      <c r="G23">
        <v>2.08</v>
      </c>
    </row>
    <row r="24" spans="1:7">
      <c r="A24">
        <v>1796</v>
      </c>
      <c r="B24" t="s">
        <v>1263</v>
      </c>
      <c r="C24">
        <v>24.03</v>
      </c>
      <c r="D24">
        <v>1.5</v>
      </c>
      <c r="E24">
        <v>111</v>
      </c>
      <c r="F24">
        <v>2.0099999999999998</v>
      </c>
      <c r="G24">
        <v>3.51</v>
      </c>
    </row>
    <row r="25" spans="1:7">
      <c r="A25">
        <v>1799</v>
      </c>
      <c r="B25" t="s">
        <v>1264</v>
      </c>
      <c r="C25" t="s">
        <v>1259</v>
      </c>
      <c r="D25">
        <v>0</v>
      </c>
      <c r="E25">
        <v>111</v>
      </c>
      <c r="F25">
        <v>0</v>
      </c>
      <c r="G25">
        <v>7.36</v>
      </c>
    </row>
    <row r="26" spans="1:7">
      <c r="A26">
        <v>1813</v>
      </c>
      <c r="B26" t="s">
        <v>1265</v>
      </c>
      <c r="C26" t="s">
        <v>1259</v>
      </c>
      <c r="D26">
        <v>0.5</v>
      </c>
      <c r="E26">
        <v>111</v>
      </c>
      <c r="F26">
        <v>2.4</v>
      </c>
      <c r="G26">
        <v>1.18</v>
      </c>
    </row>
    <row r="27" spans="1:7">
      <c r="A27">
        <v>1815</v>
      </c>
      <c r="B27" t="s">
        <v>1266</v>
      </c>
      <c r="C27" t="s">
        <v>1259</v>
      </c>
      <c r="D27">
        <v>0.29999485999999997</v>
      </c>
      <c r="E27">
        <v>111</v>
      </c>
      <c r="F27">
        <v>1.92</v>
      </c>
      <c r="G27">
        <v>1.02</v>
      </c>
    </row>
    <row r="28" spans="1:7">
      <c r="A28">
        <v>2035</v>
      </c>
      <c r="B28" t="s">
        <v>1267</v>
      </c>
      <c r="C28" t="s">
        <v>1259</v>
      </c>
      <c r="D28">
        <v>0</v>
      </c>
      <c r="E28">
        <v>111</v>
      </c>
      <c r="F28">
        <v>0</v>
      </c>
      <c r="G28">
        <v>2.3199999999999998</v>
      </c>
    </row>
    <row r="29" spans="1:7">
      <c r="A29">
        <v>2061</v>
      </c>
      <c r="B29" t="s">
        <v>1268</v>
      </c>
      <c r="C29" t="s">
        <v>1259</v>
      </c>
      <c r="D29">
        <v>0</v>
      </c>
      <c r="E29">
        <v>111</v>
      </c>
      <c r="F29">
        <v>0</v>
      </c>
      <c r="G29">
        <v>1.52</v>
      </c>
    </row>
    <row r="30" spans="1:7">
      <c r="A30">
        <v>2063</v>
      </c>
      <c r="B30" t="s">
        <v>1269</v>
      </c>
      <c r="C30">
        <v>11.09</v>
      </c>
      <c r="D30">
        <v>3</v>
      </c>
      <c r="E30">
        <v>111</v>
      </c>
      <c r="F30">
        <v>5.45</v>
      </c>
      <c r="G30">
        <v>2.46</v>
      </c>
    </row>
    <row r="31" spans="1:7">
      <c r="A31">
        <v>2064</v>
      </c>
      <c r="B31" t="s">
        <v>1270</v>
      </c>
      <c r="C31" t="s">
        <v>1259</v>
      </c>
      <c r="D31">
        <v>1</v>
      </c>
      <c r="E31">
        <v>111</v>
      </c>
      <c r="F31">
        <v>6.08</v>
      </c>
      <c r="G31">
        <v>1.07</v>
      </c>
    </row>
    <row r="32" spans="1:7">
      <c r="A32">
        <v>2065</v>
      </c>
      <c r="B32" t="s">
        <v>1271</v>
      </c>
      <c r="C32">
        <v>10.81</v>
      </c>
      <c r="D32">
        <v>5.4978662600000003</v>
      </c>
      <c r="E32">
        <v>111</v>
      </c>
      <c r="F32">
        <v>8.91</v>
      </c>
      <c r="G32">
        <v>1.93</v>
      </c>
    </row>
    <row r="33" spans="1:7">
      <c r="A33">
        <v>2066</v>
      </c>
      <c r="B33" t="s">
        <v>1272</v>
      </c>
      <c r="C33">
        <v>11.61</v>
      </c>
      <c r="D33">
        <v>4.4189700199999997</v>
      </c>
      <c r="E33">
        <v>111</v>
      </c>
      <c r="F33">
        <v>4.8600000000000003</v>
      </c>
      <c r="G33">
        <v>2.08</v>
      </c>
    </row>
    <row r="34" spans="1:7">
      <c r="A34">
        <v>2067</v>
      </c>
      <c r="B34" t="s">
        <v>1273</v>
      </c>
      <c r="C34" t="s">
        <v>1259</v>
      </c>
      <c r="D34">
        <v>0</v>
      </c>
      <c r="E34">
        <v>111</v>
      </c>
      <c r="F34">
        <v>0</v>
      </c>
      <c r="G34">
        <v>1.52</v>
      </c>
    </row>
    <row r="35" spans="1:7">
      <c r="A35">
        <v>2070</v>
      </c>
      <c r="B35" t="s">
        <v>1274</v>
      </c>
      <c r="C35">
        <v>19.149999999999999</v>
      </c>
      <c r="D35">
        <v>1.5</v>
      </c>
      <c r="E35">
        <v>111</v>
      </c>
      <c r="F35">
        <v>4.78</v>
      </c>
      <c r="G35">
        <v>1.31</v>
      </c>
    </row>
    <row r="36" spans="1:7">
      <c r="A36">
        <v>2073</v>
      </c>
      <c r="B36" t="s">
        <v>2100</v>
      </c>
      <c r="C36">
        <v>80</v>
      </c>
      <c r="D36">
        <v>1.81803636</v>
      </c>
      <c r="E36">
        <v>111</v>
      </c>
      <c r="F36">
        <v>5.98</v>
      </c>
      <c r="G36">
        <v>1.92</v>
      </c>
    </row>
    <row r="37" spans="1:7">
      <c r="A37">
        <v>2221</v>
      </c>
      <c r="B37" t="s">
        <v>1275</v>
      </c>
      <c r="C37">
        <v>13.3</v>
      </c>
      <c r="D37">
        <v>4</v>
      </c>
      <c r="E37">
        <v>111</v>
      </c>
      <c r="F37">
        <v>10.97</v>
      </c>
      <c r="G37">
        <v>1.59</v>
      </c>
    </row>
    <row r="38" spans="1:7">
      <c r="A38">
        <v>2230</v>
      </c>
      <c r="B38" t="s">
        <v>1276</v>
      </c>
      <c r="C38">
        <v>132.66</v>
      </c>
      <c r="D38">
        <v>1.4171149700000001</v>
      </c>
      <c r="E38">
        <v>111</v>
      </c>
      <c r="F38">
        <v>0.86</v>
      </c>
      <c r="G38">
        <v>10.06</v>
      </c>
    </row>
    <row r="39" spans="1:7">
      <c r="A39">
        <v>2235</v>
      </c>
      <c r="B39" t="s">
        <v>1277</v>
      </c>
      <c r="C39">
        <v>28.55</v>
      </c>
      <c r="D39">
        <v>4</v>
      </c>
      <c r="E39">
        <v>111</v>
      </c>
      <c r="F39">
        <v>8.81</v>
      </c>
      <c r="G39">
        <v>1.26</v>
      </c>
    </row>
    <row r="40" spans="1:7">
      <c r="A40">
        <v>2596</v>
      </c>
      <c r="B40" t="s">
        <v>1278</v>
      </c>
      <c r="C40">
        <v>114.32</v>
      </c>
      <c r="D40">
        <v>1</v>
      </c>
      <c r="E40">
        <v>111</v>
      </c>
      <c r="F40">
        <v>3.98</v>
      </c>
      <c r="G40">
        <v>1.26</v>
      </c>
    </row>
    <row r="41" spans="1:7">
      <c r="A41">
        <v>2640</v>
      </c>
      <c r="B41" t="s">
        <v>1279</v>
      </c>
      <c r="C41">
        <v>17.100000000000001</v>
      </c>
      <c r="D41">
        <v>5</v>
      </c>
      <c r="E41">
        <v>111</v>
      </c>
      <c r="F41">
        <v>4.46</v>
      </c>
      <c r="G41">
        <v>3.72</v>
      </c>
    </row>
    <row r="42" spans="1:7">
      <c r="A42">
        <v>2641</v>
      </c>
      <c r="B42" t="s">
        <v>1280</v>
      </c>
      <c r="C42">
        <v>7.62</v>
      </c>
      <c r="D42">
        <v>1.4966112899999999</v>
      </c>
      <c r="E42">
        <v>111</v>
      </c>
      <c r="F42">
        <v>7.09</v>
      </c>
      <c r="G42">
        <v>0.95</v>
      </c>
    </row>
    <row r="43" spans="1:7">
      <c r="A43">
        <v>2643</v>
      </c>
      <c r="B43" t="s">
        <v>1281</v>
      </c>
      <c r="C43">
        <v>10.07</v>
      </c>
      <c r="D43">
        <v>7</v>
      </c>
      <c r="E43">
        <v>111</v>
      </c>
      <c r="F43">
        <v>9.36</v>
      </c>
      <c r="G43">
        <v>1.46</v>
      </c>
    </row>
    <row r="44" spans="1:7">
      <c r="A44">
        <v>2718</v>
      </c>
      <c r="B44" t="s">
        <v>1282</v>
      </c>
      <c r="C44">
        <v>7.45</v>
      </c>
      <c r="D44">
        <v>0</v>
      </c>
      <c r="E44">
        <v>111</v>
      </c>
      <c r="F44">
        <v>0</v>
      </c>
      <c r="G44">
        <v>2.0099999999999998</v>
      </c>
    </row>
    <row r="45" spans="1:7">
      <c r="A45">
        <v>2719</v>
      </c>
      <c r="B45" t="s">
        <v>1283</v>
      </c>
      <c r="C45" t="s">
        <v>1259</v>
      </c>
      <c r="D45">
        <v>0</v>
      </c>
      <c r="E45">
        <v>111</v>
      </c>
      <c r="F45">
        <v>0</v>
      </c>
      <c r="G45">
        <v>8.43</v>
      </c>
    </row>
    <row r="46" spans="1:7">
      <c r="A46">
        <v>2724</v>
      </c>
      <c r="B46" t="s">
        <v>1284</v>
      </c>
      <c r="C46" t="s">
        <v>1259</v>
      </c>
      <c r="D46">
        <v>0</v>
      </c>
      <c r="E46">
        <v>111</v>
      </c>
      <c r="F46">
        <v>0</v>
      </c>
      <c r="G46">
        <v>3.4</v>
      </c>
    </row>
    <row r="47" spans="1:7">
      <c r="A47">
        <v>2726</v>
      </c>
      <c r="B47" t="s">
        <v>1285</v>
      </c>
      <c r="C47" t="s">
        <v>1259</v>
      </c>
      <c r="D47">
        <v>0</v>
      </c>
      <c r="E47">
        <v>111</v>
      </c>
      <c r="F47">
        <v>0</v>
      </c>
      <c r="G47">
        <v>3.42</v>
      </c>
    </row>
    <row r="48" spans="1:7">
      <c r="A48">
        <v>2729</v>
      </c>
      <c r="B48" t="s">
        <v>1286</v>
      </c>
      <c r="C48">
        <v>20.440000000000001</v>
      </c>
      <c r="D48">
        <v>5</v>
      </c>
      <c r="E48">
        <v>111</v>
      </c>
      <c r="F48">
        <v>2.12</v>
      </c>
      <c r="G48">
        <v>3.33</v>
      </c>
    </row>
    <row r="49" spans="1:7">
      <c r="A49">
        <v>2732</v>
      </c>
      <c r="B49" t="s">
        <v>1287</v>
      </c>
      <c r="C49">
        <v>16.39</v>
      </c>
      <c r="D49">
        <v>6.2814110000000003</v>
      </c>
      <c r="E49">
        <v>111</v>
      </c>
      <c r="F49">
        <v>5.23</v>
      </c>
      <c r="G49">
        <v>2.98</v>
      </c>
    </row>
    <row r="50" spans="1:7">
      <c r="A50">
        <v>2734</v>
      </c>
      <c r="B50" t="s">
        <v>1288</v>
      </c>
      <c r="C50">
        <v>325</v>
      </c>
      <c r="D50">
        <v>0</v>
      </c>
      <c r="E50">
        <v>111</v>
      </c>
      <c r="F50">
        <v>0</v>
      </c>
      <c r="G50">
        <v>5.77</v>
      </c>
    </row>
    <row r="51" spans="1:7">
      <c r="A51">
        <v>2736</v>
      </c>
      <c r="B51" t="s">
        <v>1289</v>
      </c>
      <c r="C51">
        <v>297</v>
      </c>
      <c r="D51">
        <v>0.2</v>
      </c>
      <c r="E51">
        <v>111</v>
      </c>
      <c r="F51">
        <v>0.67</v>
      </c>
      <c r="G51">
        <v>1.27</v>
      </c>
    </row>
    <row r="52" spans="1:7">
      <c r="A52">
        <v>2740</v>
      </c>
      <c r="B52" t="s">
        <v>1290</v>
      </c>
      <c r="C52" t="s">
        <v>1259</v>
      </c>
      <c r="D52">
        <v>0</v>
      </c>
      <c r="E52">
        <v>111</v>
      </c>
      <c r="F52">
        <v>0</v>
      </c>
      <c r="G52">
        <v>5.56</v>
      </c>
    </row>
    <row r="53" spans="1:7">
      <c r="A53">
        <v>2743</v>
      </c>
      <c r="B53" t="s">
        <v>1291</v>
      </c>
      <c r="C53">
        <v>18.36</v>
      </c>
      <c r="D53">
        <v>0</v>
      </c>
      <c r="E53">
        <v>111</v>
      </c>
      <c r="F53">
        <v>0</v>
      </c>
      <c r="G53">
        <v>5.84</v>
      </c>
    </row>
    <row r="54" spans="1:7">
      <c r="A54">
        <v>2745</v>
      </c>
      <c r="B54" t="s">
        <v>1292</v>
      </c>
      <c r="C54">
        <v>16.04</v>
      </c>
      <c r="D54">
        <v>0</v>
      </c>
      <c r="E54">
        <v>111</v>
      </c>
      <c r="F54">
        <v>0</v>
      </c>
      <c r="G54">
        <v>5.13</v>
      </c>
    </row>
    <row r="55" spans="1:7">
      <c r="A55">
        <v>2752</v>
      </c>
      <c r="B55" t="s">
        <v>1293</v>
      </c>
      <c r="C55">
        <v>17.21</v>
      </c>
      <c r="D55">
        <v>10</v>
      </c>
      <c r="E55">
        <v>111</v>
      </c>
      <c r="F55">
        <v>3.69</v>
      </c>
      <c r="G55">
        <v>6.44</v>
      </c>
    </row>
    <row r="56" spans="1:7">
      <c r="A56">
        <v>2754</v>
      </c>
      <c r="B56" t="s">
        <v>1294</v>
      </c>
      <c r="C56">
        <v>21.84</v>
      </c>
      <c r="D56">
        <v>1.4999357799999999</v>
      </c>
      <c r="E56">
        <v>111</v>
      </c>
      <c r="F56">
        <v>1.24</v>
      </c>
      <c r="G56">
        <v>3.46</v>
      </c>
    </row>
    <row r="57" spans="1:7">
      <c r="A57">
        <v>2755</v>
      </c>
      <c r="B57" t="s">
        <v>1295</v>
      </c>
      <c r="C57">
        <v>28.3</v>
      </c>
      <c r="D57">
        <v>5.3</v>
      </c>
      <c r="E57">
        <v>111</v>
      </c>
      <c r="F57">
        <v>4.75</v>
      </c>
      <c r="G57">
        <v>4.66</v>
      </c>
    </row>
    <row r="58" spans="1:7">
      <c r="A58">
        <v>2756</v>
      </c>
      <c r="B58" t="s">
        <v>1296</v>
      </c>
      <c r="C58">
        <v>17.12</v>
      </c>
      <c r="D58">
        <v>4.5</v>
      </c>
      <c r="E58">
        <v>111</v>
      </c>
      <c r="F58">
        <v>5.13</v>
      </c>
      <c r="G58">
        <v>3.92</v>
      </c>
    </row>
    <row r="59" spans="1:7">
      <c r="A59">
        <v>2916</v>
      </c>
      <c r="B59" t="s">
        <v>1297</v>
      </c>
      <c r="C59">
        <v>11.13</v>
      </c>
      <c r="D59">
        <v>3</v>
      </c>
      <c r="E59">
        <v>111</v>
      </c>
      <c r="F59">
        <v>6.13</v>
      </c>
      <c r="G59">
        <v>2.58</v>
      </c>
    </row>
    <row r="60" spans="1:7">
      <c r="A60">
        <v>2924</v>
      </c>
      <c r="B60" t="s">
        <v>1298</v>
      </c>
      <c r="C60" t="s">
        <v>1259</v>
      </c>
      <c r="D60">
        <v>0</v>
      </c>
      <c r="E60">
        <v>111</v>
      </c>
      <c r="F60">
        <v>0</v>
      </c>
      <c r="G60">
        <v>4.9800000000000004</v>
      </c>
    </row>
    <row r="61" spans="1:7">
      <c r="A61">
        <v>2926</v>
      </c>
      <c r="B61" t="s">
        <v>1299</v>
      </c>
      <c r="C61" t="s">
        <v>1259</v>
      </c>
      <c r="D61">
        <v>0</v>
      </c>
      <c r="E61">
        <v>111</v>
      </c>
      <c r="F61">
        <v>0</v>
      </c>
      <c r="G61">
        <v>5.87</v>
      </c>
    </row>
    <row r="62" spans="1:7">
      <c r="A62">
        <v>2937</v>
      </c>
      <c r="B62" t="s">
        <v>1300</v>
      </c>
      <c r="C62">
        <v>11</v>
      </c>
      <c r="D62">
        <v>1.2814299600000001</v>
      </c>
      <c r="E62">
        <v>111</v>
      </c>
      <c r="F62">
        <v>4</v>
      </c>
      <c r="G62">
        <v>1.41</v>
      </c>
    </row>
    <row r="63" spans="1:7">
      <c r="A63">
        <v>2947</v>
      </c>
      <c r="B63" t="s">
        <v>1301</v>
      </c>
      <c r="C63">
        <v>39.01</v>
      </c>
      <c r="D63">
        <v>2.2000000000000002</v>
      </c>
      <c r="E63">
        <v>111</v>
      </c>
      <c r="F63">
        <v>2.79</v>
      </c>
      <c r="G63">
        <v>2.1</v>
      </c>
    </row>
    <row r="64" spans="1:7">
      <c r="A64">
        <v>2948</v>
      </c>
      <c r="B64" t="s">
        <v>2101</v>
      </c>
      <c r="C64">
        <v>17.54</v>
      </c>
      <c r="D64">
        <v>3</v>
      </c>
      <c r="E64">
        <v>111</v>
      </c>
      <c r="F64">
        <v>4.3</v>
      </c>
      <c r="G64">
        <v>2.15</v>
      </c>
    </row>
    <row r="65" spans="1:7">
      <c r="A65">
        <v>2949</v>
      </c>
      <c r="B65" t="s">
        <v>2102</v>
      </c>
      <c r="C65">
        <v>17.46</v>
      </c>
      <c r="D65">
        <v>0.82405958999999995</v>
      </c>
      <c r="E65">
        <v>111</v>
      </c>
      <c r="F65">
        <v>0.68</v>
      </c>
      <c r="G65">
        <v>3.75</v>
      </c>
    </row>
    <row r="66" spans="1:7">
      <c r="A66">
        <v>3064</v>
      </c>
      <c r="B66" t="s">
        <v>1302</v>
      </c>
      <c r="C66" t="s">
        <v>1259</v>
      </c>
      <c r="D66">
        <v>0</v>
      </c>
      <c r="E66">
        <v>111</v>
      </c>
      <c r="F66">
        <v>0</v>
      </c>
      <c r="G66">
        <v>4.62</v>
      </c>
    </row>
    <row r="67" spans="1:7">
      <c r="A67">
        <v>3066</v>
      </c>
      <c r="B67" t="s">
        <v>1303</v>
      </c>
      <c r="C67">
        <v>15.7</v>
      </c>
      <c r="D67">
        <v>0</v>
      </c>
      <c r="E67">
        <v>111</v>
      </c>
      <c r="F67">
        <v>0</v>
      </c>
      <c r="G67">
        <v>1.3</v>
      </c>
    </row>
    <row r="68" spans="1:7">
      <c r="A68">
        <v>3067</v>
      </c>
      <c r="B68" t="s">
        <v>1304</v>
      </c>
      <c r="C68">
        <v>39.21</v>
      </c>
      <c r="D68">
        <v>0</v>
      </c>
      <c r="E68">
        <v>111</v>
      </c>
      <c r="F68">
        <v>0</v>
      </c>
      <c r="G68">
        <v>2.82</v>
      </c>
    </row>
    <row r="69" spans="1:7">
      <c r="A69">
        <v>3071</v>
      </c>
      <c r="B69" t="s">
        <v>1305</v>
      </c>
      <c r="C69">
        <v>25.4</v>
      </c>
      <c r="D69">
        <v>1.6639999999999999</v>
      </c>
      <c r="E69">
        <v>111</v>
      </c>
      <c r="F69">
        <v>4.75</v>
      </c>
      <c r="G69">
        <v>2.57</v>
      </c>
    </row>
    <row r="70" spans="1:7">
      <c r="A70">
        <v>3073</v>
      </c>
      <c r="B70" t="s">
        <v>1306</v>
      </c>
      <c r="C70">
        <v>186.07</v>
      </c>
      <c r="D70">
        <v>0</v>
      </c>
      <c r="E70">
        <v>111</v>
      </c>
      <c r="F70">
        <v>0</v>
      </c>
      <c r="G70">
        <v>1.97</v>
      </c>
    </row>
    <row r="71" spans="1:7">
      <c r="A71">
        <v>3078</v>
      </c>
      <c r="B71" t="s">
        <v>1307</v>
      </c>
      <c r="C71">
        <v>12.87</v>
      </c>
      <c r="D71">
        <v>2.35</v>
      </c>
      <c r="E71">
        <v>111</v>
      </c>
      <c r="F71">
        <v>2.79</v>
      </c>
      <c r="G71">
        <v>2.93</v>
      </c>
    </row>
    <row r="72" spans="1:7">
      <c r="A72">
        <v>3081</v>
      </c>
      <c r="B72" t="s">
        <v>1308</v>
      </c>
      <c r="C72" t="s">
        <v>1259</v>
      </c>
      <c r="D72">
        <v>3.5002285899999999</v>
      </c>
      <c r="E72">
        <v>111</v>
      </c>
      <c r="F72">
        <v>3.3</v>
      </c>
      <c r="G72">
        <v>2.5</v>
      </c>
    </row>
    <row r="73" spans="1:7">
      <c r="A73">
        <v>3083</v>
      </c>
      <c r="B73" t="s">
        <v>1309</v>
      </c>
      <c r="C73" t="s">
        <v>1259</v>
      </c>
      <c r="D73">
        <v>0</v>
      </c>
      <c r="E73">
        <v>111</v>
      </c>
      <c r="F73">
        <v>0</v>
      </c>
      <c r="G73">
        <v>3.34</v>
      </c>
    </row>
    <row r="74" spans="1:7">
      <c r="A74">
        <v>3085</v>
      </c>
      <c r="B74" t="s">
        <v>1310</v>
      </c>
      <c r="C74" t="s">
        <v>1259</v>
      </c>
      <c r="D74">
        <v>0</v>
      </c>
      <c r="E74">
        <v>111</v>
      </c>
      <c r="F74">
        <v>0</v>
      </c>
      <c r="G74">
        <v>2.4700000000000002</v>
      </c>
    </row>
    <row r="75" spans="1:7">
      <c r="A75">
        <v>3086</v>
      </c>
      <c r="B75" t="s">
        <v>1311</v>
      </c>
      <c r="C75">
        <v>154.65</v>
      </c>
      <c r="D75">
        <v>1.2</v>
      </c>
      <c r="E75">
        <v>111</v>
      </c>
      <c r="F75">
        <v>0.9</v>
      </c>
      <c r="G75">
        <v>9.76</v>
      </c>
    </row>
    <row r="76" spans="1:7">
      <c r="A76">
        <v>3088</v>
      </c>
      <c r="B76" t="s">
        <v>1312</v>
      </c>
      <c r="C76">
        <v>11.62</v>
      </c>
      <c r="D76">
        <v>3.4765144600000002</v>
      </c>
      <c r="E76">
        <v>111</v>
      </c>
      <c r="F76">
        <v>3.95</v>
      </c>
      <c r="G76">
        <v>2.19</v>
      </c>
    </row>
    <row r="77" spans="1:7">
      <c r="A77">
        <v>3093</v>
      </c>
      <c r="B77" t="s">
        <v>1314</v>
      </c>
      <c r="C77">
        <v>13.69</v>
      </c>
      <c r="D77">
        <v>3</v>
      </c>
      <c r="E77">
        <v>111</v>
      </c>
      <c r="F77">
        <v>9.4499999999999993</v>
      </c>
      <c r="G77">
        <v>4.2</v>
      </c>
    </row>
    <row r="78" spans="1:7">
      <c r="A78">
        <v>3095</v>
      </c>
      <c r="B78" t="s">
        <v>1315</v>
      </c>
      <c r="C78" t="s">
        <v>1259</v>
      </c>
      <c r="D78">
        <v>0</v>
      </c>
      <c r="E78">
        <v>111</v>
      </c>
      <c r="F78">
        <v>0</v>
      </c>
      <c r="G78">
        <v>7.44</v>
      </c>
    </row>
    <row r="79" spans="1:7">
      <c r="A79">
        <v>3105</v>
      </c>
      <c r="B79" t="s">
        <v>1316</v>
      </c>
      <c r="C79" t="s">
        <v>1259</v>
      </c>
      <c r="D79">
        <v>2.5</v>
      </c>
      <c r="E79">
        <v>111</v>
      </c>
      <c r="F79">
        <v>1.57</v>
      </c>
      <c r="G79">
        <v>2.02</v>
      </c>
    </row>
    <row r="80" spans="1:7">
      <c r="A80">
        <v>3114</v>
      </c>
      <c r="B80" t="s">
        <v>1317</v>
      </c>
      <c r="C80">
        <v>17.73</v>
      </c>
      <c r="D80">
        <v>1.7</v>
      </c>
      <c r="E80">
        <v>111</v>
      </c>
      <c r="F80">
        <v>6.31</v>
      </c>
      <c r="G80">
        <v>1.0900000000000001</v>
      </c>
    </row>
    <row r="81" spans="1:7">
      <c r="A81">
        <v>3115</v>
      </c>
      <c r="B81" t="s">
        <v>1318</v>
      </c>
      <c r="C81" t="s">
        <v>1259</v>
      </c>
      <c r="D81">
        <v>0</v>
      </c>
      <c r="E81">
        <v>111</v>
      </c>
      <c r="F81">
        <v>0</v>
      </c>
      <c r="G81">
        <v>2.11</v>
      </c>
    </row>
    <row r="82" spans="1:7">
      <c r="A82">
        <v>3118</v>
      </c>
      <c r="B82" t="s">
        <v>1319</v>
      </c>
      <c r="C82">
        <v>16.46</v>
      </c>
      <c r="D82">
        <v>1.7</v>
      </c>
      <c r="E82">
        <v>111</v>
      </c>
      <c r="F82">
        <v>5.58</v>
      </c>
      <c r="G82">
        <v>1.86</v>
      </c>
    </row>
    <row r="83" spans="1:7">
      <c r="A83">
        <v>3122</v>
      </c>
      <c r="B83" t="s">
        <v>1320</v>
      </c>
      <c r="C83" t="s">
        <v>1259</v>
      </c>
      <c r="D83">
        <v>0.23724303999999999</v>
      </c>
      <c r="E83">
        <v>111</v>
      </c>
      <c r="F83">
        <v>0.52</v>
      </c>
      <c r="G83">
        <v>3.99</v>
      </c>
    </row>
    <row r="84" spans="1:7">
      <c r="A84">
        <v>3128</v>
      </c>
      <c r="B84" t="s">
        <v>1321</v>
      </c>
      <c r="C84">
        <v>25.59</v>
      </c>
      <c r="D84">
        <v>1.2</v>
      </c>
      <c r="E84">
        <v>111</v>
      </c>
      <c r="F84">
        <v>3.97</v>
      </c>
      <c r="G84">
        <v>2.02</v>
      </c>
    </row>
    <row r="85" spans="1:7">
      <c r="A85">
        <v>3131</v>
      </c>
      <c r="B85" t="s">
        <v>1322</v>
      </c>
      <c r="C85">
        <v>30.18</v>
      </c>
      <c r="D85">
        <v>18</v>
      </c>
      <c r="E85">
        <v>111</v>
      </c>
      <c r="F85">
        <v>3.02</v>
      </c>
      <c r="G85">
        <v>4.87</v>
      </c>
    </row>
    <row r="86" spans="1:7">
      <c r="A86">
        <v>3141</v>
      </c>
      <c r="B86" t="s">
        <v>1323</v>
      </c>
      <c r="C86">
        <v>70.92</v>
      </c>
      <c r="D86">
        <v>2.6676277900000001</v>
      </c>
      <c r="E86">
        <v>111</v>
      </c>
      <c r="F86">
        <v>2.67</v>
      </c>
      <c r="G86">
        <v>3.07</v>
      </c>
    </row>
    <row r="87" spans="1:7">
      <c r="A87">
        <v>3147</v>
      </c>
      <c r="B87" t="s">
        <v>1324</v>
      </c>
      <c r="C87">
        <v>13.92</v>
      </c>
      <c r="D87">
        <v>4.5</v>
      </c>
      <c r="E87">
        <v>111</v>
      </c>
      <c r="F87">
        <v>4.84</v>
      </c>
      <c r="G87">
        <v>2.98</v>
      </c>
    </row>
    <row r="88" spans="1:7">
      <c r="A88">
        <v>3152</v>
      </c>
      <c r="B88" t="s">
        <v>1325</v>
      </c>
      <c r="C88">
        <v>70.61</v>
      </c>
      <c r="D88">
        <v>3.59</v>
      </c>
      <c r="E88">
        <v>111</v>
      </c>
      <c r="F88">
        <v>1.47</v>
      </c>
      <c r="G88">
        <v>4.82</v>
      </c>
    </row>
    <row r="89" spans="1:7">
      <c r="A89">
        <v>3162</v>
      </c>
      <c r="B89" t="s">
        <v>1326</v>
      </c>
      <c r="C89">
        <v>84.58</v>
      </c>
      <c r="D89">
        <v>0</v>
      </c>
      <c r="E89">
        <v>111</v>
      </c>
      <c r="F89">
        <v>0</v>
      </c>
      <c r="G89">
        <v>2.4900000000000002</v>
      </c>
    </row>
    <row r="90" spans="1:7">
      <c r="A90">
        <v>3163</v>
      </c>
      <c r="B90" t="s">
        <v>1327</v>
      </c>
      <c r="C90">
        <v>15.29</v>
      </c>
      <c r="D90">
        <v>4.2</v>
      </c>
      <c r="E90">
        <v>111</v>
      </c>
      <c r="F90">
        <v>4.75</v>
      </c>
      <c r="G90">
        <v>2.74</v>
      </c>
    </row>
    <row r="91" spans="1:7">
      <c r="A91">
        <v>3169</v>
      </c>
      <c r="B91" t="s">
        <v>1328</v>
      </c>
      <c r="C91">
        <v>32.840000000000003</v>
      </c>
      <c r="D91">
        <v>5.5</v>
      </c>
      <c r="E91">
        <v>111</v>
      </c>
      <c r="F91">
        <v>4.1399999999999997</v>
      </c>
      <c r="G91">
        <v>4.96</v>
      </c>
    </row>
    <row r="92" spans="1:7">
      <c r="A92">
        <v>3171</v>
      </c>
      <c r="B92" t="s">
        <v>1329</v>
      </c>
      <c r="C92">
        <v>9.31</v>
      </c>
      <c r="D92">
        <v>1</v>
      </c>
      <c r="E92">
        <v>111</v>
      </c>
      <c r="F92">
        <v>4.93</v>
      </c>
      <c r="G92">
        <v>1.3</v>
      </c>
    </row>
    <row r="93" spans="1:7">
      <c r="A93">
        <v>3176</v>
      </c>
      <c r="B93" t="s">
        <v>1330</v>
      </c>
      <c r="C93" t="s">
        <v>1259</v>
      </c>
      <c r="D93">
        <v>0</v>
      </c>
      <c r="E93">
        <v>111</v>
      </c>
      <c r="F93">
        <v>0</v>
      </c>
      <c r="G93">
        <v>3.35</v>
      </c>
    </row>
    <row r="94" spans="1:7">
      <c r="A94">
        <v>3178</v>
      </c>
      <c r="B94" t="s">
        <v>1331</v>
      </c>
      <c r="C94">
        <v>20.88</v>
      </c>
      <c r="D94">
        <v>2.5</v>
      </c>
      <c r="E94">
        <v>111</v>
      </c>
      <c r="F94">
        <v>2.44</v>
      </c>
      <c r="G94">
        <v>3.72</v>
      </c>
    </row>
    <row r="95" spans="1:7">
      <c r="A95">
        <v>3188</v>
      </c>
      <c r="B95" t="s">
        <v>1332</v>
      </c>
      <c r="C95">
        <v>22.36</v>
      </c>
      <c r="D95">
        <v>0.3</v>
      </c>
      <c r="E95">
        <v>111</v>
      </c>
      <c r="F95">
        <v>1.81</v>
      </c>
      <c r="G95">
        <v>1.33</v>
      </c>
    </row>
    <row r="96" spans="1:7">
      <c r="A96">
        <v>3191</v>
      </c>
      <c r="B96" t="s">
        <v>1333</v>
      </c>
      <c r="C96" t="s">
        <v>1259</v>
      </c>
      <c r="D96">
        <v>0</v>
      </c>
      <c r="E96">
        <v>111</v>
      </c>
      <c r="F96">
        <v>0</v>
      </c>
      <c r="G96">
        <v>3.87</v>
      </c>
    </row>
    <row r="97" spans="1:7">
      <c r="A97">
        <v>3202</v>
      </c>
      <c r="B97" t="s">
        <v>1334</v>
      </c>
      <c r="C97" t="s">
        <v>1259</v>
      </c>
      <c r="D97">
        <v>0</v>
      </c>
      <c r="E97">
        <v>111</v>
      </c>
      <c r="F97">
        <v>0</v>
      </c>
      <c r="G97">
        <v>1.59</v>
      </c>
    </row>
    <row r="98" spans="1:7">
      <c r="A98">
        <v>3205</v>
      </c>
      <c r="B98" t="s">
        <v>1335</v>
      </c>
      <c r="C98" t="s">
        <v>1259</v>
      </c>
      <c r="D98">
        <v>0</v>
      </c>
      <c r="E98">
        <v>111</v>
      </c>
      <c r="F98">
        <v>0</v>
      </c>
      <c r="G98">
        <v>3.6</v>
      </c>
    </row>
    <row r="99" spans="1:7">
      <c r="A99">
        <v>3206</v>
      </c>
      <c r="B99" t="s">
        <v>1336</v>
      </c>
      <c r="C99">
        <v>9.4700000000000006</v>
      </c>
      <c r="D99">
        <v>2.2000000000000002</v>
      </c>
      <c r="E99">
        <v>111</v>
      </c>
      <c r="F99">
        <v>4.91</v>
      </c>
      <c r="G99">
        <v>1.83</v>
      </c>
    </row>
    <row r="100" spans="1:7">
      <c r="A100">
        <v>3207</v>
      </c>
      <c r="B100" t="s">
        <v>1337</v>
      </c>
      <c r="C100">
        <v>27.4</v>
      </c>
      <c r="D100">
        <v>1.32721833</v>
      </c>
      <c r="E100">
        <v>111</v>
      </c>
      <c r="F100">
        <v>1.64</v>
      </c>
      <c r="G100">
        <v>3.46</v>
      </c>
    </row>
    <row r="101" spans="1:7">
      <c r="A101">
        <v>3211</v>
      </c>
      <c r="B101" t="s">
        <v>1338</v>
      </c>
      <c r="C101">
        <v>18.89</v>
      </c>
      <c r="D101">
        <v>6.0418399999999997</v>
      </c>
      <c r="E101">
        <v>111</v>
      </c>
      <c r="F101">
        <v>6.72</v>
      </c>
      <c r="G101">
        <v>1.61</v>
      </c>
    </row>
    <row r="102" spans="1:7">
      <c r="A102">
        <v>3213</v>
      </c>
      <c r="B102" t="s">
        <v>1339</v>
      </c>
      <c r="C102">
        <v>12.86</v>
      </c>
      <c r="D102">
        <v>3.6</v>
      </c>
      <c r="E102">
        <v>111</v>
      </c>
      <c r="F102">
        <v>4.1399999999999997</v>
      </c>
      <c r="G102">
        <v>2.12</v>
      </c>
    </row>
    <row r="103" spans="1:7">
      <c r="A103">
        <v>3217</v>
      </c>
      <c r="B103" t="s">
        <v>1340</v>
      </c>
      <c r="C103">
        <v>24.4</v>
      </c>
      <c r="D103">
        <v>5.35</v>
      </c>
      <c r="E103">
        <v>111</v>
      </c>
      <c r="F103">
        <v>3.12</v>
      </c>
      <c r="G103">
        <v>3.65</v>
      </c>
    </row>
    <row r="104" spans="1:7">
      <c r="A104">
        <v>3218</v>
      </c>
      <c r="B104" t="s">
        <v>1341</v>
      </c>
      <c r="C104">
        <v>22.67</v>
      </c>
      <c r="D104">
        <v>6.6</v>
      </c>
      <c r="E104">
        <v>111</v>
      </c>
      <c r="F104">
        <v>2.38</v>
      </c>
      <c r="G104">
        <v>7.87</v>
      </c>
    </row>
    <row r="105" spans="1:7">
      <c r="A105">
        <v>3219</v>
      </c>
      <c r="B105" t="s">
        <v>1342</v>
      </c>
      <c r="C105">
        <v>50.53</v>
      </c>
      <c r="D105">
        <v>1.02985361</v>
      </c>
      <c r="E105">
        <v>111</v>
      </c>
      <c r="F105">
        <v>2.15</v>
      </c>
      <c r="G105">
        <v>2.56</v>
      </c>
    </row>
    <row r="106" spans="1:7">
      <c r="A106">
        <v>3221</v>
      </c>
      <c r="B106" t="s">
        <v>1343</v>
      </c>
      <c r="C106" t="s">
        <v>1259</v>
      </c>
      <c r="D106">
        <v>2.5010143999999999</v>
      </c>
      <c r="E106">
        <v>111</v>
      </c>
      <c r="F106">
        <v>9.11</v>
      </c>
      <c r="G106">
        <v>1.37</v>
      </c>
    </row>
    <row r="107" spans="1:7">
      <c r="A107">
        <v>3224</v>
      </c>
      <c r="B107" t="s">
        <v>1344</v>
      </c>
      <c r="C107" t="s">
        <v>1259</v>
      </c>
      <c r="D107">
        <v>0</v>
      </c>
      <c r="E107">
        <v>111</v>
      </c>
      <c r="F107">
        <v>0</v>
      </c>
      <c r="G107">
        <v>2.19</v>
      </c>
    </row>
    <row r="108" spans="1:7">
      <c r="A108">
        <v>3226</v>
      </c>
      <c r="B108" t="s">
        <v>1345</v>
      </c>
      <c r="C108">
        <v>17.510000000000002</v>
      </c>
      <c r="D108">
        <v>2.5</v>
      </c>
      <c r="E108">
        <v>111</v>
      </c>
      <c r="F108">
        <v>4.03</v>
      </c>
      <c r="G108">
        <v>2.62</v>
      </c>
    </row>
    <row r="109" spans="1:7">
      <c r="A109">
        <v>3227</v>
      </c>
      <c r="B109" t="s">
        <v>1346</v>
      </c>
      <c r="C109">
        <v>49.04</v>
      </c>
      <c r="D109">
        <v>6.00147444</v>
      </c>
      <c r="E109">
        <v>111</v>
      </c>
      <c r="F109">
        <v>3.9</v>
      </c>
      <c r="G109">
        <v>2.37</v>
      </c>
    </row>
    <row r="110" spans="1:7">
      <c r="A110">
        <v>3228</v>
      </c>
      <c r="B110" t="s">
        <v>1347</v>
      </c>
      <c r="C110" t="s">
        <v>1259</v>
      </c>
      <c r="D110">
        <v>0.40000174999999999</v>
      </c>
      <c r="E110">
        <v>111</v>
      </c>
      <c r="F110">
        <v>0.14000000000000001</v>
      </c>
      <c r="G110">
        <v>30.47</v>
      </c>
    </row>
    <row r="111" spans="1:7">
      <c r="A111">
        <v>3230</v>
      </c>
      <c r="B111" t="s">
        <v>1348</v>
      </c>
      <c r="C111" t="s">
        <v>1259</v>
      </c>
      <c r="D111">
        <v>0</v>
      </c>
      <c r="E111">
        <v>111</v>
      </c>
      <c r="F111">
        <v>0</v>
      </c>
      <c r="G111">
        <v>1.1000000000000001</v>
      </c>
    </row>
    <row r="112" spans="1:7">
      <c r="A112">
        <v>3232</v>
      </c>
      <c r="B112" t="s">
        <v>1349</v>
      </c>
      <c r="C112">
        <v>44.61</v>
      </c>
      <c r="D112">
        <v>0.5</v>
      </c>
      <c r="E112">
        <v>111</v>
      </c>
      <c r="F112">
        <v>2.2000000000000002</v>
      </c>
      <c r="G112">
        <v>1.5</v>
      </c>
    </row>
    <row r="113" spans="1:7">
      <c r="A113">
        <v>3234</v>
      </c>
      <c r="B113" t="s">
        <v>1350</v>
      </c>
      <c r="C113" t="s">
        <v>1259</v>
      </c>
      <c r="D113">
        <v>0</v>
      </c>
      <c r="E113">
        <v>111</v>
      </c>
      <c r="F113">
        <v>0</v>
      </c>
      <c r="G113">
        <v>2.9</v>
      </c>
    </row>
    <row r="114" spans="1:7">
      <c r="A114">
        <v>3236</v>
      </c>
      <c r="B114" t="s">
        <v>1351</v>
      </c>
      <c r="C114">
        <v>19.36</v>
      </c>
      <c r="D114">
        <v>1.54</v>
      </c>
      <c r="E114">
        <v>111</v>
      </c>
      <c r="F114">
        <v>6.74</v>
      </c>
      <c r="G114">
        <v>1.39</v>
      </c>
    </row>
    <row r="115" spans="1:7">
      <c r="A115">
        <v>3252</v>
      </c>
      <c r="B115" t="s">
        <v>1352</v>
      </c>
      <c r="C115" t="s">
        <v>1259</v>
      </c>
      <c r="D115">
        <v>0</v>
      </c>
      <c r="E115">
        <v>111</v>
      </c>
      <c r="F115">
        <v>0</v>
      </c>
      <c r="G115">
        <v>0.54</v>
      </c>
    </row>
    <row r="116" spans="1:7">
      <c r="A116">
        <v>3259</v>
      </c>
      <c r="B116" t="s">
        <v>1353</v>
      </c>
      <c r="C116" t="s">
        <v>1259</v>
      </c>
      <c r="D116">
        <v>0</v>
      </c>
      <c r="E116">
        <v>111</v>
      </c>
      <c r="F116">
        <v>0</v>
      </c>
      <c r="G116">
        <v>4.3899999999999997</v>
      </c>
    </row>
    <row r="117" spans="1:7">
      <c r="A117">
        <v>3260</v>
      </c>
      <c r="B117" t="s">
        <v>1354</v>
      </c>
      <c r="C117">
        <v>34.22</v>
      </c>
      <c r="D117">
        <v>2</v>
      </c>
      <c r="E117">
        <v>111</v>
      </c>
      <c r="F117">
        <v>1.94</v>
      </c>
      <c r="G117">
        <v>2.15</v>
      </c>
    </row>
    <row r="118" spans="1:7">
      <c r="A118">
        <v>3264</v>
      </c>
      <c r="B118" t="s">
        <v>1355</v>
      </c>
      <c r="C118">
        <v>11.99</v>
      </c>
      <c r="D118">
        <v>3.5</v>
      </c>
      <c r="E118">
        <v>111</v>
      </c>
      <c r="F118">
        <v>4.7300000000000004</v>
      </c>
      <c r="G118">
        <v>2.0499999999999998</v>
      </c>
    </row>
    <row r="119" spans="1:7">
      <c r="A119">
        <v>3265</v>
      </c>
      <c r="B119" t="s">
        <v>1356</v>
      </c>
      <c r="C119">
        <v>15.14</v>
      </c>
      <c r="D119">
        <v>5</v>
      </c>
      <c r="E119">
        <v>111</v>
      </c>
      <c r="F119">
        <v>5.48</v>
      </c>
      <c r="G119">
        <v>2.08</v>
      </c>
    </row>
    <row r="120" spans="1:7">
      <c r="A120">
        <v>3268</v>
      </c>
      <c r="B120" t="s">
        <v>1357</v>
      </c>
      <c r="C120" t="s">
        <v>1259</v>
      </c>
      <c r="D120">
        <v>0.7</v>
      </c>
      <c r="E120">
        <v>111</v>
      </c>
      <c r="F120">
        <v>2.4700000000000002</v>
      </c>
      <c r="G120">
        <v>1.82</v>
      </c>
    </row>
    <row r="121" spans="1:7">
      <c r="A121">
        <v>3272</v>
      </c>
      <c r="B121" t="s">
        <v>1358</v>
      </c>
      <c r="C121" t="s">
        <v>1259</v>
      </c>
      <c r="D121">
        <v>2.9</v>
      </c>
      <c r="E121">
        <v>111</v>
      </c>
      <c r="F121">
        <v>8.5500000000000007</v>
      </c>
      <c r="G121">
        <v>1.21</v>
      </c>
    </row>
    <row r="122" spans="1:7">
      <c r="A122">
        <v>3276</v>
      </c>
      <c r="B122" t="s">
        <v>1359</v>
      </c>
      <c r="C122">
        <v>36.69</v>
      </c>
      <c r="D122">
        <v>0.5</v>
      </c>
      <c r="E122">
        <v>111</v>
      </c>
      <c r="F122">
        <v>2.2000000000000002</v>
      </c>
      <c r="G122">
        <v>2</v>
      </c>
    </row>
    <row r="123" spans="1:7">
      <c r="A123">
        <v>3284</v>
      </c>
      <c r="B123" t="s">
        <v>1360</v>
      </c>
      <c r="C123">
        <v>25.63</v>
      </c>
      <c r="D123">
        <v>0.2</v>
      </c>
      <c r="E123">
        <v>111</v>
      </c>
      <c r="F123">
        <v>1.22</v>
      </c>
      <c r="G123">
        <v>1.42</v>
      </c>
    </row>
    <row r="124" spans="1:7">
      <c r="A124">
        <v>3285</v>
      </c>
      <c r="B124" t="s">
        <v>1361</v>
      </c>
      <c r="C124">
        <v>47.07</v>
      </c>
      <c r="D124">
        <v>0</v>
      </c>
      <c r="E124">
        <v>111</v>
      </c>
      <c r="F124">
        <v>0</v>
      </c>
      <c r="G124">
        <v>1.94</v>
      </c>
    </row>
    <row r="125" spans="1:7">
      <c r="A125">
        <v>3287</v>
      </c>
      <c r="B125" t="s">
        <v>1362</v>
      </c>
      <c r="C125">
        <v>63.46</v>
      </c>
      <c r="D125">
        <v>0</v>
      </c>
      <c r="E125">
        <v>111</v>
      </c>
      <c r="F125">
        <v>0</v>
      </c>
      <c r="G125">
        <v>2.72</v>
      </c>
    </row>
    <row r="126" spans="1:7">
      <c r="A126">
        <v>3288</v>
      </c>
      <c r="B126" t="s">
        <v>1363</v>
      </c>
      <c r="C126" t="s">
        <v>1259</v>
      </c>
      <c r="D126">
        <v>0</v>
      </c>
      <c r="E126">
        <v>111</v>
      </c>
      <c r="F126">
        <v>0</v>
      </c>
      <c r="G126">
        <v>4.51</v>
      </c>
    </row>
    <row r="127" spans="1:7">
      <c r="A127">
        <v>3289</v>
      </c>
      <c r="B127" t="s">
        <v>1364</v>
      </c>
      <c r="C127">
        <v>15.98</v>
      </c>
      <c r="D127">
        <v>1.99036064</v>
      </c>
      <c r="E127">
        <v>111</v>
      </c>
      <c r="F127">
        <v>2.15</v>
      </c>
      <c r="G127">
        <v>2.02</v>
      </c>
    </row>
    <row r="128" spans="1:7">
      <c r="A128">
        <v>3290</v>
      </c>
      <c r="B128" t="s">
        <v>1365</v>
      </c>
      <c r="C128">
        <v>18.29</v>
      </c>
      <c r="D128">
        <v>0.56880536000000004</v>
      </c>
      <c r="E128">
        <v>111</v>
      </c>
      <c r="F128">
        <v>2.13</v>
      </c>
      <c r="G128">
        <v>1.62</v>
      </c>
    </row>
    <row r="129" spans="1:7">
      <c r="A129">
        <v>3293</v>
      </c>
      <c r="B129" t="s">
        <v>1366</v>
      </c>
      <c r="C129">
        <v>16.489999999999998</v>
      </c>
      <c r="D129">
        <v>35</v>
      </c>
      <c r="E129">
        <v>111</v>
      </c>
      <c r="F129">
        <v>4.83</v>
      </c>
      <c r="G129">
        <v>9.64</v>
      </c>
    </row>
    <row r="130" spans="1:7">
      <c r="A130">
        <v>3294</v>
      </c>
      <c r="B130" t="s">
        <v>1367</v>
      </c>
      <c r="C130" t="s">
        <v>1259</v>
      </c>
      <c r="D130">
        <v>0</v>
      </c>
      <c r="E130">
        <v>111</v>
      </c>
      <c r="F130">
        <v>0</v>
      </c>
      <c r="G130">
        <v>1.1599999999999999</v>
      </c>
    </row>
    <row r="131" spans="1:7">
      <c r="A131">
        <v>3297</v>
      </c>
      <c r="B131" t="s">
        <v>1368</v>
      </c>
      <c r="C131" t="s">
        <v>1259</v>
      </c>
      <c r="D131">
        <v>0</v>
      </c>
      <c r="E131">
        <v>111</v>
      </c>
      <c r="F131">
        <v>0</v>
      </c>
      <c r="G131">
        <v>1.08</v>
      </c>
    </row>
    <row r="132" spans="1:7">
      <c r="A132">
        <v>3303</v>
      </c>
      <c r="B132" t="s">
        <v>1369</v>
      </c>
      <c r="C132">
        <v>17.41</v>
      </c>
      <c r="D132">
        <v>2</v>
      </c>
      <c r="E132">
        <v>111</v>
      </c>
      <c r="F132">
        <v>6.84</v>
      </c>
      <c r="G132">
        <v>1.44</v>
      </c>
    </row>
    <row r="133" spans="1:7">
      <c r="A133">
        <v>3306</v>
      </c>
      <c r="B133" t="s">
        <v>1370</v>
      </c>
      <c r="C133">
        <v>46.86</v>
      </c>
      <c r="D133">
        <v>0.5</v>
      </c>
      <c r="E133">
        <v>111</v>
      </c>
      <c r="F133">
        <v>1.02</v>
      </c>
      <c r="G133">
        <v>0.86</v>
      </c>
    </row>
    <row r="134" spans="1:7">
      <c r="A134">
        <v>3310</v>
      </c>
      <c r="B134" t="s">
        <v>1371</v>
      </c>
      <c r="C134">
        <v>35.74</v>
      </c>
      <c r="D134">
        <v>3.02220624</v>
      </c>
      <c r="E134">
        <v>111</v>
      </c>
      <c r="F134">
        <v>2.77</v>
      </c>
      <c r="G134">
        <v>4.12</v>
      </c>
    </row>
    <row r="135" spans="1:7">
      <c r="A135">
        <v>3313</v>
      </c>
      <c r="B135" t="s">
        <v>1372</v>
      </c>
      <c r="C135" t="s">
        <v>1259</v>
      </c>
      <c r="D135">
        <v>0</v>
      </c>
      <c r="E135">
        <v>111</v>
      </c>
      <c r="F135">
        <v>0</v>
      </c>
      <c r="G135">
        <v>1.37</v>
      </c>
    </row>
    <row r="136" spans="1:7">
      <c r="A136">
        <v>3317</v>
      </c>
      <c r="B136" t="s">
        <v>1373</v>
      </c>
      <c r="C136">
        <v>21.56</v>
      </c>
      <c r="D136">
        <v>2</v>
      </c>
      <c r="E136">
        <v>111</v>
      </c>
      <c r="F136">
        <v>3.22</v>
      </c>
      <c r="G136">
        <v>1.56</v>
      </c>
    </row>
    <row r="137" spans="1:7">
      <c r="A137">
        <v>3322</v>
      </c>
      <c r="B137" t="s">
        <v>1374</v>
      </c>
      <c r="C137">
        <v>24.94</v>
      </c>
      <c r="D137">
        <v>0.6</v>
      </c>
      <c r="E137">
        <v>111</v>
      </c>
      <c r="F137">
        <v>2.73</v>
      </c>
      <c r="G137">
        <v>1.68</v>
      </c>
    </row>
    <row r="138" spans="1:7">
      <c r="A138">
        <v>3323</v>
      </c>
      <c r="B138" t="s">
        <v>1375</v>
      </c>
      <c r="C138" t="s">
        <v>1259</v>
      </c>
      <c r="D138">
        <v>1.5</v>
      </c>
      <c r="E138">
        <v>111</v>
      </c>
      <c r="F138">
        <v>5.0999999999999996</v>
      </c>
      <c r="G138">
        <v>0.98</v>
      </c>
    </row>
    <row r="139" spans="1:7">
      <c r="A139">
        <v>3324</v>
      </c>
      <c r="B139" t="s">
        <v>1376</v>
      </c>
      <c r="C139">
        <v>25.69</v>
      </c>
      <c r="D139">
        <v>6.5</v>
      </c>
      <c r="E139">
        <v>111</v>
      </c>
      <c r="F139">
        <v>1.84</v>
      </c>
      <c r="G139">
        <v>5.04</v>
      </c>
    </row>
    <row r="140" spans="1:7">
      <c r="A140">
        <v>3325</v>
      </c>
      <c r="B140" t="s">
        <v>1377</v>
      </c>
      <c r="C140" t="s">
        <v>1259</v>
      </c>
      <c r="D140">
        <v>0</v>
      </c>
      <c r="E140">
        <v>111</v>
      </c>
      <c r="F140">
        <v>0</v>
      </c>
      <c r="G140">
        <v>3.37</v>
      </c>
    </row>
    <row r="141" spans="1:7">
      <c r="A141">
        <v>3332</v>
      </c>
      <c r="B141" t="s">
        <v>1378</v>
      </c>
      <c r="C141">
        <v>11.98</v>
      </c>
      <c r="D141">
        <v>2.5</v>
      </c>
      <c r="E141">
        <v>111</v>
      </c>
      <c r="F141">
        <v>5.77</v>
      </c>
      <c r="G141">
        <v>1.24</v>
      </c>
    </row>
    <row r="142" spans="1:7">
      <c r="A142">
        <v>3339</v>
      </c>
      <c r="B142" t="s">
        <v>1379</v>
      </c>
      <c r="C142">
        <v>50</v>
      </c>
      <c r="D142">
        <v>0</v>
      </c>
      <c r="E142">
        <v>111</v>
      </c>
      <c r="F142">
        <v>0</v>
      </c>
      <c r="G142">
        <v>1.51</v>
      </c>
    </row>
    <row r="143" spans="1:7">
      <c r="A143">
        <v>3349</v>
      </c>
      <c r="B143" t="s">
        <v>1380</v>
      </c>
      <c r="C143" t="s">
        <v>1259</v>
      </c>
      <c r="D143">
        <v>0</v>
      </c>
      <c r="E143">
        <v>111</v>
      </c>
      <c r="F143">
        <v>0</v>
      </c>
      <c r="G143">
        <v>1.88</v>
      </c>
    </row>
    <row r="144" spans="1:7">
      <c r="A144">
        <v>3354</v>
      </c>
      <c r="B144" t="s">
        <v>1381</v>
      </c>
      <c r="C144" t="s">
        <v>1259</v>
      </c>
      <c r="D144">
        <v>0.2</v>
      </c>
      <c r="E144">
        <v>111</v>
      </c>
      <c r="F144">
        <v>1.3</v>
      </c>
      <c r="G144">
        <v>1.1399999999999999</v>
      </c>
    </row>
    <row r="145" spans="1:7">
      <c r="A145">
        <v>3357</v>
      </c>
      <c r="B145" t="s">
        <v>1382</v>
      </c>
      <c r="C145">
        <v>19.100000000000001</v>
      </c>
      <c r="D145">
        <v>6</v>
      </c>
      <c r="E145">
        <v>111</v>
      </c>
      <c r="F145">
        <v>5.26</v>
      </c>
      <c r="G145">
        <v>1.75</v>
      </c>
    </row>
    <row r="146" spans="1:7">
      <c r="A146">
        <v>3360</v>
      </c>
      <c r="B146" t="s">
        <v>1383</v>
      </c>
      <c r="C146" t="s">
        <v>1259</v>
      </c>
      <c r="D146">
        <v>0.8</v>
      </c>
      <c r="E146">
        <v>111</v>
      </c>
      <c r="F146">
        <v>6.2</v>
      </c>
      <c r="G146">
        <v>1.07</v>
      </c>
    </row>
    <row r="147" spans="1:7">
      <c r="A147">
        <v>3362</v>
      </c>
      <c r="B147" t="s">
        <v>1384</v>
      </c>
      <c r="C147">
        <v>68.92</v>
      </c>
      <c r="D147">
        <v>1</v>
      </c>
      <c r="E147">
        <v>111</v>
      </c>
      <c r="F147">
        <v>0.57999999999999996</v>
      </c>
      <c r="G147">
        <v>7.59</v>
      </c>
    </row>
    <row r="148" spans="1:7">
      <c r="A148">
        <v>3363</v>
      </c>
      <c r="B148" t="s">
        <v>1385</v>
      </c>
      <c r="C148">
        <v>154</v>
      </c>
      <c r="D148">
        <v>0.5</v>
      </c>
      <c r="E148">
        <v>111</v>
      </c>
      <c r="F148">
        <v>0.72</v>
      </c>
      <c r="G148">
        <v>3.8</v>
      </c>
    </row>
    <row r="149" spans="1:7">
      <c r="A149">
        <v>3372</v>
      </c>
      <c r="B149" t="s">
        <v>1386</v>
      </c>
      <c r="C149" t="s">
        <v>1259</v>
      </c>
      <c r="D149">
        <v>0.50019959999999997</v>
      </c>
      <c r="E149">
        <v>111</v>
      </c>
      <c r="F149">
        <v>3.45</v>
      </c>
      <c r="G149">
        <v>1.31</v>
      </c>
    </row>
    <row r="150" spans="1:7">
      <c r="A150">
        <v>3373</v>
      </c>
      <c r="B150" t="s">
        <v>1387</v>
      </c>
      <c r="C150" t="s">
        <v>1259</v>
      </c>
      <c r="D150">
        <v>0.5</v>
      </c>
      <c r="E150">
        <v>111</v>
      </c>
      <c r="F150">
        <v>1.88</v>
      </c>
      <c r="G150">
        <v>1.21</v>
      </c>
    </row>
    <row r="151" spans="1:7">
      <c r="A151">
        <v>3374</v>
      </c>
      <c r="B151" t="s">
        <v>1388</v>
      </c>
      <c r="C151">
        <v>24.81</v>
      </c>
      <c r="D151">
        <v>3</v>
      </c>
      <c r="E151">
        <v>111</v>
      </c>
      <c r="F151">
        <v>2.35</v>
      </c>
      <c r="G151">
        <v>4.5999999999999996</v>
      </c>
    </row>
    <row r="152" spans="1:7">
      <c r="A152">
        <v>3379</v>
      </c>
      <c r="B152" t="s">
        <v>1389</v>
      </c>
      <c r="C152" t="s">
        <v>1259</v>
      </c>
      <c r="D152">
        <v>0</v>
      </c>
      <c r="E152">
        <v>111</v>
      </c>
      <c r="F152">
        <v>0</v>
      </c>
      <c r="G152">
        <v>1.1399999999999999</v>
      </c>
    </row>
    <row r="153" spans="1:7">
      <c r="A153">
        <v>3388</v>
      </c>
      <c r="B153" t="s">
        <v>1390</v>
      </c>
      <c r="C153">
        <v>22.89</v>
      </c>
      <c r="D153">
        <v>4.4099190000000004</v>
      </c>
      <c r="E153">
        <v>111</v>
      </c>
      <c r="F153">
        <v>6.26</v>
      </c>
      <c r="G153">
        <v>1.17</v>
      </c>
    </row>
    <row r="154" spans="1:7">
      <c r="A154">
        <v>3390</v>
      </c>
      <c r="B154" t="s">
        <v>1391</v>
      </c>
      <c r="C154">
        <v>40.83</v>
      </c>
      <c r="D154">
        <v>0.68</v>
      </c>
      <c r="E154">
        <v>111</v>
      </c>
      <c r="F154">
        <v>2.31</v>
      </c>
      <c r="G154">
        <v>1.73</v>
      </c>
    </row>
    <row r="155" spans="1:7">
      <c r="A155">
        <v>3402</v>
      </c>
      <c r="B155" t="s">
        <v>1392</v>
      </c>
      <c r="C155">
        <v>13.55</v>
      </c>
      <c r="D155">
        <v>4.2</v>
      </c>
      <c r="E155">
        <v>111</v>
      </c>
      <c r="F155">
        <v>6.01</v>
      </c>
      <c r="G155">
        <v>2.89</v>
      </c>
    </row>
    <row r="156" spans="1:7">
      <c r="A156">
        <v>3426</v>
      </c>
      <c r="B156" t="s">
        <v>1393</v>
      </c>
      <c r="C156">
        <v>17.579999999999998</v>
      </c>
      <c r="D156">
        <v>2.2999999999999998</v>
      </c>
      <c r="E156">
        <v>111</v>
      </c>
      <c r="F156">
        <v>5.76</v>
      </c>
      <c r="G156">
        <v>1.55</v>
      </c>
    </row>
    <row r="157" spans="1:7">
      <c r="A157">
        <v>3430</v>
      </c>
      <c r="B157" t="s">
        <v>1394</v>
      </c>
      <c r="C157">
        <v>10.84</v>
      </c>
      <c r="D157">
        <v>3</v>
      </c>
      <c r="E157">
        <v>111</v>
      </c>
      <c r="F157">
        <v>6.29</v>
      </c>
      <c r="G157">
        <v>1.59</v>
      </c>
    </row>
    <row r="158" spans="1:7">
      <c r="A158">
        <v>3434</v>
      </c>
      <c r="B158" t="s">
        <v>1395</v>
      </c>
      <c r="C158">
        <v>43.2</v>
      </c>
      <c r="D158">
        <v>1.6</v>
      </c>
      <c r="E158">
        <v>111</v>
      </c>
      <c r="F158">
        <v>5.79</v>
      </c>
      <c r="G158">
        <v>2.44</v>
      </c>
    </row>
    <row r="159" spans="1:7">
      <c r="A159">
        <v>3438</v>
      </c>
      <c r="B159" t="s">
        <v>1396</v>
      </c>
      <c r="C159" t="s">
        <v>1259</v>
      </c>
      <c r="D159">
        <v>1.4</v>
      </c>
      <c r="E159">
        <v>111</v>
      </c>
      <c r="F159">
        <v>1.7</v>
      </c>
      <c r="G159">
        <v>2.04</v>
      </c>
    </row>
    <row r="160" spans="1:7">
      <c r="A160">
        <v>3441</v>
      </c>
      <c r="B160" t="s">
        <v>1397</v>
      </c>
      <c r="C160">
        <v>39.74</v>
      </c>
      <c r="D160">
        <v>1.5</v>
      </c>
      <c r="E160">
        <v>111</v>
      </c>
      <c r="F160">
        <v>3.97</v>
      </c>
      <c r="G160">
        <v>1.96</v>
      </c>
    </row>
    <row r="161" spans="1:7">
      <c r="A161">
        <v>3444</v>
      </c>
      <c r="B161" t="s">
        <v>1398</v>
      </c>
      <c r="C161">
        <v>40.96</v>
      </c>
      <c r="D161">
        <v>3.8</v>
      </c>
      <c r="E161">
        <v>111</v>
      </c>
      <c r="F161">
        <v>3.57</v>
      </c>
      <c r="G161">
        <v>4.32</v>
      </c>
    </row>
    <row r="162" spans="1:7">
      <c r="A162">
        <v>3455</v>
      </c>
      <c r="B162" t="s">
        <v>1399</v>
      </c>
      <c r="C162">
        <v>12.06</v>
      </c>
      <c r="D162">
        <v>8.5</v>
      </c>
      <c r="E162">
        <v>111</v>
      </c>
      <c r="F162">
        <v>11.5</v>
      </c>
      <c r="G162">
        <v>1.78</v>
      </c>
    </row>
    <row r="163" spans="1:7">
      <c r="A163">
        <v>3465</v>
      </c>
      <c r="B163" t="s">
        <v>1400</v>
      </c>
      <c r="C163" t="s">
        <v>1259</v>
      </c>
      <c r="D163">
        <v>4</v>
      </c>
      <c r="E163">
        <v>111</v>
      </c>
      <c r="F163">
        <v>5.17</v>
      </c>
      <c r="G163">
        <v>3.14</v>
      </c>
    </row>
    <row r="164" spans="1:7">
      <c r="A164">
        <v>3466</v>
      </c>
      <c r="B164" t="s">
        <v>1401</v>
      </c>
      <c r="C164" t="s">
        <v>1259</v>
      </c>
      <c r="D164">
        <v>0</v>
      </c>
      <c r="E164">
        <v>111</v>
      </c>
      <c r="F164">
        <v>0</v>
      </c>
      <c r="G164">
        <v>1.53</v>
      </c>
    </row>
    <row r="165" spans="1:7">
      <c r="A165">
        <v>3479</v>
      </c>
      <c r="B165" t="s">
        <v>1402</v>
      </c>
      <c r="C165">
        <v>12.99</v>
      </c>
      <c r="D165">
        <v>4.9401784199999996</v>
      </c>
      <c r="E165">
        <v>111</v>
      </c>
      <c r="F165">
        <v>4.13</v>
      </c>
      <c r="G165">
        <v>2.82</v>
      </c>
    </row>
    <row r="166" spans="1:7">
      <c r="A166">
        <v>3483</v>
      </c>
      <c r="B166" t="s">
        <v>1403</v>
      </c>
      <c r="C166">
        <v>21.96</v>
      </c>
      <c r="D166">
        <v>3.9832197499999999</v>
      </c>
      <c r="E166">
        <v>111</v>
      </c>
      <c r="F166">
        <v>2.4500000000000002</v>
      </c>
      <c r="G166">
        <v>3.3</v>
      </c>
    </row>
    <row r="167" spans="1:7">
      <c r="A167">
        <v>3484</v>
      </c>
      <c r="B167" t="s">
        <v>1404</v>
      </c>
      <c r="C167">
        <v>40.869999999999997</v>
      </c>
      <c r="D167">
        <v>2.5</v>
      </c>
      <c r="E167">
        <v>111</v>
      </c>
      <c r="F167">
        <v>5.32</v>
      </c>
      <c r="G167">
        <v>1.3</v>
      </c>
    </row>
    <row r="168" spans="1:7">
      <c r="A168">
        <v>3489</v>
      </c>
      <c r="B168" t="s">
        <v>1405</v>
      </c>
      <c r="C168">
        <v>30.69</v>
      </c>
      <c r="D168">
        <v>0.3</v>
      </c>
      <c r="E168">
        <v>111</v>
      </c>
      <c r="F168">
        <v>1.92</v>
      </c>
      <c r="G168">
        <v>1.01</v>
      </c>
    </row>
    <row r="169" spans="1:7">
      <c r="A169">
        <v>3490</v>
      </c>
      <c r="B169" t="s">
        <v>1406</v>
      </c>
      <c r="C169">
        <v>19.75</v>
      </c>
      <c r="D169">
        <v>1.3</v>
      </c>
      <c r="E169">
        <v>111</v>
      </c>
      <c r="F169">
        <v>5.58</v>
      </c>
      <c r="G169">
        <v>1.02</v>
      </c>
    </row>
    <row r="170" spans="1:7">
      <c r="A170">
        <v>3491</v>
      </c>
      <c r="B170" t="s">
        <v>1407</v>
      </c>
      <c r="C170">
        <v>49.69</v>
      </c>
      <c r="D170">
        <v>3.9571490599999999</v>
      </c>
      <c r="E170">
        <v>111</v>
      </c>
      <c r="F170">
        <v>2.44</v>
      </c>
      <c r="G170">
        <v>5.1100000000000003</v>
      </c>
    </row>
    <row r="171" spans="1:7">
      <c r="A171">
        <v>3492</v>
      </c>
      <c r="B171" t="s">
        <v>1408</v>
      </c>
      <c r="C171">
        <v>23.11</v>
      </c>
      <c r="D171">
        <v>1</v>
      </c>
      <c r="E171">
        <v>111</v>
      </c>
      <c r="F171">
        <v>5.28</v>
      </c>
      <c r="G171">
        <v>1.1599999999999999</v>
      </c>
    </row>
    <row r="172" spans="1:7">
      <c r="A172">
        <v>3498</v>
      </c>
      <c r="B172" t="s">
        <v>1409</v>
      </c>
      <c r="C172">
        <v>63.83</v>
      </c>
      <c r="D172">
        <v>2</v>
      </c>
      <c r="E172">
        <v>111</v>
      </c>
      <c r="F172">
        <v>6.67</v>
      </c>
      <c r="G172">
        <v>0.74</v>
      </c>
    </row>
    <row r="173" spans="1:7">
      <c r="A173">
        <v>3499</v>
      </c>
      <c r="B173" t="s">
        <v>1410</v>
      </c>
      <c r="C173" t="s">
        <v>1259</v>
      </c>
      <c r="D173">
        <v>0</v>
      </c>
      <c r="E173">
        <v>111</v>
      </c>
      <c r="F173">
        <v>0</v>
      </c>
      <c r="G173">
        <v>2.12</v>
      </c>
    </row>
    <row r="174" spans="1:7">
      <c r="A174">
        <v>3508</v>
      </c>
      <c r="B174" t="s">
        <v>1411</v>
      </c>
      <c r="C174" t="s">
        <v>1259</v>
      </c>
      <c r="D174">
        <v>0</v>
      </c>
      <c r="E174">
        <v>111</v>
      </c>
      <c r="F174">
        <v>0</v>
      </c>
      <c r="G174">
        <v>3.33</v>
      </c>
    </row>
    <row r="175" spans="1:7">
      <c r="A175">
        <v>3511</v>
      </c>
      <c r="B175" t="s">
        <v>1412</v>
      </c>
      <c r="C175" t="s">
        <v>1259</v>
      </c>
      <c r="D175">
        <v>2.5</v>
      </c>
      <c r="E175">
        <v>111</v>
      </c>
      <c r="F175">
        <v>8.9</v>
      </c>
      <c r="G175">
        <v>1.49</v>
      </c>
    </row>
    <row r="176" spans="1:7">
      <c r="A176">
        <v>3512</v>
      </c>
      <c r="B176" t="s">
        <v>1413</v>
      </c>
      <c r="C176">
        <v>20.56</v>
      </c>
      <c r="D176">
        <v>2.9998927499999999</v>
      </c>
      <c r="E176">
        <v>111</v>
      </c>
      <c r="F176">
        <v>9.06</v>
      </c>
      <c r="G176">
        <v>1.62</v>
      </c>
    </row>
    <row r="177" spans="1:7">
      <c r="A177">
        <v>3516</v>
      </c>
      <c r="B177" t="s">
        <v>1414</v>
      </c>
      <c r="C177">
        <v>23.4</v>
      </c>
      <c r="D177">
        <v>0.6</v>
      </c>
      <c r="E177">
        <v>111</v>
      </c>
      <c r="F177">
        <v>3.29</v>
      </c>
      <c r="G177">
        <v>0.71</v>
      </c>
    </row>
    <row r="178" spans="1:7">
      <c r="A178">
        <v>3520</v>
      </c>
      <c r="B178" t="s">
        <v>1415</v>
      </c>
      <c r="C178">
        <v>150.44999999999999</v>
      </c>
      <c r="D178">
        <v>0.3</v>
      </c>
      <c r="E178">
        <v>111</v>
      </c>
      <c r="F178">
        <v>1.81</v>
      </c>
      <c r="G178">
        <v>1.42</v>
      </c>
    </row>
    <row r="179" spans="1:7">
      <c r="A179">
        <v>3521</v>
      </c>
      <c r="B179" t="s">
        <v>1416</v>
      </c>
      <c r="C179" t="s">
        <v>1259</v>
      </c>
      <c r="D179">
        <v>0</v>
      </c>
      <c r="E179">
        <v>111</v>
      </c>
      <c r="F179">
        <v>0</v>
      </c>
      <c r="G179">
        <v>2.11</v>
      </c>
    </row>
    <row r="180" spans="1:7">
      <c r="A180">
        <v>3522</v>
      </c>
      <c r="B180" t="s">
        <v>1417</v>
      </c>
      <c r="C180" t="s">
        <v>1259</v>
      </c>
      <c r="D180">
        <v>0</v>
      </c>
      <c r="E180">
        <v>111</v>
      </c>
      <c r="F180">
        <v>0</v>
      </c>
      <c r="G180">
        <v>3.36</v>
      </c>
    </row>
    <row r="181" spans="1:7">
      <c r="A181">
        <v>3523</v>
      </c>
      <c r="B181" t="s">
        <v>1418</v>
      </c>
      <c r="C181" t="s">
        <v>1259</v>
      </c>
      <c r="D181">
        <v>0</v>
      </c>
      <c r="E181">
        <v>111</v>
      </c>
      <c r="F181">
        <v>0</v>
      </c>
      <c r="G181">
        <v>1.79</v>
      </c>
    </row>
    <row r="182" spans="1:7">
      <c r="A182">
        <v>3526</v>
      </c>
      <c r="B182" t="s">
        <v>1419</v>
      </c>
      <c r="C182">
        <v>19.239999999999998</v>
      </c>
      <c r="D182">
        <v>9.4</v>
      </c>
      <c r="E182">
        <v>111</v>
      </c>
      <c r="F182">
        <v>4.9000000000000004</v>
      </c>
      <c r="G182">
        <v>4.5199999999999996</v>
      </c>
    </row>
    <row r="183" spans="1:7">
      <c r="A183">
        <v>3527</v>
      </c>
      <c r="B183" t="s">
        <v>1420</v>
      </c>
      <c r="C183" t="s">
        <v>1259</v>
      </c>
      <c r="D183">
        <v>4</v>
      </c>
      <c r="E183">
        <v>111</v>
      </c>
      <c r="F183">
        <v>3.62</v>
      </c>
      <c r="G183">
        <v>1.96</v>
      </c>
    </row>
    <row r="184" spans="1:7">
      <c r="A184">
        <v>3529</v>
      </c>
      <c r="B184" t="s">
        <v>1421</v>
      </c>
      <c r="C184">
        <v>124.37</v>
      </c>
      <c r="D184">
        <v>20.49944</v>
      </c>
      <c r="E184">
        <v>111</v>
      </c>
      <c r="F184">
        <v>0.84</v>
      </c>
      <c r="G184">
        <v>69.88</v>
      </c>
    </row>
    <row r="185" spans="1:7">
      <c r="A185">
        <v>3531</v>
      </c>
      <c r="B185" t="s">
        <v>1422</v>
      </c>
      <c r="C185">
        <v>14.09</v>
      </c>
      <c r="D185">
        <v>2</v>
      </c>
      <c r="E185">
        <v>111</v>
      </c>
      <c r="F185">
        <v>6.14</v>
      </c>
      <c r="G185">
        <v>1.05</v>
      </c>
    </row>
    <row r="186" spans="1:7">
      <c r="A186">
        <v>3537</v>
      </c>
      <c r="B186" t="s">
        <v>1423</v>
      </c>
      <c r="C186">
        <v>12.37</v>
      </c>
      <c r="D186">
        <v>2.5</v>
      </c>
      <c r="E186">
        <v>111</v>
      </c>
      <c r="F186">
        <v>6.14</v>
      </c>
      <c r="G186">
        <v>1.88</v>
      </c>
    </row>
    <row r="187" spans="1:7">
      <c r="A187">
        <v>3540</v>
      </c>
      <c r="B187" t="s">
        <v>1424</v>
      </c>
      <c r="C187">
        <v>25.75</v>
      </c>
      <c r="D187">
        <v>0.29811999</v>
      </c>
      <c r="E187">
        <v>111</v>
      </c>
      <c r="F187">
        <v>0.67</v>
      </c>
      <c r="G187">
        <v>1.68</v>
      </c>
    </row>
    <row r="188" spans="1:7">
      <c r="A188">
        <v>3541</v>
      </c>
      <c r="B188" t="s">
        <v>1425</v>
      </c>
      <c r="C188">
        <v>91.4</v>
      </c>
      <c r="D188">
        <v>5</v>
      </c>
      <c r="E188">
        <v>111</v>
      </c>
      <c r="F188">
        <v>12.72</v>
      </c>
      <c r="G188">
        <v>2.0499999999999998</v>
      </c>
    </row>
    <row r="189" spans="1:7">
      <c r="A189">
        <v>3546</v>
      </c>
      <c r="B189" t="s">
        <v>1426</v>
      </c>
      <c r="C189">
        <v>15.66</v>
      </c>
      <c r="D189">
        <v>6.0000001200000002</v>
      </c>
      <c r="E189">
        <v>111</v>
      </c>
      <c r="F189">
        <v>7.69</v>
      </c>
      <c r="G189">
        <v>2.79</v>
      </c>
    </row>
    <row r="190" spans="1:7">
      <c r="A190">
        <v>3548</v>
      </c>
      <c r="B190" t="s">
        <v>1427</v>
      </c>
      <c r="C190">
        <v>27.79</v>
      </c>
      <c r="D190">
        <v>2.9999284500000001</v>
      </c>
      <c r="E190">
        <v>111</v>
      </c>
      <c r="F190">
        <v>1.58</v>
      </c>
      <c r="G190">
        <v>2.41</v>
      </c>
    </row>
    <row r="191" spans="1:7">
      <c r="A191">
        <v>3551</v>
      </c>
      <c r="B191" t="s">
        <v>1428</v>
      </c>
      <c r="C191">
        <v>15.13</v>
      </c>
      <c r="D191">
        <v>3.2</v>
      </c>
      <c r="E191">
        <v>111</v>
      </c>
      <c r="F191">
        <v>3.78</v>
      </c>
      <c r="G191">
        <v>1.37</v>
      </c>
    </row>
    <row r="192" spans="1:7">
      <c r="A192">
        <v>3552</v>
      </c>
      <c r="B192" t="s">
        <v>1429</v>
      </c>
      <c r="C192">
        <v>28.75</v>
      </c>
      <c r="D192">
        <v>3.5</v>
      </c>
      <c r="E192">
        <v>111</v>
      </c>
      <c r="F192">
        <v>2.41</v>
      </c>
      <c r="G192">
        <v>2.89</v>
      </c>
    </row>
    <row r="193" spans="1:7">
      <c r="A193">
        <v>3555</v>
      </c>
      <c r="B193" t="s">
        <v>1430</v>
      </c>
      <c r="C193" t="s">
        <v>1259</v>
      </c>
      <c r="D193">
        <v>0</v>
      </c>
      <c r="E193">
        <v>111</v>
      </c>
      <c r="F193">
        <v>0</v>
      </c>
      <c r="G193">
        <v>4.92</v>
      </c>
    </row>
    <row r="194" spans="1:7">
      <c r="A194">
        <v>3556</v>
      </c>
      <c r="B194" t="s">
        <v>1431</v>
      </c>
      <c r="C194">
        <v>21.2</v>
      </c>
      <c r="D194">
        <v>4.7</v>
      </c>
      <c r="E194">
        <v>111</v>
      </c>
      <c r="F194">
        <v>7.62</v>
      </c>
      <c r="G194">
        <v>3.37</v>
      </c>
    </row>
    <row r="195" spans="1:7">
      <c r="A195">
        <v>3558</v>
      </c>
      <c r="B195" t="s">
        <v>1432</v>
      </c>
      <c r="C195">
        <v>11.46</v>
      </c>
      <c r="D195">
        <v>5</v>
      </c>
      <c r="E195">
        <v>111</v>
      </c>
      <c r="F195">
        <v>2.04</v>
      </c>
      <c r="G195">
        <v>2.6</v>
      </c>
    </row>
    <row r="196" spans="1:7">
      <c r="A196">
        <v>3564</v>
      </c>
      <c r="B196" t="s">
        <v>1433</v>
      </c>
      <c r="C196">
        <v>62.41</v>
      </c>
      <c r="D196">
        <v>0.8</v>
      </c>
      <c r="E196">
        <v>111</v>
      </c>
      <c r="F196">
        <v>1.54</v>
      </c>
      <c r="G196">
        <v>2.4700000000000002</v>
      </c>
    </row>
    <row r="197" spans="1:7">
      <c r="A197">
        <v>3567</v>
      </c>
      <c r="B197" t="s">
        <v>1434</v>
      </c>
      <c r="C197">
        <v>15.77</v>
      </c>
      <c r="D197">
        <v>2.1</v>
      </c>
      <c r="E197">
        <v>111</v>
      </c>
      <c r="F197">
        <v>5.01</v>
      </c>
      <c r="G197">
        <v>2.35</v>
      </c>
    </row>
    <row r="198" spans="1:7">
      <c r="A198">
        <v>3570</v>
      </c>
      <c r="B198" t="s">
        <v>1435</v>
      </c>
      <c r="C198">
        <v>12.67</v>
      </c>
      <c r="D198">
        <v>7.5</v>
      </c>
      <c r="E198">
        <v>111</v>
      </c>
      <c r="F198">
        <v>4.97</v>
      </c>
      <c r="G198">
        <v>2.98</v>
      </c>
    </row>
    <row r="199" spans="1:7">
      <c r="A199">
        <v>3577</v>
      </c>
      <c r="B199" t="s">
        <v>1436</v>
      </c>
      <c r="C199">
        <v>44.18</v>
      </c>
      <c r="D199">
        <v>2.5</v>
      </c>
      <c r="E199">
        <v>111</v>
      </c>
      <c r="F199">
        <v>3.08</v>
      </c>
      <c r="G199">
        <v>4.1399999999999997</v>
      </c>
    </row>
    <row r="200" spans="1:7">
      <c r="A200">
        <v>3580</v>
      </c>
      <c r="B200" t="s">
        <v>1437</v>
      </c>
      <c r="C200">
        <v>14.13</v>
      </c>
      <c r="D200">
        <v>4.5</v>
      </c>
      <c r="E200">
        <v>111</v>
      </c>
      <c r="F200">
        <v>8.77</v>
      </c>
      <c r="G200">
        <v>2.2599999999999998</v>
      </c>
    </row>
    <row r="201" spans="1:7">
      <c r="A201">
        <v>3581</v>
      </c>
      <c r="B201" t="s">
        <v>1438</v>
      </c>
      <c r="C201">
        <v>29.88</v>
      </c>
      <c r="D201">
        <v>0.8</v>
      </c>
      <c r="E201">
        <v>111</v>
      </c>
      <c r="F201">
        <v>3.11</v>
      </c>
      <c r="G201">
        <v>1.55</v>
      </c>
    </row>
    <row r="202" spans="1:7">
      <c r="A202">
        <v>3587</v>
      </c>
      <c r="B202" t="s">
        <v>1439</v>
      </c>
      <c r="C202">
        <v>20.65</v>
      </c>
      <c r="D202">
        <v>8.0754238300000001</v>
      </c>
      <c r="E202">
        <v>111</v>
      </c>
      <c r="F202">
        <v>3.47</v>
      </c>
      <c r="G202">
        <v>3.47</v>
      </c>
    </row>
    <row r="203" spans="1:7">
      <c r="A203">
        <v>3594</v>
      </c>
      <c r="B203" t="s">
        <v>1440</v>
      </c>
      <c r="C203">
        <v>28.22</v>
      </c>
      <c r="D203">
        <v>0.8</v>
      </c>
      <c r="E203">
        <v>111</v>
      </c>
      <c r="F203">
        <v>1.68</v>
      </c>
      <c r="G203">
        <v>2.09</v>
      </c>
    </row>
    <row r="204" spans="1:7">
      <c r="A204">
        <v>3597</v>
      </c>
      <c r="B204" t="s">
        <v>1441</v>
      </c>
      <c r="C204">
        <v>29.05</v>
      </c>
      <c r="D204">
        <v>1.6998387800000001</v>
      </c>
      <c r="E204">
        <v>111</v>
      </c>
      <c r="F204">
        <v>7.91</v>
      </c>
      <c r="G204">
        <v>1.48</v>
      </c>
    </row>
    <row r="205" spans="1:7">
      <c r="A205">
        <v>3609</v>
      </c>
      <c r="B205" t="s">
        <v>1442</v>
      </c>
      <c r="C205" t="s">
        <v>1259</v>
      </c>
      <c r="D205">
        <v>0</v>
      </c>
      <c r="E205">
        <v>111</v>
      </c>
      <c r="F205">
        <v>0</v>
      </c>
      <c r="G205">
        <v>3.02</v>
      </c>
    </row>
    <row r="206" spans="1:7">
      <c r="A206">
        <v>3611</v>
      </c>
      <c r="B206" t="s">
        <v>1443</v>
      </c>
      <c r="C206">
        <v>11.02</v>
      </c>
      <c r="D206">
        <v>13.970430820000001</v>
      </c>
      <c r="E206">
        <v>111</v>
      </c>
      <c r="F206">
        <v>5.78</v>
      </c>
      <c r="G206">
        <v>2.15</v>
      </c>
    </row>
    <row r="207" spans="1:7">
      <c r="A207">
        <v>3615</v>
      </c>
      <c r="B207" t="s">
        <v>1444</v>
      </c>
      <c r="C207">
        <v>29.17</v>
      </c>
      <c r="D207">
        <v>0</v>
      </c>
      <c r="E207">
        <v>111</v>
      </c>
      <c r="F207">
        <v>0</v>
      </c>
      <c r="G207">
        <v>0.68</v>
      </c>
    </row>
    <row r="208" spans="1:7">
      <c r="A208">
        <v>3623</v>
      </c>
      <c r="B208" t="s">
        <v>1445</v>
      </c>
      <c r="C208" t="s">
        <v>1259</v>
      </c>
      <c r="D208">
        <v>0</v>
      </c>
      <c r="E208">
        <v>111</v>
      </c>
      <c r="F208">
        <v>0</v>
      </c>
      <c r="G208">
        <v>2.46</v>
      </c>
    </row>
    <row r="209" spans="1:7">
      <c r="A209">
        <v>3624</v>
      </c>
      <c r="B209" t="s">
        <v>1446</v>
      </c>
      <c r="C209">
        <v>20.329999999999998</v>
      </c>
      <c r="D209">
        <v>2.6</v>
      </c>
      <c r="E209">
        <v>111</v>
      </c>
      <c r="F209">
        <v>4.6500000000000004</v>
      </c>
      <c r="G209">
        <v>2.0099999999999998</v>
      </c>
    </row>
    <row r="210" spans="1:7">
      <c r="A210">
        <v>3625</v>
      </c>
      <c r="B210" t="s">
        <v>1447</v>
      </c>
      <c r="C210" t="s">
        <v>1259</v>
      </c>
      <c r="D210">
        <v>0</v>
      </c>
      <c r="E210">
        <v>111</v>
      </c>
      <c r="F210">
        <v>0</v>
      </c>
      <c r="G210">
        <v>2.06</v>
      </c>
    </row>
    <row r="211" spans="1:7">
      <c r="A211">
        <v>3628</v>
      </c>
      <c r="B211" t="s">
        <v>1448</v>
      </c>
      <c r="C211">
        <v>15.07</v>
      </c>
      <c r="D211">
        <v>2</v>
      </c>
      <c r="E211">
        <v>111</v>
      </c>
      <c r="F211">
        <v>4.6100000000000003</v>
      </c>
      <c r="G211">
        <v>1.1399999999999999</v>
      </c>
    </row>
    <row r="212" spans="1:7">
      <c r="A212">
        <v>3629</v>
      </c>
      <c r="B212" t="s">
        <v>1449</v>
      </c>
      <c r="C212" t="s">
        <v>1259</v>
      </c>
      <c r="D212">
        <v>0</v>
      </c>
      <c r="E212">
        <v>111</v>
      </c>
      <c r="F212">
        <v>0</v>
      </c>
      <c r="G212">
        <v>9.19</v>
      </c>
    </row>
    <row r="213" spans="1:7">
      <c r="A213">
        <v>3630</v>
      </c>
      <c r="B213" t="s">
        <v>1450</v>
      </c>
      <c r="C213" t="s">
        <v>1259</v>
      </c>
      <c r="D213">
        <v>0</v>
      </c>
      <c r="E213">
        <v>111</v>
      </c>
      <c r="F213">
        <v>0</v>
      </c>
      <c r="G213">
        <v>2.33</v>
      </c>
    </row>
    <row r="214" spans="1:7">
      <c r="A214">
        <v>3631</v>
      </c>
      <c r="B214" t="s">
        <v>1451</v>
      </c>
      <c r="C214" t="s">
        <v>1259</v>
      </c>
      <c r="D214">
        <v>0</v>
      </c>
      <c r="E214">
        <v>111</v>
      </c>
      <c r="F214">
        <v>0</v>
      </c>
      <c r="G214">
        <v>2.1800000000000002</v>
      </c>
    </row>
    <row r="215" spans="1:7">
      <c r="A215">
        <v>3632</v>
      </c>
      <c r="B215" t="s">
        <v>1452</v>
      </c>
      <c r="C215">
        <v>155</v>
      </c>
      <c r="D215">
        <v>0</v>
      </c>
      <c r="E215">
        <v>111</v>
      </c>
      <c r="F215">
        <v>0</v>
      </c>
      <c r="G215">
        <v>3.81</v>
      </c>
    </row>
    <row r="216" spans="1:7">
      <c r="A216">
        <v>3646</v>
      </c>
      <c r="B216" t="s">
        <v>1453</v>
      </c>
      <c r="C216">
        <v>21.72</v>
      </c>
      <c r="D216">
        <v>2.0696283000000002</v>
      </c>
      <c r="E216">
        <v>111</v>
      </c>
      <c r="F216">
        <v>7.27</v>
      </c>
      <c r="G216">
        <v>2.06</v>
      </c>
    </row>
    <row r="217" spans="1:7">
      <c r="A217">
        <v>3663</v>
      </c>
      <c r="B217" t="s">
        <v>1454</v>
      </c>
      <c r="C217">
        <v>53.86</v>
      </c>
      <c r="D217">
        <v>0.99995597000000003</v>
      </c>
      <c r="E217">
        <v>111</v>
      </c>
      <c r="F217">
        <v>2.81</v>
      </c>
      <c r="G217">
        <v>2.1800000000000002</v>
      </c>
    </row>
    <row r="218" spans="1:7">
      <c r="A218">
        <v>3664</v>
      </c>
      <c r="B218" t="s">
        <v>1455</v>
      </c>
      <c r="C218" t="s">
        <v>1259</v>
      </c>
      <c r="D218">
        <v>0</v>
      </c>
      <c r="E218">
        <v>111</v>
      </c>
      <c r="F218">
        <v>0</v>
      </c>
      <c r="G218">
        <v>4.74</v>
      </c>
    </row>
    <row r="219" spans="1:7">
      <c r="A219">
        <v>3666</v>
      </c>
      <c r="B219" t="s">
        <v>1456</v>
      </c>
      <c r="C219" t="s">
        <v>1259</v>
      </c>
      <c r="D219">
        <v>0</v>
      </c>
      <c r="E219">
        <v>111</v>
      </c>
      <c r="F219">
        <v>0</v>
      </c>
      <c r="G219">
        <v>1.83</v>
      </c>
    </row>
    <row r="220" spans="1:7">
      <c r="A220">
        <v>3672</v>
      </c>
      <c r="B220" t="s">
        <v>1457</v>
      </c>
      <c r="C220" t="s">
        <v>1259</v>
      </c>
      <c r="D220">
        <v>0.1</v>
      </c>
      <c r="E220">
        <v>111</v>
      </c>
      <c r="F220">
        <v>0.4</v>
      </c>
      <c r="G220">
        <v>2.3199999999999998</v>
      </c>
    </row>
    <row r="221" spans="1:7">
      <c r="A221">
        <v>3675</v>
      </c>
      <c r="B221" t="s">
        <v>1458</v>
      </c>
      <c r="C221">
        <v>32.74</v>
      </c>
      <c r="D221">
        <v>6.7</v>
      </c>
      <c r="E221">
        <v>111</v>
      </c>
      <c r="F221">
        <v>2.5</v>
      </c>
      <c r="G221">
        <v>7.91</v>
      </c>
    </row>
    <row r="222" spans="1:7">
      <c r="A222">
        <v>3680</v>
      </c>
      <c r="B222" t="s">
        <v>1459</v>
      </c>
      <c r="C222">
        <v>37.200000000000003</v>
      </c>
      <c r="D222">
        <v>7.9437048299999997</v>
      </c>
      <c r="E222">
        <v>111</v>
      </c>
      <c r="F222">
        <v>2.14</v>
      </c>
      <c r="G222">
        <v>5.0599999999999996</v>
      </c>
    </row>
    <row r="223" spans="1:7">
      <c r="A223">
        <v>3684</v>
      </c>
      <c r="B223" t="s">
        <v>1460</v>
      </c>
      <c r="C223">
        <v>26.41</v>
      </c>
      <c r="D223">
        <v>4.5</v>
      </c>
      <c r="E223">
        <v>111</v>
      </c>
      <c r="F223">
        <v>9.6300000000000008</v>
      </c>
      <c r="G223">
        <v>2.3199999999999998</v>
      </c>
    </row>
    <row r="224" spans="1:7">
      <c r="A224">
        <v>3685</v>
      </c>
      <c r="B224" t="s">
        <v>1461</v>
      </c>
      <c r="C224" t="s">
        <v>1259</v>
      </c>
      <c r="D224">
        <v>0</v>
      </c>
      <c r="E224">
        <v>111</v>
      </c>
      <c r="F224">
        <v>0</v>
      </c>
      <c r="G224">
        <v>2.02</v>
      </c>
    </row>
    <row r="225" spans="1:7">
      <c r="A225">
        <v>3687</v>
      </c>
      <c r="B225" t="s">
        <v>1462</v>
      </c>
      <c r="C225">
        <v>60.7</v>
      </c>
      <c r="D225">
        <v>1.5</v>
      </c>
      <c r="E225">
        <v>111</v>
      </c>
      <c r="F225">
        <v>1.56</v>
      </c>
      <c r="G225">
        <v>1.99</v>
      </c>
    </row>
    <row r="226" spans="1:7">
      <c r="A226">
        <v>3689</v>
      </c>
      <c r="B226" t="s">
        <v>1463</v>
      </c>
      <c r="C226">
        <v>11.07</v>
      </c>
      <c r="D226">
        <v>2.2704353899999998</v>
      </c>
      <c r="E226">
        <v>111</v>
      </c>
      <c r="F226">
        <v>3.98</v>
      </c>
      <c r="G226">
        <v>1.3</v>
      </c>
    </row>
    <row r="227" spans="1:7">
      <c r="A227">
        <v>3691</v>
      </c>
      <c r="B227" t="s">
        <v>1464</v>
      </c>
      <c r="C227" t="s">
        <v>1259</v>
      </c>
      <c r="D227">
        <v>0</v>
      </c>
      <c r="E227">
        <v>111</v>
      </c>
      <c r="F227">
        <v>0</v>
      </c>
      <c r="G227">
        <v>1.17</v>
      </c>
    </row>
    <row r="228" spans="1:7">
      <c r="A228">
        <v>3693</v>
      </c>
      <c r="B228" t="s">
        <v>1465</v>
      </c>
      <c r="C228">
        <v>16.98</v>
      </c>
      <c r="D228">
        <v>6</v>
      </c>
      <c r="E228">
        <v>111</v>
      </c>
      <c r="F228">
        <v>1.36</v>
      </c>
      <c r="G228">
        <v>6.24</v>
      </c>
    </row>
    <row r="229" spans="1:7">
      <c r="A229">
        <v>3707</v>
      </c>
      <c r="B229" t="s">
        <v>1466</v>
      </c>
      <c r="C229">
        <v>150.21</v>
      </c>
      <c r="D229">
        <v>0.99996315000000002</v>
      </c>
      <c r="E229">
        <v>111</v>
      </c>
      <c r="F229">
        <v>1.39</v>
      </c>
      <c r="G229">
        <v>4.33</v>
      </c>
    </row>
    <row r="230" spans="1:7">
      <c r="A230">
        <v>3709</v>
      </c>
      <c r="B230" t="s">
        <v>1467</v>
      </c>
      <c r="C230">
        <v>22.3</v>
      </c>
      <c r="D230">
        <v>1</v>
      </c>
      <c r="E230">
        <v>111</v>
      </c>
      <c r="F230">
        <v>3.68</v>
      </c>
      <c r="G230">
        <v>1.29</v>
      </c>
    </row>
    <row r="231" spans="1:7">
      <c r="A231">
        <v>3710</v>
      </c>
      <c r="B231" t="s">
        <v>1468</v>
      </c>
      <c r="C231" t="s">
        <v>1259</v>
      </c>
      <c r="D231">
        <v>0</v>
      </c>
      <c r="E231">
        <v>111</v>
      </c>
      <c r="F231">
        <v>0</v>
      </c>
      <c r="G231">
        <v>1.61</v>
      </c>
    </row>
    <row r="232" spans="1:7">
      <c r="A232">
        <v>3713</v>
      </c>
      <c r="B232" t="s">
        <v>1469</v>
      </c>
      <c r="C232">
        <v>185.71</v>
      </c>
      <c r="D232">
        <v>0</v>
      </c>
      <c r="E232">
        <v>111</v>
      </c>
      <c r="F232">
        <v>0</v>
      </c>
      <c r="G232">
        <v>3.09</v>
      </c>
    </row>
    <row r="233" spans="1:7">
      <c r="A233">
        <v>4102</v>
      </c>
      <c r="B233" t="s">
        <v>1470</v>
      </c>
      <c r="C233">
        <v>24.97</v>
      </c>
      <c r="D233">
        <v>0.8</v>
      </c>
      <c r="E233">
        <v>111</v>
      </c>
      <c r="F233">
        <v>2.02</v>
      </c>
      <c r="G233">
        <v>2.7</v>
      </c>
    </row>
    <row r="234" spans="1:7">
      <c r="A234">
        <v>4105</v>
      </c>
      <c r="B234" t="s">
        <v>1471</v>
      </c>
      <c r="C234">
        <v>17.11</v>
      </c>
      <c r="D234">
        <v>3.4</v>
      </c>
      <c r="E234">
        <v>111</v>
      </c>
      <c r="F234">
        <v>4.2300000000000004</v>
      </c>
      <c r="G234">
        <v>3.43</v>
      </c>
    </row>
    <row r="235" spans="1:7">
      <c r="A235">
        <v>4107</v>
      </c>
      <c r="B235" t="s">
        <v>1472</v>
      </c>
      <c r="C235">
        <v>16.54</v>
      </c>
      <c r="D235">
        <v>4.5</v>
      </c>
      <c r="E235">
        <v>111</v>
      </c>
      <c r="F235">
        <v>4.09</v>
      </c>
      <c r="G235">
        <v>2.46</v>
      </c>
    </row>
    <row r="236" spans="1:7">
      <c r="A236">
        <v>4109</v>
      </c>
      <c r="B236" t="s">
        <v>1473</v>
      </c>
      <c r="C236" t="s">
        <v>1259</v>
      </c>
      <c r="D236">
        <v>0</v>
      </c>
      <c r="E236">
        <v>111</v>
      </c>
      <c r="F236">
        <v>0</v>
      </c>
      <c r="G236">
        <v>1.71</v>
      </c>
    </row>
    <row r="237" spans="1:7">
      <c r="A237">
        <v>4111</v>
      </c>
      <c r="B237" t="s">
        <v>1474</v>
      </c>
      <c r="C237">
        <v>13.13</v>
      </c>
      <c r="D237">
        <v>1.2</v>
      </c>
      <c r="E237">
        <v>111</v>
      </c>
      <c r="F237">
        <v>4.5</v>
      </c>
      <c r="G237">
        <v>1.25</v>
      </c>
    </row>
    <row r="238" spans="1:7">
      <c r="A238">
        <v>4113</v>
      </c>
      <c r="B238" t="s">
        <v>1475</v>
      </c>
      <c r="C238" t="s">
        <v>1259</v>
      </c>
      <c r="D238">
        <v>0</v>
      </c>
      <c r="E238">
        <v>111</v>
      </c>
      <c r="F238">
        <v>0</v>
      </c>
      <c r="G238">
        <v>2.0499999999999998</v>
      </c>
    </row>
    <row r="239" spans="1:7">
      <c r="A239">
        <v>4114</v>
      </c>
      <c r="B239" t="s">
        <v>1476</v>
      </c>
      <c r="C239">
        <v>26.47</v>
      </c>
      <c r="D239">
        <v>1.4864093700000001</v>
      </c>
      <c r="E239">
        <v>111</v>
      </c>
      <c r="F239">
        <v>3.85</v>
      </c>
      <c r="G239">
        <v>2.2599999999999998</v>
      </c>
    </row>
    <row r="240" spans="1:7">
      <c r="A240">
        <v>4116</v>
      </c>
      <c r="B240" t="s">
        <v>1477</v>
      </c>
      <c r="C240">
        <v>28.32</v>
      </c>
      <c r="D240">
        <v>2.1</v>
      </c>
      <c r="E240">
        <v>111</v>
      </c>
      <c r="F240">
        <v>3.28</v>
      </c>
      <c r="G240">
        <v>2.68</v>
      </c>
    </row>
    <row r="241" spans="1:7">
      <c r="A241">
        <v>4120</v>
      </c>
      <c r="B241" t="s">
        <v>1478</v>
      </c>
      <c r="C241" t="s">
        <v>1259</v>
      </c>
      <c r="D241">
        <v>0</v>
      </c>
      <c r="E241">
        <v>111</v>
      </c>
      <c r="F241">
        <v>0</v>
      </c>
      <c r="G241">
        <v>0.95</v>
      </c>
    </row>
    <row r="242" spans="1:7">
      <c r="A242">
        <v>4121</v>
      </c>
      <c r="B242" t="s">
        <v>1479</v>
      </c>
      <c r="C242">
        <v>60.98</v>
      </c>
      <c r="D242">
        <v>1.2</v>
      </c>
      <c r="E242">
        <v>111</v>
      </c>
      <c r="F242">
        <v>4.8</v>
      </c>
      <c r="G242">
        <v>1.45</v>
      </c>
    </row>
    <row r="243" spans="1:7">
      <c r="A243">
        <v>4123</v>
      </c>
      <c r="B243" t="s">
        <v>1480</v>
      </c>
      <c r="C243" t="s">
        <v>1259</v>
      </c>
      <c r="D243">
        <v>1.98336516</v>
      </c>
      <c r="E243">
        <v>111</v>
      </c>
      <c r="F243">
        <v>4.4800000000000004</v>
      </c>
      <c r="G243">
        <v>1.57</v>
      </c>
    </row>
    <row r="244" spans="1:7">
      <c r="A244">
        <v>4126</v>
      </c>
      <c r="B244" t="s">
        <v>1481</v>
      </c>
      <c r="C244">
        <v>13.89</v>
      </c>
      <c r="D244">
        <v>4.2</v>
      </c>
      <c r="E244">
        <v>111</v>
      </c>
      <c r="F244">
        <v>4.8600000000000003</v>
      </c>
      <c r="G244">
        <v>2.27</v>
      </c>
    </row>
    <row r="245" spans="1:7">
      <c r="A245">
        <v>4127</v>
      </c>
      <c r="B245" t="s">
        <v>1482</v>
      </c>
      <c r="C245">
        <v>25.44</v>
      </c>
      <c r="D245">
        <v>0</v>
      </c>
      <c r="E245">
        <v>111</v>
      </c>
      <c r="F245">
        <v>0</v>
      </c>
      <c r="G245">
        <v>1.37</v>
      </c>
    </row>
    <row r="246" spans="1:7">
      <c r="A246">
        <v>4128</v>
      </c>
      <c r="B246" t="s">
        <v>1483</v>
      </c>
      <c r="C246" t="s">
        <v>1259</v>
      </c>
      <c r="D246">
        <v>1</v>
      </c>
      <c r="E246">
        <v>111</v>
      </c>
      <c r="F246">
        <v>1.98</v>
      </c>
      <c r="G246">
        <v>2.41</v>
      </c>
    </row>
    <row r="247" spans="1:7">
      <c r="A247">
        <v>4129</v>
      </c>
      <c r="B247" t="s">
        <v>1484</v>
      </c>
      <c r="C247">
        <v>21.49</v>
      </c>
      <c r="D247">
        <v>2.2752934599999999</v>
      </c>
      <c r="E247">
        <v>111</v>
      </c>
      <c r="F247">
        <v>2.67</v>
      </c>
      <c r="G247">
        <v>2.38</v>
      </c>
    </row>
    <row r="248" spans="1:7">
      <c r="A248">
        <v>4130</v>
      </c>
      <c r="B248" t="s">
        <v>1485</v>
      </c>
      <c r="C248">
        <v>95</v>
      </c>
      <c r="D248">
        <v>0.17499999999999999</v>
      </c>
      <c r="E248">
        <v>111</v>
      </c>
      <c r="F248">
        <v>0.66</v>
      </c>
      <c r="G248">
        <v>1.98</v>
      </c>
    </row>
    <row r="249" spans="1:7">
      <c r="A249">
        <v>4131</v>
      </c>
      <c r="B249" t="s">
        <v>1486</v>
      </c>
      <c r="C249" t="s">
        <v>1259</v>
      </c>
      <c r="D249">
        <v>0</v>
      </c>
      <c r="E249">
        <v>111</v>
      </c>
      <c r="F249">
        <v>0</v>
      </c>
      <c r="G249">
        <v>2.33</v>
      </c>
    </row>
    <row r="250" spans="1:7">
      <c r="A250">
        <v>4138</v>
      </c>
      <c r="B250" t="s">
        <v>1487</v>
      </c>
      <c r="C250">
        <v>18.68</v>
      </c>
      <c r="D250">
        <v>4.1500000000000004</v>
      </c>
      <c r="E250">
        <v>111</v>
      </c>
      <c r="F250">
        <v>3.77</v>
      </c>
      <c r="G250">
        <v>2.36</v>
      </c>
    </row>
    <row r="251" spans="1:7">
      <c r="A251">
        <v>4139</v>
      </c>
      <c r="B251" t="s">
        <v>1488</v>
      </c>
      <c r="C251" t="s">
        <v>1259</v>
      </c>
      <c r="D251">
        <v>0</v>
      </c>
      <c r="E251">
        <v>111</v>
      </c>
      <c r="F251">
        <v>0</v>
      </c>
      <c r="G251">
        <v>3.48</v>
      </c>
    </row>
    <row r="252" spans="1:7">
      <c r="A252">
        <v>4147</v>
      </c>
      <c r="B252" t="s">
        <v>1489</v>
      </c>
      <c r="C252" t="s">
        <v>1259</v>
      </c>
      <c r="D252">
        <v>0</v>
      </c>
      <c r="E252">
        <v>111</v>
      </c>
      <c r="F252">
        <v>0</v>
      </c>
      <c r="G252">
        <v>7.85</v>
      </c>
    </row>
    <row r="253" spans="1:7">
      <c r="A253">
        <v>4153</v>
      </c>
      <c r="B253" t="s">
        <v>1490</v>
      </c>
      <c r="C253">
        <v>30.67</v>
      </c>
      <c r="D253">
        <v>1</v>
      </c>
      <c r="E253">
        <v>111</v>
      </c>
      <c r="F253">
        <v>2.72</v>
      </c>
      <c r="G253">
        <v>2.13</v>
      </c>
    </row>
    <row r="254" spans="1:7">
      <c r="A254">
        <v>4154</v>
      </c>
      <c r="B254" t="s">
        <v>1491</v>
      </c>
      <c r="C254" t="s">
        <v>1259</v>
      </c>
      <c r="D254">
        <v>0</v>
      </c>
      <c r="E254">
        <v>111</v>
      </c>
      <c r="F254">
        <v>0</v>
      </c>
      <c r="G254">
        <v>2.29</v>
      </c>
    </row>
    <row r="255" spans="1:7">
      <c r="A255">
        <v>4157</v>
      </c>
      <c r="B255" t="s">
        <v>1492</v>
      </c>
      <c r="C255" t="s">
        <v>1259</v>
      </c>
      <c r="D255">
        <v>0</v>
      </c>
      <c r="E255">
        <v>111</v>
      </c>
      <c r="F255">
        <v>0</v>
      </c>
      <c r="G255">
        <v>11.97</v>
      </c>
    </row>
    <row r="256" spans="1:7">
      <c r="A256">
        <v>4160</v>
      </c>
      <c r="B256" t="s">
        <v>1493</v>
      </c>
      <c r="C256">
        <v>35.36</v>
      </c>
      <c r="D256">
        <v>0.95509396999999996</v>
      </c>
      <c r="E256">
        <v>111</v>
      </c>
      <c r="F256">
        <v>2.46</v>
      </c>
      <c r="G256">
        <v>2.42</v>
      </c>
    </row>
    <row r="257" spans="1:7">
      <c r="A257">
        <v>4161</v>
      </c>
      <c r="B257" t="s">
        <v>1494</v>
      </c>
      <c r="C257">
        <v>25.52</v>
      </c>
      <c r="D257">
        <v>0.5</v>
      </c>
      <c r="E257">
        <v>111</v>
      </c>
      <c r="F257">
        <v>1.56</v>
      </c>
      <c r="G257">
        <v>2.14</v>
      </c>
    </row>
    <row r="258" spans="1:7">
      <c r="A258">
        <v>4162</v>
      </c>
      <c r="B258" t="s">
        <v>1495</v>
      </c>
      <c r="C258">
        <v>52.75</v>
      </c>
      <c r="D258">
        <v>2</v>
      </c>
      <c r="E258">
        <v>111</v>
      </c>
      <c r="F258">
        <v>1.9</v>
      </c>
      <c r="G258">
        <v>3.96</v>
      </c>
    </row>
    <row r="259" spans="1:7">
      <c r="A259">
        <v>4163</v>
      </c>
      <c r="B259" t="s">
        <v>1496</v>
      </c>
      <c r="C259">
        <v>16.52</v>
      </c>
      <c r="D259">
        <v>4</v>
      </c>
      <c r="E259">
        <v>111</v>
      </c>
      <c r="F259">
        <v>3.09</v>
      </c>
      <c r="G259">
        <v>2.5499999999999998</v>
      </c>
    </row>
    <row r="260" spans="1:7">
      <c r="A260">
        <v>4167</v>
      </c>
      <c r="B260" t="s">
        <v>1497</v>
      </c>
      <c r="C260" t="s">
        <v>1259</v>
      </c>
      <c r="D260">
        <v>0.1032</v>
      </c>
      <c r="E260">
        <v>111</v>
      </c>
      <c r="F260">
        <v>0.46</v>
      </c>
      <c r="G260">
        <v>2.15</v>
      </c>
    </row>
    <row r="261" spans="1:7">
      <c r="A261">
        <v>4168</v>
      </c>
      <c r="B261" t="s">
        <v>1498</v>
      </c>
      <c r="C261" t="s">
        <v>1259</v>
      </c>
      <c r="D261">
        <v>0</v>
      </c>
      <c r="E261">
        <v>111</v>
      </c>
      <c r="F261">
        <v>0</v>
      </c>
      <c r="G261">
        <v>2.41</v>
      </c>
    </row>
    <row r="262" spans="1:7">
      <c r="A262">
        <v>4171</v>
      </c>
      <c r="B262" t="s">
        <v>1499</v>
      </c>
      <c r="C262" t="s">
        <v>1259</v>
      </c>
      <c r="D262">
        <v>4</v>
      </c>
      <c r="E262">
        <v>111</v>
      </c>
      <c r="F262">
        <v>10.14</v>
      </c>
      <c r="G262">
        <v>2.54</v>
      </c>
    </row>
    <row r="263" spans="1:7">
      <c r="A263">
        <v>4173</v>
      </c>
      <c r="B263" t="s">
        <v>1500</v>
      </c>
      <c r="C263">
        <v>23.86</v>
      </c>
      <c r="D263">
        <v>0.65</v>
      </c>
      <c r="E263">
        <v>111</v>
      </c>
      <c r="F263">
        <v>2.96</v>
      </c>
      <c r="G263">
        <v>0.8</v>
      </c>
    </row>
    <row r="264" spans="1:7">
      <c r="A264">
        <v>4174</v>
      </c>
      <c r="B264" t="s">
        <v>1501</v>
      </c>
      <c r="C264" t="s">
        <v>1259</v>
      </c>
      <c r="D264">
        <v>0</v>
      </c>
      <c r="E264">
        <v>111</v>
      </c>
      <c r="F264">
        <v>0</v>
      </c>
      <c r="G264">
        <v>3.68</v>
      </c>
    </row>
    <row r="265" spans="1:7">
      <c r="A265">
        <v>4175</v>
      </c>
      <c r="B265" t="s">
        <v>1502</v>
      </c>
      <c r="C265">
        <v>69.040000000000006</v>
      </c>
      <c r="D265">
        <v>3.7083949399999998</v>
      </c>
      <c r="E265">
        <v>111</v>
      </c>
      <c r="F265">
        <v>4.3</v>
      </c>
      <c r="G265">
        <v>2.5299999999999998</v>
      </c>
    </row>
    <row r="266" spans="1:7">
      <c r="A266">
        <v>4183</v>
      </c>
      <c r="B266" t="s">
        <v>1503</v>
      </c>
      <c r="C266">
        <v>32.26</v>
      </c>
      <c r="D266">
        <v>0.98</v>
      </c>
      <c r="E266">
        <v>111</v>
      </c>
      <c r="F266">
        <v>3.71</v>
      </c>
      <c r="G266">
        <v>2.08</v>
      </c>
    </row>
    <row r="267" spans="1:7">
      <c r="A267">
        <v>4188</v>
      </c>
      <c r="B267" t="s">
        <v>1504</v>
      </c>
      <c r="C267" t="s">
        <v>1259</v>
      </c>
      <c r="D267">
        <v>0</v>
      </c>
      <c r="E267">
        <v>111</v>
      </c>
      <c r="F267">
        <v>0</v>
      </c>
      <c r="G267">
        <v>3.63</v>
      </c>
    </row>
    <row r="268" spans="1:7">
      <c r="A268">
        <v>4192</v>
      </c>
      <c r="B268" t="s">
        <v>1505</v>
      </c>
      <c r="C268" t="s">
        <v>1259</v>
      </c>
      <c r="D268">
        <v>0</v>
      </c>
      <c r="E268">
        <v>111</v>
      </c>
      <c r="F268">
        <v>0</v>
      </c>
      <c r="G268">
        <v>7.03</v>
      </c>
    </row>
    <row r="269" spans="1:7">
      <c r="A269">
        <v>4198</v>
      </c>
      <c r="B269" t="s">
        <v>1506</v>
      </c>
      <c r="C269" t="s">
        <v>1259</v>
      </c>
      <c r="D269">
        <v>0</v>
      </c>
      <c r="E269">
        <v>111</v>
      </c>
      <c r="F269">
        <v>0</v>
      </c>
      <c r="G269">
        <v>4.32</v>
      </c>
    </row>
    <row r="270" spans="1:7">
      <c r="A270">
        <v>4205</v>
      </c>
      <c r="B270" t="s">
        <v>1507</v>
      </c>
      <c r="C270">
        <v>24.94</v>
      </c>
      <c r="D270">
        <v>3</v>
      </c>
      <c r="E270">
        <v>111</v>
      </c>
      <c r="F270">
        <v>3.02</v>
      </c>
      <c r="G270">
        <v>4.71</v>
      </c>
    </row>
    <row r="271" spans="1:7">
      <c r="A271">
        <v>4207</v>
      </c>
      <c r="B271" t="s">
        <v>1508</v>
      </c>
      <c r="C271">
        <v>17.399999999999999</v>
      </c>
      <c r="D271">
        <v>1</v>
      </c>
      <c r="E271">
        <v>111</v>
      </c>
      <c r="F271">
        <v>5.87</v>
      </c>
      <c r="G271">
        <v>1.34</v>
      </c>
    </row>
    <row r="272" spans="1:7">
      <c r="A272">
        <v>4303</v>
      </c>
      <c r="B272" t="s">
        <v>1509</v>
      </c>
      <c r="C272">
        <v>34.76</v>
      </c>
      <c r="D272">
        <v>0</v>
      </c>
      <c r="E272">
        <v>111</v>
      </c>
      <c r="F272">
        <v>0</v>
      </c>
      <c r="G272">
        <v>1.64</v>
      </c>
    </row>
    <row r="273" spans="1:7">
      <c r="A273">
        <v>4304</v>
      </c>
      <c r="B273" t="s">
        <v>1510</v>
      </c>
      <c r="C273" t="s">
        <v>1259</v>
      </c>
      <c r="D273">
        <v>0</v>
      </c>
      <c r="E273">
        <v>111</v>
      </c>
      <c r="F273">
        <v>0</v>
      </c>
      <c r="G273">
        <v>1.55</v>
      </c>
    </row>
    <row r="274" spans="1:7">
      <c r="A274">
        <v>4305</v>
      </c>
      <c r="B274" t="s">
        <v>1511</v>
      </c>
      <c r="C274">
        <v>14.68</v>
      </c>
      <c r="D274">
        <v>2</v>
      </c>
      <c r="E274">
        <v>111</v>
      </c>
      <c r="F274">
        <v>4.87</v>
      </c>
      <c r="G274">
        <v>2.0299999999999998</v>
      </c>
    </row>
    <row r="275" spans="1:7">
      <c r="A275">
        <v>4401</v>
      </c>
      <c r="B275" t="s">
        <v>1512</v>
      </c>
      <c r="C275" t="s">
        <v>1259</v>
      </c>
      <c r="D275">
        <v>0.7</v>
      </c>
      <c r="E275">
        <v>111</v>
      </c>
      <c r="F275">
        <v>2.85</v>
      </c>
      <c r="G275">
        <v>1.1399999999999999</v>
      </c>
    </row>
    <row r="276" spans="1:7">
      <c r="A276">
        <v>4402</v>
      </c>
      <c r="B276" t="s">
        <v>1513</v>
      </c>
      <c r="C276" t="s">
        <v>1259</v>
      </c>
      <c r="D276">
        <v>0</v>
      </c>
      <c r="E276">
        <v>111</v>
      </c>
      <c r="F276">
        <v>0</v>
      </c>
      <c r="G276">
        <v>2.15</v>
      </c>
    </row>
    <row r="277" spans="1:7">
      <c r="A277">
        <v>4406</v>
      </c>
      <c r="B277" t="s">
        <v>1514</v>
      </c>
      <c r="C277" t="s">
        <v>1259</v>
      </c>
      <c r="D277">
        <v>0</v>
      </c>
      <c r="E277">
        <v>111</v>
      </c>
      <c r="F277">
        <v>0</v>
      </c>
      <c r="G277">
        <v>0.78</v>
      </c>
    </row>
    <row r="278" spans="1:7">
      <c r="A278">
        <v>4413</v>
      </c>
      <c r="B278" t="s">
        <v>1515</v>
      </c>
      <c r="C278">
        <v>39.130000000000003</v>
      </c>
      <c r="D278">
        <v>0.5</v>
      </c>
      <c r="E278">
        <v>111</v>
      </c>
      <c r="F278">
        <v>1.85</v>
      </c>
      <c r="G278">
        <v>2.34</v>
      </c>
    </row>
    <row r="279" spans="1:7">
      <c r="A279">
        <v>4416</v>
      </c>
      <c r="B279" t="s">
        <v>1516</v>
      </c>
      <c r="C279" t="s">
        <v>1259</v>
      </c>
      <c r="D279">
        <v>2</v>
      </c>
      <c r="E279">
        <v>111</v>
      </c>
      <c r="F279">
        <v>2.2000000000000002</v>
      </c>
      <c r="G279">
        <v>3.17</v>
      </c>
    </row>
    <row r="280" spans="1:7">
      <c r="A280">
        <v>4417</v>
      </c>
      <c r="B280" t="s">
        <v>1517</v>
      </c>
      <c r="C280">
        <v>8.81</v>
      </c>
      <c r="D280">
        <v>2.9</v>
      </c>
      <c r="E280">
        <v>111</v>
      </c>
      <c r="F280">
        <v>7.45</v>
      </c>
      <c r="G280">
        <v>1.18</v>
      </c>
    </row>
    <row r="281" spans="1:7">
      <c r="A281">
        <v>4419</v>
      </c>
      <c r="B281" t="s">
        <v>1518</v>
      </c>
      <c r="C281" t="s">
        <v>1259</v>
      </c>
      <c r="D281">
        <v>0</v>
      </c>
      <c r="E281">
        <v>111</v>
      </c>
      <c r="F281">
        <v>0</v>
      </c>
      <c r="G281">
        <v>18.47</v>
      </c>
    </row>
    <row r="282" spans="1:7">
      <c r="A282">
        <v>4420</v>
      </c>
      <c r="B282" t="s">
        <v>1519</v>
      </c>
      <c r="C282" t="s">
        <v>1259</v>
      </c>
      <c r="D282">
        <v>2</v>
      </c>
      <c r="E282">
        <v>111</v>
      </c>
      <c r="F282">
        <v>4.5</v>
      </c>
      <c r="G282">
        <v>1.77</v>
      </c>
    </row>
    <row r="283" spans="1:7">
      <c r="A283">
        <v>4430</v>
      </c>
      <c r="B283" t="s">
        <v>1520</v>
      </c>
      <c r="C283" t="s">
        <v>1259</v>
      </c>
      <c r="D283">
        <v>0.5</v>
      </c>
      <c r="E283">
        <v>111</v>
      </c>
      <c r="F283">
        <v>2.34</v>
      </c>
      <c r="G283">
        <v>0.63</v>
      </c>
    </row>
    <row r="284" spans="1:7">
      <c r="A284">
        <v>4432</v>
      </c>
      <c r="B284" t="s">
        <v>1521</v>
      </c>
      <c r="C284">
        <v>11.16</v>
      </c>
      <c r="D284">
        <v>0.3</v>
      </c>
      <c r="E284">
        <v>111</v>
      </c>
      <c r="F284">
        <v>1.22</v>
      </c>
      <c r="G284">
        <v>0.92</v>
      </c>
    </row>
    <row r="285" spans="1:7">
      <c r="A285">
        <v>4433</v>
      </c>
      <c r="B285" t="s">
        <v>1522</v>
      </c>
      <c r="C285" t="s">
        <v>1259</v>
      </c>
      <c r="D285">
        <v>1.4963323100000001</v>
      </c>
      <c r="E285">
        <v>111</v>
      </c>
      <c r="F285">
        <v>4.71</v>
      </c>
      <c r="G285">
        <v>0.99</v>
      </c>
    </row>
    <row r="286" spans="1:7">
      <c r="A286">
        <v>4442</v>
      </c>
      <c r="B286" t="s">
        <v>2103</v>
      </c>
      <c r="C286">
        <v>14.01</v>
      </c>
      <c r="F286">
        <v>0</v>
      </c>
      <c r="G286">
        <v>1.41</v>
      </c>
    </row>
    <row r="287" spans="1:7">
      <c r="A287">
        <v>4502</v>
      </c>
      <c r="B287" t="s">
        <v>1523</v>
      </c>
      <c r="C287" t="s">
        <v>1259</v>
      </c>
      <c r="D287">
        <v>0</v>
      </c>
      <c r="E287">
        <v>111</v>
      </c>
      <c r="F287">
        <v>0</v>
      </c>
      <c r="G287">
        <v>3.23</v>
      </c>
    </row>
    <row r="288" spans="1:7">
      <c r="A288">
        <v>4503</v>
      </c>
      <c r="B288" t="s">
        <v>1524</v>
      </c>
      <c r="C288" t="s">
        <v>1259</v>
      </c>
      <c r="D288">
        <v>0</v>
      </c>
      <c r="E288">
        <v>111</v>
      </c>
      <c r="F288">
        <v>0</v>
      </c>
      <c r="G288">
        <v>3.44</v>
      </c>
    </row>
    <row r="289" spans="1:7">
      <c r="A289">
        <v>4506</v>
      </c>
      <c r="B289" t="s">
        <v>1525</v>
      </c>
      <c r="C289">
        <v>16.149999999999999</v>
      </c>
      <c r="D289">
        <v>3.4</v>
      </c>
      <c r="E289">
        <v>111</v>
      </c>
      <c r="F289">
        <v>4.2</v>
      </c>
      <c r="G289">
        <v>2.82</v>
      </c>
    </row>
    <row r="290" spans="1:7">
      <c r="A290">
        <v>4510</v>
      </c>
      <c r="B290" t="s">
        <v>1526</v>
      </c>
      <c r="C290">
        <v>19.22</v>
      </c>
      <c r="D290">
        <v>0.4</v>
      </c>
      <c r="E290">
        <v>111</v>
      </c>
      <c r="F290">
        <v>2.5099999999999998</v>
      </c>
      <c r="G290">
        <v>0.91</v>
      </c>
    </row>
    <row r="291" spans="1:7">
      <c r="A291">
        <v>4513</v>
      </c>
      <c r="B291" t="s">
        <v>1527</v>
      </c>
      <c r="C291">
        <v>13.91</v>
      </c>
      <c r="D291">
        <v>0</v>
      </c>
      <c r="E291">
        <v>111</v>
      </c>
      <c r="F291">
        <v>0</v>
      </c>
      <c r="G291">
        <v>1.48</v>
      </c>
    </row>
    <row r="292" spans="1:7">
      <c r="A292">
        <v>4523</v>
      </c>
      <c r="B292" t="s">
        <v>1528</v>
      </c>
      <c r="C292">
        <v>75.36</v>
      </c>
      <c r="D292">
        <v>0</v>
      </c>
      <c r="E292">
        <v>111</v>
      </c>
      <c r="F292">
        <v>0</v>
      </c>
      <c r="G292">
        <v>2.75</v>
      </c>
    </row>
    <row r="293" spans="1:7">
      <c r="A293">
        <v>4527</v>
      </c>
      <c r="B293" t="s">
        <v>1529</v>
      </c>
      <c r="C293">
        <v>11.74</v>
      </c>
      <c r="D293">
        <v>2</v>
      </c>
      <c r="E293">
        <v>111</v>
      </c>
      <c r="F293">
        <v>5.53</v>
      </c>
      <c r="G293">
        <v>1.81</v>
      </c>
    </row>
    <row r="294" spans="1:7">
      <c r="A294">
        <v>4528</v>
      </c>
      <c r="B294" t="s">
        <v>1530</v>
      </c>
      <c r="C294">
        <v>14.62</v>
      </c>
      <c r="D294">
        <v>1.3</v>
      </c>
      <c r="E294">
        <v>111</v>
      </c>
      <c r="F294">
        <v>4.21</v>
      </c>
      <c r="G294">
        <v>1.1499999999999999</v>
      </c>
    </row>
    <row r="295" spans="1:7">
      <c r="A295">
        <v>4529</v>
      </c>
      <c r="B295" t="s">
        <v>1531</v>
      </c>
      <c r="C295" t="s">
        <v>1259</v>
      </c>
      <c r="D295">
        <v>0</v>
      </c>
      <c r="E295">
        <v>111</v>
      </c>
      <c r="F295">
        <v>0</v>
      </c>
      <c r="G295">
        <v>1.58</v>
      </c>
    </row>
    <row r="296" spans="1:7">
      <c r="A296">
        <v>4530</v>
      </c>
      <c r="B296" t="s">
        <v>1532</v>
      </c>
      <c r="C296" t="s">
        <v>1259</v>
      </c>
      <c r="D296">
        <v>0</v>
      </c>
      <c r="E296">
        <v>111</v>
      </c>
      <c r="F296">
        <v>0</v>
      </c>
      <c r="G296">
        <v>1.56</v>
      </c>
    </row>
    <row r="297" spans="1:7">
      <c r="A297">
        <v>4533</v>
      </c>
      <c r="B297" t="s">
        <v>1533</v>
      </c>
      <c r="C297">
        <v>21.6</v>
      </c>
      <c r="D297">
        <v>0.32</v>
      </c>
      <c r="E297">
        <v>111</v>
      </c>
      <c r="F297">
        <v>1.19</v>
      </c>
      <c r="G297">
        <v>1.62</v>
      </c>
    </row>
    <row r="298" spans="1:7">
      <c r="A298">
        <v>4534</v>
      </c>
      <c r="B298" t="s">
        <v>1534</v>
      </c>
      <c r="C298" t="s">
        <v>1259</v>
      </c>
      <c r="D298">
        <v>0</v>
      </c>
      <c r="E298">
        <v>111</v>
      </c>
      <c r="F298">
        <v>0</v>
      </c>
      <c r="G298">
        <v>1.27</v>
      </c>
    </row>
    <row r="299" spans="1:7">
      <c r="A299">
        <v>4535</v>
      </c>
      <c r="B299" t="s">
        <v>1535</v>
      </c>
      <c r="C299">
        <v>15.43</v>
      </c>
      <c r="D299">
        <v>2</v>
      </c>
      <c r="E299">
        <v>111</v>
      </c>
      <c r="F299">
        <v>5.54</v>
      </c>
      <c r="G299">
        <v>1.1200000000000001</v>
      </c>
    </row>
    <row r="300" spans="1:7">
      <c r="A300">
        <v>4538</v>
      </c>
      <c r="B300" t="s">
        <v>1536</v>
      </c>
      <c r="C300">
        <v>15.33</v>
      </c>
      <c r="D300">
        <v>0.90881973000000005</v>
      </c>
      <c r="E300">
        <v>111</v>
      </c>
      <c r="F300">
        <v>4.8600000000000003</v>
      </c>
      <c r="G300">
        <v>1.25</v>
      </c>
    </row>
    <row r="301" spans="1:7">
      <c r="A301">
        <v>4541</v>
      </c>
      <c r="B301" t="s">
        <v>1537</v>
      </c>
      <c r="C301" t="s">
        <v>1259</v>
      </c>
      <c r="D301">
        <v>1.4</v>
      </c>
      <c r="E301">
        <v>111</v>
      </c>
      <c r="F301">
        <v>4.4400000000000004</v>
      </c>
      <c r="G301">
        <v>1.36</v>
      </c>
    </row>
    <row r="302" spans="1:7">
      <c r="A302">
        <v>4542</v>
      </c>
      <c r="B302" t="s">
        <v>1538</v>
      </c>
      <c r="C302">
        <v>20.079999999999998</v>
      </c>
      <c r="D302">
        <v>0.5</v>
      </c>
      <c r="E302">
        <v>111</v>
      </c>
      <c r="F302">
        <v>0.95</v>
      </c>
      <c r="G302">
        <v>2.4300000000000002</v>
      </c>
    </row>
    <row r="303" spans="1:7">
      <c r="A303">
        <v>4543</v>
      </c>
      <c r="B303" t="s">
        <v>1539</v>
      </c>
      <c r="C303">
        <v>24.4</v>
      </c>
      <c r="D303">
        <v>1.2</v>
      </c>
      <c r="E303">
        <v>111</v>
      </c>
      <c r="F303">
        <v>2.5499999999999998</v>
      </c>
      <c r="G303">
        <v>1.55</v>
      </c>
    </row>
    <row r="304" spans="1:7">
      <c r="A304">
        <v>4549</v>
      </c>
      <c r="B304" t="s">
        <v>1540</v>
      </c>
      <c r="C304">
        <v>18.52</v>
      </c>
      <c r="D304">
        <v>5.0999999999999996</v>
      </c>
      <c r="E304">
        <v>111</v>
      </c>
      <c r="F304">
        <v>5.5</v>
      </c>
      <c r="G304">
        <v>2.93</v>
      </c>
    </row>
    <row r="305" spans="1:7">
      <c r="A305">
        <v>4550</v>
      </c>
      <c r="B305" t="s">
        <v>1541</v>
      </c>
      <c r="C305">
        <v>11.32</v>
      </c>
      <c r="D305">
        <v>1.9</v>
      </c>
      <c r="E305">
        <v>111</v>
      </c>
      <c r="F305">
        <v>5.52</v>
      </c>
      <c r="G305">
        <v>1.45</v>
      </c>
    </row>
    <row r="306" spans="1:7">
      <c r="A306">
        <v>4554</v>
      </c>
      <c r="B306" t="s">
        <v>1542</v>
      </c>
      <c r="C306">
        <v>272.73</v>
      </c>
      <c r="D306">
        <v>1</v>
      </c>
      <c r="E306">
        <v>111</v>
      </c>
      <c r="F306">
        <v>3.33</v>
      </c>
      <c r="G306">
        <v>1.64</v>
      </c>
    </row>
    <row r="307" spans="1:7">
      <c r="A307">
        <v>4556</v>
      </c>
      <c r="B307" t="s">
        <v>1543</v>
      </c>
      <c r="C307">
        <v>63.33</v>
      </c>
      <c r="D307">
        <v>0.52</v>
      </c>
      <c r="E307">
        <v>111</v>
      </c>
      <c r="F307">
        <v>1.82</v>
      </c>
      <c r="G307">
        <v>1.41</v>
      </c>
    </row>
    <row r="308" spans="1:7">
      <c r="A308">
        <v>4558</v>
      </c>
      <c r="B308" t="s">
        <v>1544</v>
      </c>
      <c r="C308">
        <v>39.090000000000003</v>
      </c>
      <c r="D308">
        <v>1</v>
      </c>
      <c r="E308">
        <v>111</v>
      </c>
      <c r="F308">
        <v>3.88</v>
      </c>
      <c r="G308">
        <v>1.44</v>
      </c>
    </row>
    <row r="309" spans="1:7">
      <c r="A309">
        <v>4561</v>
      </c>
      <c r="B309" t="s">
        <v>1545</v>
      </c>
      <c r="C309">
        <v>15.47</v>
      </c>
      <c r="D309">
        <v>0.7</v>
      </c>
      <c r="E309">
        <v>111</v>
      </c>
      <c r="F309">
        <v>2.0299999999999998</v>
      </c>
      <c r="G309">
        <v>1.66</v>
      </c>
    </row>
    <row r="310" spans="1:7">
      <c r="A310">
        <v>4563</v>
      </c>
      <c r="B310" t="s">
        <v>1546</v>
      </c>
      <c r="C310">
        <v>29.82</v>
      </c>
      <c r="D310">
        <v>0</v>
      </c>
      <c r="E310">
        <v>111</v>
      </c>
      <c r="F310">
        <v>0</v>
      </c>
      <c r="G310">
        <v>1.93</v>
      </c>
    </row>
    <row r="311" spans="1:7">
      <c r="A311">
        <v>4568</v>
      </c>
      <c r="B311" t="s">
        <v>1547</v>
      </c>
      <c r="C311">
        <v>84</v>
      </c>
      <c r="D311">
        <v>3.8</v>
      </c>
      <c r="E311">
        <v>111</v>
      </c>
      <c r="F311">
        <v>6.96</v>
      </c>
      <c r="G311">
        <v>1.58</v>
      </c>
    </row>
    <row r="312" spans="1:7">
      <c r="A312">
        <v>4577</v>
      </c>
      <c r="B312" t="s">
        <v>1548</v>
      </c>
      <c r="C312" t="s">
        <v>1259</v>
      </c>
      <c r="D312">
        <v>1.6280669999999999</v>
      </c>
      <c r="E312">
        <v>111</v>
      </c>
      <c r="F312">
        <v>6.87</v>
      </c>
      <c r="G312">
        <v>0.94</v>
      </c>
    </row>
    <row r="313" spans="1:7">
      <c r="A313">
        <v>4580</v>
      </c>
      <c r="B313" t="s">
        <v>1549</v>
      </c>
      <c r="C313">
        <v>12.27</v>
      </c>
      <c r="D313">
        <v>5.24986526</v>
      </c>
      <c r="E313">
        <v>111</v>
      </c>
      <c r="F313">
        <v>5.69</v>
      </c>
      <c r="G313">
        <v>1.8</v>
      </c>
    </row>
    <row r="314" spans="1:7">
      <c r="A314">
        <v>4584</v>
      </c>
      <c r="B314" t="s">
        <v>1550</v>
      </c>
      <c r="C314">
        <v>20.9</v>
      </c>
      <c r="D314">
        <v>2</v>
      </c>
      <c r="E314">
        <v>111</v>
      </c>
      <c r="F314">
        <v>4</v>
      </c>
      <c r="G314">
        <v>1.53</v>
      </c>
    </row>
    <row r="315" spans="1:7">
      <c r="A315">
        <v>4609</v>
      </c>
      <c r="B315" t="s">
        <v>1551</v>
      </c>
      <c r="C315" t="s">
        <v>1259</v>
      </c>
      <c r="D315">
        <v>0</v>
      </c>
      <c r="E315">
        <v>111</v>
      </c>
      <c r="F315">
        <v>0</v>
      </c>
      <c r="G315">
        <v>1.61</v>
      </c>
    </row>
    <row r="316" spans="1:7">
      <c r="A316">
        <v>4702</v>
      </c>
      <c r="B316" t="s">
        <v>1552</v>
      </c>
      <c r="C316">
        <v>15.4</v>
      </c>
      <c r="D316">
        <v>0</v>
      </c>
      <c r="E316">
        <v>111</v>
      </c>
      <c r="F316">
        <v>0</v>
      </c>
      <c r="G316">
        <v>0.81</v>
      </c>
    </row>
    <row r="317" spans="1:7">
      <c r="A317">
        <v>4706</v>
      </c>
      <c r="B317" t="s">
        <v>1553</v>
      </c>
      <c r="C317" t="s">
        <v>1259</v>
      </c>
      <c r="D317">
        <v>0.6</v>
      </c>
      <c r="E317">
        <v>111</v>
      </c>
      <c r="F317">
        <v>2.14</v>
      </c>
      <c r="G317">
        <v>1.54</v>
      </c>
    </row>
    <row r="318" spans="1:7">
      <c r="A318">
        <v>4707</v>
      </c>
      <c r="B318" t="s">
        <v>1554</v>
      </c>
      <c r="C318">
        <v>13.37</v>
      </c>
      <c r="D318">
        <v>0.9</v>
      </c>
      <c r="E318">
        <v>111</v>
      </c>
      <c r="F318">
        <v>7.09</v>
      </c>
      <c r="G318">
        <v>0.84</v>
      </c>
    </row>
    <row r="319" spans="1:7">
      <c r="A319">
        <v>4711</v>
      </c>
      <c r="B319" t="s">
        <v>1555</v>
      </c>
      <c r="C319">
        <v>109</v>
      </c>
      <c r="D319">
        <v>0.5</v>
      </c>
      <c r="E319">
        <v>111</v>
      </c>
      <c r="F319">
        <v>3.06</v>
      </c>
      <c r="G319">
        <v>0.95</v>
      </c>
    </row>
    <row r="320" spans="1:7">
      <c r="A320">
        <v>4712</v>
      </c>
      <c r="B320" t="s">
        <v>1556</v>
      </c>
      <c r="C320" t="s">
        <v>1259</v>
      </c>
      <c r="D320">
        <v>0</v>
      </c>
      <c r="E320">
        <v>111</v>
      </c>
      <c r="F320">
        <v>0</v>
      </c>
      <c r="G320">
        <v>5.49</v>
      </c>
    </row>
    <row r="321" spans="1:7">
      <c r="A321">
        <v>4714</v>
      </c>
      <c r="B321" t="s">
        <v>1557</v>
      </c>
      <c r="C321" t="s">
        <v>1259</v>
      </c>
      <c r="D321">
        <v>0</v>
      </c>
      <c r="E321">
        <v>111</v>
      </c>
      <c r="F321">
        <v>0</v>
      </c>
      <c r="G321">
        <v>1.27</v>
      </c>
    </row>
    <row r="322" spans="1:7">
      <c r="A322">
        <v>4716</v>
      </c>
      <c r="B322" t="s">
        <v>1558</v>
      </c>
      <c r="C322" t="s">
        <v>1259</v>
      </c>
      <c r="D322">
        <v>0</v>
      </c>
      <c r="E322">
        <v>111</v>
      </c>
      <c r="F322">
        <v>0</v>
      </c>
      <c r="G322">
        <v>1.05</v>
      </c>
    </row>
    <row r="323" spans="1:7">
      <c r="A323">
        <v>4721</v>
      </c>
      <c r="B323" t="s">
        <v>1559</v>
      </c>
      <c r="C323" t="s">
        <v>1259</v>
      </c>
      <c r="D323">
        <v>4.5999999999999996</v>
      </c>
      <c r="E323">
        <v>111</v>
      </c>
      <c r="F323">
        <v>5.28</v>
      </c>
      <c r="G323">
        <v>5.84</v>
      </c>
    </row>
    <row r="324" spans="1:7">
      <c r="A324">
        <v>4726</v>
      </c>
      <c r="B324" t="s">
        <v>1560</v>
      </c>
      <c r="C324" t="s">
        <v>1259</v>
      </c>
      <c r="D324">
        <v>0</v>
      </c>
      <c r="E324">
        <v>111</v>
      </c>
      <c r="F324">
        <v>0</v>
      </c>
      <c r="G324">
        <v>2.83</v>
      </c>
    </row>
    <row r="325" spans="1:7">
      <c r="A325">
        <v>4728</v>
      </c>
      <c r="B325" t="s">
        <v>1561</v>
      </c>
      <c r="C325">
        <v>19.100000000000001</v>
      </c>
      <c r="D325">
        <v>9.5</v>
      </c>
      <c r="E325">
        <v>111</v>
      </c>
      <c r="F325">
        <v>4.66</v>
      </c>
      <c r="G325">
        <v>8.7899999999999991</v>
      </c>
    </row>
    <row r="326" spans="1:7">
      <c r="A326">
        <v>4729</v>
      </c>
      <c r="B326" t="s">
        <v>1562</v>
      </c>
      <c r="C326">
        <v>27.59</v>
      </c>
      <c r="D326">
        <v>0.5</v>
      </c>
      <c r="E326">
        <v>111</v>
      </c>
      <c r="F326">
        <v>3.24</v>
      </c>
      <c r="G326">
        <v>1.05</v>
      </c>
    </row>
    <row r="327" spans="1:7">
      <c r="A327">
        <v>4735</v>
      </c>
      <c r="B327" t="s">
        <v>1563</v>
      </c>
      <c r="C327">
        <v>17.329999999999998</v>
      </c>
      <c r="D327">
        <v>2.0002719999999998</v>
      </c>
      <c r="E327">
        <v>111</v>
      </c>
      <c r="F327">
        <v>5.44</v>
      </c>
      <c r="G327">
        <v>1.48</v>
      </c>
    </row>
    <row r="328" spans="1:7">
      <c r="A328">
        <v>4741</v>
      </c>
      <c r="B328" t="s">
        <v>1565</v>
      </c>
      <c r="C328">
        <v>20.51</v>
      </c>
      <c r="D328">
        <v>1.4</v>
      </c>
      <c r="E328">
        <v>111</v>
      </c>
      <c r="F328">
        <v>3.9</v>
      </c>
      <c r="G328">
        <v>1.29</v>
      </c>
    </row>
    <row r="329" spans="1:7">
      <c r="A329">
        <v>4743</v>
      </c>
      <c r="B329" t="s">
        <v>1566</v>
      </c>
      <c r="C329" t="s">
        <v>1259</v>
      </c>
      <c r="D329">
        <v>1.4759277</v>
      </c>
      <c r="E329">
        <v>111</v>
      </c>
      <c r="F329">
        <v>0.76</v>
      </c>
      <c r="G329">
        <v>6.2</v>
      </c>
    </row>
    <row r="330" spans="1:7">
      <c r="A330">
        <v>4744</v>
      </c>
      <c r="B330" t="s">
        <v>1567</v>
      </c>
      <c r="C330" t="s">
        <v>1259</v>
      </c>
      <c r="D330">
        <v>0.93314640000000004</v>
      </c>
      <c r="E330">
        <v>111</v>
      </c>
      <c r="F330">
        <v>3.48</v>
      </c>
      <c r="G330">
        <v>1.3</v>
      </c>
    </row>
    <row r="331" spans="1:7">
      <c r="A331">
        <v>4745</v>
      </c>
      <c r="B331" t="s">
        <v>1568</v>
      </c>
      <c r="C331">
        <v>24.57</v>
      </c>
      <c r="D331">
        <v>1.6</v>
      </c>
      <c r="E331">
        <v>111</v>
      </c>
      <c r="F331">
        <v>6.2</v>
      </c>
      <c r="G331">
        <v>0.72</v>
      </c>
    </row>
    <row r="332" spans="1:7">
      <c r="A332">
        <v>4747</v>
      </c>
      <c r="B332" t="s">
        <v>1569</v>
      </c>
      <c r="C332">
        <v>41.64</v>
      </c>
      <c r="D332">
        <v>2</v>
      </c>
      <c r="E332">
        <v>111</v>
      </c>
      <c r="F332">
        <v>2.39</v>
      </c>
      <c r="G332">
        <v>2.1</v>
      </c>
    </row>
    <row r="333" spans="1:7">
      <c r="A333">
        <v>4754</v>
      </c>
      <c r="B333" t="s">
        <v>1570</v>
      </c>
      <c r="C333">
        <v>21.23</v>
      </c>
      <c r="D333">
        <v>1.8</v>
      </c>
      <c r="E333">
        <v>111</v>
      </c>
      <c r="F333">
        <v>4.18</v>
      </c>
      <c r="G333">
        <v>2.8</v>
      </c>
    </row>
    <row r="334" spans="1:7">
      <c r="A334">
        <v>4760</v>
      </c>
      <c r="B334" t="s">
        <v>1571</v>
      </c>
      <c r="C334">
        <v>21.99</v>
      </c>
      <c r="D334">
        <v>2.1985235400000001</v>
      </c>
      <c r="E334">
        <v>111</v>
      </c>
      <c r="F334">
        <v>3.21</v>
      </c>
      <c r="G334">
        <v>2.59</v>
      </c>
    </row>
    <row r="335" spans="1:7">
      <c r="A335">
        <v>4767</v>
      </c>
      <c r="B335" t="s">
        <v>1572</v>
      </c>
      <c r="C335">
        <v>12.54</v>
      </c>
      <c r="D335">
        <v>1.3</v>
      </c>
      <c r="E335">
        <v>111</v>
      </c>
      <c r="F335">
        <v>4.59</v>
      </c>
      <c r="G335">
        <v>1.01</v>
      </c>
    </row>
    <row r="336" spans="1:7">
      <c r="A336">
        <v>4768</v>
      </c>
      <c r="B336" t="s">
        <v>1573</v>
      </c>
      <c r="C336">
        <v>48.73</v>
      </c>
      <c r="D336">
        <v>5</v>
      </c>
      <c r="E336">
        <v>111</v>
      </c>
      <c r="F336">
        <v>2.6</v>
      </c>
      <c r="G336">
        <v>6.87</v>
      </c>
    </row>
    <row r="337" spans="1:7">
      <c r="A337">
        <v>4804</v>
      </c>
      <c r="B337" t="s">
        <v>1574</v>
      </c>
      <c r="C337" t="s">
        <v>1259</v>
      </c>
      <c r="D337">
        <v>0</v>
      </c>
      <c r="E337">
        <v>111</v>
      </c>
      <c r="F337">
        <v>0</v>
      </c>
      <c r="G337">
        <v>1.3</v>
      </c>
    </row>
    <row r="338" spans="1:7">
      <c r="A338">
        <v>4806</v>
      </c>
      <c r="B338" t="s">
        <v>1575</v>
      </c>
      <c r="C338" t="s">
        <v>1259</v>
      </c>
      <c r="D338">
        <v>0</v>
      </c>
      <c r="E338">
        <v>111</v>
      </c>
      <c r="F338">
        <v>0</v>
      </c>
      <c r="G338">
        <v>8.98</v>
      </c>
    </row>
    <row r="339" spans="1:7">
      <c r="A339">
        <v>4903</v>
      </c>
      <c r="B339" t="s">
        <v>1576</v>
      </c>
      <c r="C339" t="s">
        <v>1259</v>
      </c>
      <c r="D339">
        <v>0</v>
      </c>
      <c r="E339">
        <v>111</v>
      </c>
      <c r="F339">
        <v>0</v>
      </c>
      <c r="G339">
        <v>1.97</v>
      </c>
    </row>
    <row r="340" spans="1:7">
      <c r="A340">
        <v>4905</v>
      </c>
      <c r="B340" t="s">
        <v>1577</v>
      </c>
      <c r="C340">
        <v>12.93</v>
      </c>
      <c r="D340">
        <v>1.2</v>
      </c>
      <c r="E340">
        <v>111</v>
      </c>
      <c r="F340">
        <v>1.55</v>
      </c>
      <c r="G340">
        <v>0.81</v>
      </c>
    </row>
    <row r="341" spans="1:7">
      <c r="A341">
        <v>4907</v>
      </c>
      <c r="B341" t="s">
        <v>1578</v>
      </c>
      <c r="C341">
        <v>181.82</v>
      </c>
      <c r="D341">
        <v>1.2</v>
      </c>
      <c r="E341">
        <v>111</v>
      </c>
      <c r="F341">
        <v>3</v>
      </c>
      <c r="G341">
        <v>2.75</v>
      </c>
    </row>
    <row r="342" spans="1:7">
      <c r="A342">
        <v>4908</v>
      </c>
      <c r="B342" t="s">
        <v>1579</v>
      </c>
      <c r="C342">
        <v>33.590000000000003</v>
      </c>
      <c r="D342">
        <v>3</v>
      </c>
      <c r="E342">
        <v>111</v>
      </c>
      <c r="F342">
        <v>3.56</v>
      </c>
      <c r="G342">
        <v>4.09</v>
      </c>
    </row>
    <row r="343" spans="1:7">
      <c r="A343">
        <v>4909</v>
      </c>
      <c r="B343" t="s">
        <v>1580</v>
      </c>
      <c r="C343" t="s">
        <v>1259</v>
      </c>
      <c r="D343">
        <v>0</v>
      </c>
      <c r="E343">
        <v>111</v>
      </c>
      <c r="F343">
        <v>0</v>
      </c>
      <c r="G343">
        <v>1.23</v>
      </c>
    </row>
    <row r="344" spans="1:7">
      <c r="A344">
        <v>4911</v>
      </c>
      <c r="B344" t="s">
        <v>1581</v>
      </c>
      <c r="C344">
        <v>54.21</v>
      </c>
      <c r="D344">
        <v>0</v>
      </c>
      <c r="E344">
        <v>111</v>
      </c>
      <c r="F344">
        <v>0</v>
      </c>
      <c r="G344">
        <v>4.62</v>
      </c>
    </row>
    <row r="345" spans="1:7">
      <c r="A345">
        <v>4923</v>
      </c>
      <c r="B345" t="s">
        <v>1582</v>
      </c>
      <c r="C345">
        <v>93.4</v>
      </c>
      <c r="D345">
        <v>5</v>
      </c>
      <c r="E345">
        <v>111</v>
      </c>
      <c r="F345">
        <v>10.1</v>
      </c>
      <c r="G345">
        <v>2.2200000000000002</v>
      </c>
    </row>
    <row r="346" spans="1:7">
      <c r="A346">
        <v>4924</v>
      </c>
      <c r="B346" t="s">
        <v>1583</v>
      </c>
      <c r="C346" t="s">
        <v>1259</v>
      </c>
      <c r="D346">
        <v>0</v>
      </c>
      <c r="E346">
        <v>111</v>
      </c>
      <c r="F346">
        <v>0</v>
      </c>
      <c r="G346">
        <v>1.53</v>
      </c>
    </row>
    <row r="347" spans="1:7">
      <c r="A347">
        <v>4931</v>
      </c>
      <c r="B347" t="s">
        <v>1584</v>
      </c>
      <c r="C347">
        <v>32.42</v>
      </c>
      <c r="D347">
        <v>2.1887766800000001</v>
      </c>
      <c r="E347">
        <v>111</v>
      </c>
      <c r="F347">
        <v>7.26</v>
      </c>
      <c r="G347">
        <v>1.93</v>
      </c>
    </row>
    <row r="348" spans="1:7">
      <c r="A348">
        <v>4933</v>
      </c>
      <c r="B348" t="s">
        <v>1585</v>
      </c>
      <c r="C348">
        <v>16.149999999999999</v>
      </c>
      <c r="D348">
        <v>2.9112900000000002</v>
      </c>
      <c r="E348">
        <v>111</v>
      </c>
      <c r="F348">
        <v>5.13</v>
      </c>
      <c r="G348">
        <v>1.37</v>
      </c>
    </row>
    <row r="349" spans="1:7">
      <c r="A349">
        <v>4939</v>
      </c>
      <c r="B349" t="s">
        <v>1586</v>
      </c>
      <c r="C349">
        <v>79.44</v>
      </c>
      <c r="D349">
        <v>0.48</v>
      </c>
      <c r="E349">
        <v>111</v>
      </c>
      <c r="F349">
        <v>2.2400000000000002</v>
      </c>
      <c r="G349">
        <v>1.35</v>
      </c>
    </row>
    <row r="350" spans="1:7">
      <c r="A350">
        <v>4945</v>
      </c>
      <c r="B350" t="s">
        <v>1588</v>
      </c>
      <c r="C350">
        <v>93.74</v>
      </c>
      <c r="D350">
        <v>2.7</v>
      </c>
      <c r="E350">
        <v>111</v>
      </c>
      <c r="F350">
        <v>2.91</v>
      </c>
      <c r="G350">
        <v>4.26</v>
      </c>
    </row>
    <row r="351" spans="1:7">
      <c r="A351">
        <v>4946</v>
      </c>
      <c r="B351" t="s">
        <v>1589</v>
      </c>
      <c r="C351" t="s">
        <v>1259</v>
      </c>
      <c r="D351">
        <v>0</v>
      </c>
      <c r="E351">
        <v>111</v>
      </c>
      <c r="F351">
        <v>0</v>
      </c>
      <c r="G351">
        <v>7.8</v>
      </c>
    </row>
    <row r="352" spans="1:7">
      <c r="A352">
        <v>4951</v>
      </c>
      <c r="B352" t="s">
        <v>1591</v>
      </c>
      <c r="C352">
        <v>23.87</v>
      </c>
      <c r="D352">
        <v>3.5</v>
      </c>
      <c r="E352">
        <v>111</v>
      </c>
      <c r="F352">
        <v>4.8899999999999997</v>
      </c>
      <c r="G352">
        <v>3.04</v>
      </c>
    </row>
    <row r="353" spans="1:7">
      <c r="A353">
        <v>4953</v>
      </c>
      <c r="B353" t="s">
        <v>1592</v>
      </c>
      <c r="C353">
        <v>16.54</v>
      </c>
      <c r="D353">
        <v>5</v>
      </c>
      <c r="E353">
        <v>111</v>
      </c>
      <c r="F353">
        <v>3.79</v>
      </c>
      <c r="G353">
        <v>2.8</v>
      </c>
    </row>
    <row r="354" spans="1:7">
      <c r="A354">
        <v>4966</v>
      </c>
      <c r="B354" t="s">
        <v>1593</v>
      </c>
      <c r="C354">
        <v>52.68</v>
      </c>
      <c r="D354">
        <v>30.772362319999999</v>
      </c>
      <c r="E354">
        <v>111</v>
      </c>
      <c r="F354">
        <v>2.56</v>
      </c>
      <c r="G354">
        <v>4.71</v>
      </c>
    </row>
    <row r="355" spans="1:7">
      <c r="A355">
        <v>4971</v>
      </c>
      <c r="B355" t="s">
        <v>1594</v>
      </c>
      <c r="C355">
        <v>40.32</v>
      </c>
      <c r="D355">
        <v>1.9976893200000001</v>
      </c>
      <c r="E355">
        <v>111</v>
      </c>
      <c r="F355">
        <v>3.14</v>
      </c>
      <c r="G355">
        <v>1.32</v>
      </c>
    </row>
    <row r="356" spans="1:7">
      <c r="A356">
        <v>4972</v>
      </c>
      <c r="B356" t="s">
        <v>1595</v>
      </c>
      <c r="C356">
        <v>54.81</v>
      </c>
      <c r="D356">
        <v>1.62</v>
      </c>
      <c r="E356">
        <v>111</v>
      </c>
      <c r="F356">
        <v>5.68</v>
      </c>
      <c r="G356">
        <v>1.04</v>
      </c>
    </row>
    <row r="357" spans="1:7">
      <c r="A357">
        <v>4973</v>
      </c>
      <c r="B357" t="s">
        <v>1596</v>
      </c>
      <c r="C357">
        <v>13.42</v>
      </c>
      <c r="D357">
        <v>2</v>
      </c>
      <c r="E357">
        <v>111</v>
      </c>
      <c r="F357">
        <v>5.42</v>
      </c>
      <c r="G357">
        <v>1.03</v>
      </c>
    </row>
    <row r="358" spans="1:7">
      <c r="A358">
        <v>4974</v>
      </c>
      <c r="B358" t="s">
        <v>1597</v>
      </c>
      <c r="C358">
        <v>10.41</v>
      </c>
      <c r="D358">
        <v>5.8</v>
      </c>
      <c r="E358">
        <v>111</v>
      </c>
      <c r="F358">
        <v>8.7100000000000009</v>
      </c>
      <c r="G358">
        <v>1.57</v>
      </c>
    </row>
    <row r="359" spans="1:7">
      <c r="A359">
        <v>4979</v>
      </c>
      <c r="B359" t="s">
        <v>1598</v>
      </c>
      <c r="C359">
        <v>50.35</v>
      </c>
      <c r="D359">
        <v>5.9308069999999997E-2</v>
      </c>
      <c r="E359">
        <v>111</v>
      </c>
      <c r="F359">
        <v>0.04</v>
      </c>
      <c r="G359">
        <v>10.96</v>
      </c>
    </row>
    <row r="360" spans="1:7">
      <c r="A360">
        <v>4987</v>
      </c>
      <c r="B360" t="s">
        <v>1599</v>
      </c>
      <c r="C360">
        <v>12.6</v>
      </c>
      <c r="D360">
        <v>4.5</v>
      </c>
      <c r="E360">
        <v>111</v>
      </c>
      <c r="F360">
        <v>7.55</v>
      </c>
      <c r="G360">
        <v>1.78</v>
      </c>
    </row>
    <row r="361" spans="1:7">
      <c r="A361">
        <v>4991</v>
      </c>
      <c r="B361" t="s">
        <v>1600</v>
      </c>
      <c r="C361" t="s">
        <v>1259</v>
      </c>
      <c r="D361">
        <v>0</v>
      </c>
      <c r="E361">
        <v>111</v>
      </c>
      <c r="F361">
        <v>0</v>
      </c>
      <c r="G361">
        <v>1.1399999999999999</v>
      </c>
    </row>
    <row r="362" spans="1:7">
      <c r="A362">
        <v>4995</v>
      </c>
      <c r="B362" t="s">
        <v>1601</v>
      </c>
      <c r="C362">
        <v>12.81</v>
      </c>
      <c r="D362">
        <v>4.19859852</v>
      </c>
      <c r="E362">
        <v>111</v>
      </c>
      <c r="F362">
        <v>8.86</v>
      </c>
      <c r="G362">
        <v>2.21</v>
      </c>
    </row>
    <row r="363" spans="1:7">
      <c r="A363">
        <v>5009</v>
      </c>
      <c r="B363" t="s">
        <v>1602</v>
      </c>
      <c r="C363">
        <v>11.55</v>
      </c>
      <c r="D363">
        <v>2.3694299299999999</v>
      </c>
      <c r="E363">
        <v>111</v>
      </c>
      <c r="F363">
        <v>4.8499999999999996</v>
      </c>
      <c r="G363">
        <v>1.84</v>
      </c>
    </row>
    <row r="364" spans="1:7">
      <c r="A364">
        <v>5011</v>
      </c>
      <c r="B364" t="s">
        <v>1603</v>
      </c>
      <c r="C364">
        <v>25.9</v>
      </c>
      <c r="D364">
        <v>1.9930041000000001</v>
      </c>
      <c r="E364">
        <v>111</v>
      </c>
      <c r="F364">
        <v>7.69</v>
      </c>
      <c r="G364">
        <v>1.17</v>
      </c>
    </row>
    <row r="365" spans="1:7">
      <c r="A365">
        <v>5013</v>
      </c>
      <c r="B365" t="s">
        <v>1604</v>
      </c>
      <c r="C365">
        <v>15.15</v>
      </c>
      <c r="D365">
        <v>1.6</v>
      </c>
      <c r="E365">
        <v>111</v>
      </c>
      <c r="F365">
        <v>4.57</v>
      </c>
      <c r="G365">
        <v>1.3</v>
      </c>
    </row>
    <row r="366" spans="1:7">
      <c r="A366">
        <v>5014</v>
      </c>
      <c r="B366" t="s">
        <v>1605</v>
      </c>
      <c r="C366">
        <v>55</v>
      </c>
      <c r="D366">
        <v>0.8</v>
      </c>
      <c r="E366">
        <v>111</v>
      </c>
      <c r="F366">
        <v>5.39</v>
      </c>
      <c r="G366">
        <v>0.86</v>
      </c>
    </row>
    <row r="367" spans="1:7">
      <c r="A367">
        <v>5015</v>
      </c>
      <c r="B367" t="s">
        <v>1606</v>
      </c>
      <c r="C367">
        <v>16.7</v>
      </c>
      <c r="D367">
        <v>5.6</v>
      </c>
      <c r="E367">
        <v>111</v>
      </c>
      <c r="F367">
        <v>12.51</v>
      </c>
      <c r="G367">
        <v>1.93</v>
      </c>
    </row>
    <row r="368" spans="1:7">
      <c r="A368">
        <v>5016</v>
      </c>
      <c r="B368" t="s">
        <v>1607</v>
      </c>
      <c r="C368">
        <v>22.58</v>
      </c>
      <c r="D368">
        <v>1.4</v>
      </c>
      <c r="E368">
        <v>111</v>
      </c>
      <c r="F368">
        <v>4.84</v>
      </c>
      <c r="G368">
        <v>1</v>
      </c>
    </row>
    <row r="369" spans="1:7">
      <c r="A369">
        <v>5201</v>
      </c>
      <c r="B369" t="s">
        <v>1608</v>
      </c>
      <c r="C369">
        <v>12.39</v>
      </c>
      <c r="D369">
        <v>0.45</v>
      </c>
      <c r="E369">
        <v>111</v>
      </c>
      <c r="F369">
        <v>1.45</v>
      </c>
      <c r="G369">
        <v>2.2999999999999998</v>
      </c>
    </row>
    <row r="370" spans="1:7">
      <c r="A370">
        <v>5202</v>
      </c>
      <c r="B370" t="s">
        <v>1609</v>
      </c>
      <c r="C370">
        <v>1650</v>
      </c>
      <c r="D370">
        <v>0</v>
      </c>
      <c r="E370">
        <v>111</v>
      </c>
      <c r="F370">
        <v>0</v>
      </c>
      <c r="G370">
        <v>1.49</v>
      </c>
    </row>
    <row r="371" spans="1:7">
      <c r="A371">
        <v>5205</v>
      </c>
      <c r="B371" t="s">
        <v>1610</v>
      </c>
      <c r="C371" t="s">
        <v>1259</v>
      </c>
      <c r="D371">
        <v>0</v>
      </c>
      <c r="E371">
        <v>111</v>
      </c>
      <c r="F371">
        <v>0</v>
      </c>
      <c r="G371">
        <v>4.66</v>
      </c>
    </row>
    <row r="372" spans="1:7">
      <c r="A372">
        <v>5206</v>
      </c>
      <c r="B372" t="s">
        <v>1611</v>
      </c>
      <c r="C372">
        <v>28.14</v>
      </c>
      <c r="D372">
        <v>0.5</v>
      </c>
      <c r="E372">
        <v>111</v>
      </c>
      <c r="F372">
        <v>1.83</v>
      </c>
      <c r="G372">
        <v>1.5</v>
      </c>
    </row>
    <row r="373" spans="1:7">
      <c r="A373">
        <v>5209</v>
      </c>
      <c r="B373" t="s">
        <v>1612</v>
      </c>
      <c r="C373">
        <v>13.36</v>
      </c>
      <c r="D373">
        <v>7.4837257900000003</v>
      </c>
      <c r="E373">
        <v>111</v>
      </c>
      <c r="F373">
        <v>4.43</v>
      </c>
      <c r="G373">
        <v>6.12</v>
      </c>
    </row>
    <row r="374" spans="1:7">
      <c r="A374">
        <v>5210</v>
      </c>
      <c r="B374" t="s">
        <v>1613</v>
      </c>
      <c r="C374" t="s">
        <v>1259</v>
      </c>
      <c r="D374">
        <v>0</v>
      </c>
      <c r="E374">
        <v>111</v>
      </c>
      <c r="F374">
        <v>0</v>
      </c>
      <c r="G374">
        <v>7.1</v>
      </c>
    </row>
    <row r="375" spans="1:7">
      <c r="A375">
        <v>5211</v>
      </c>
      <c r="B375" t="s">
        <v>1614</v>
      </c>
      <c r="C375" t="s">
        <v>1259</v>
      </c>
      <c r="D375">
        <v>0.75</v>
      </c>
      <c r="E375">
        <v>111</v>
      </c>
      <c r="F375">
        <v>3.36</v>
      </c>
      <c r="G375">
        <v>1.72</v>
      </c>
    </row>
    <row r="376" spans="1:7">
      <c r="A376">
        <v>5212</v>
      </c>
      <c r="B376" t="s">
        <v>1615</v>
      </c>
      <c r="C376">
        <v>16.62</v>
      </c>
      <c r="D376">
        <v>2.6</v>
      </c>
      <c r="E376">
        <v>111</v>
      </c>
      <c r="F376">
        <v>4.9800000000000004</v>
      </c>
      <c r="G376">
        <v>3.72</v>
      </c>
    </row>
    <row r="377" spans="1:7">
      <c r="A377">
        <v>5213</v>
      </c>
      <c r="B377" t="s">
        <v>1616</v>
      </c>
      <c r="C377">
        <v>31.85</v>
      </c>
      <c r="D377">
        <v>1.2770543000000001</v>
      </c>
      <c r="E377">
        <v>111</v>
      </c>
      <c r="F377">
        <v>3.61</v>
      </c>
      <c r="G377">
        <v>1.79</v>
      </c>
    </row>
    <row r="378" spans="1:7">
      <c r="A378">
        <v>5220</v>
      </c>
      <c r="B378" t="s">
        <v>1617</v>
      </c>
      <c r="C378">
        <v>29.83</v>
      </c>
      <c r="D378">
        <v>1.8</v>
      </c>
      <c r="E378">
        <v>111</v>
      </c>
      <c r="F378">
        <v>6.86</v>
      </c>
      <c r="G378">
        <v>1.3</v>
      </c>
    </row>
    <row r="379" spans="1:7">
      <c r="A379">
        <v>5223</v>
      </c>
      <c r="B379" t="s">
        <v>1618</v>
      </c>
      <c r="C379" t="s">
        <v>1259</v>
      </c>
      <c r="D379">
        <v>2</v>
      </c>
      <c r="E379">
        <v>111</v>
      </c>
      <c r="F379">
        <v>4.68</v>
      </c>
      <c r="G379">
        <v>0.96</v>
      </c>
    </row>
    <row r="380" spans="1:7">
      <c r="A380">
        <v>5227</v>
      </c>
      <c r="B380" t="s">
        <v>1619</v>
      </c>
      <c r="C380" t="s">
        <v>1259</v>
      </c>
      <c r="D380">
        <v>0</v>
      </c>
      <c r="E380">
        <v>111</v>
      </c>
      <c r="F380">
        <v>0</v>
      </c>
      <c r="G380">
        <v>4.5199999999999996</v>
      </c>
    </row>
    <row r="381" spans="1:7">
      <c r="A381">
        <v>5228</v>
      </c>
      <c r="B381" t="s">
        <v>1620</v>
      </c>
      <c r="C381" t="s">
        <v>1259</v>
      </c>
      <c r="D381">
        <v>0.3</v>
      </c>
      <c r="E381">
        <v>111</v>
      </c>
      <c r="F381">
        <v>1.35</v>
      </c>
      <c r="G381">
        <v>1.35</v>
      </c>
    </row>
    <row r="382" spans="1:7">
      <c r="A382">
        <v>5230</v>
      </c>
      <c r="B382" t="s">
        <v>1621</v>
      </c>
      <c r="C382" t="s">
        <v>1259</v>
      </c>
      <c r="D382">
        <v>0.8</v>
      </c>
      <c r="E382">
        <v>111</v>
      </c>
      <c r="F382">
        <v>3.05</v>
      </c>
      <c r="G382">
        <v>1.06</v>
      </c>
    </row>
    <row r="383" spans="1:7">
      <c r="A383">
        <v>5236</v>
      </c>
      <c r="B383" t="s">
        <v>1622</v>
      </c>
      <c r="C383">
        <v>29.7</v>
      </c>
      <c r="D383">
        <v>7.0001794999999998</v>
      </c>
      <c r="E383">
        <v>111</v>
      </c>
      <c r="F383">
        <v>3.57</v>
      </c>
      <c r="G383">
        <v>4.7699999999999996</v>
      </c>
    </row>
    <row r="384" spans="1:7">
      <c r="A384">
        <v>5245</v>
      </c>
      <c r="B384" t="s">
        <v>1623</v>
      </c>
      <c r="C384" t="s">
        <v>1259</v>
      </c>
      <c r="D384">
        <v>2.5</v>
      </c>
      <c r="E384">
        <v>111</v>
      </c>
      <c r="F384">
        <v>6.3</v>
      </c>
      <c r="G384">
        <v>1.66</v>
      </c>
    </row>
    <row r="385" spans="1:7">
      <c r="A385">
        <v>5251</v>
      </c>
      <c r="B385" t="s">
        <v>1624</v>
      </c>
      <c r="C385" t="s">
        <v>1259</v>
      </c>
      <c r="D385">
        <v>0</v>
      </c>
      <c r="E385">
        <v>111</v>
      </c>
      <c r="F385">
        <v>0</v>
      </c>
      <c r="G385">
        <v>1.56</v>
      </c>
    </row>
    <row r="386" spans="1:7">
      <c r="A386">
        <v>5263</v>
      </c>
      <c r="B386" t="s">
        <v>1625</v>
      </c>
      <c r="C386" t="s">
        <v>1259</v>
      </c>
      <c r="D386">
        <v>1.4531289999999999</v>
      </c>
      <c r="E386">
        <v>111</v>
      </c>
      <c r="F386">
        <v>1.27</v>
      </c>
      <c r="G386">
        <v>2.29</v>
      </c>
    </row>
    <row r="387" spans="1:7">
      <c r="A387">
        <v>5272</v>
      </c>
      <c r="B387" t="s">
        <v>1626</v>
      </c>
      <c r="C387" t="s">
        <v>1259</v>
      </c>
      <c r="D387">
        <v>0.70550930999999995</v>
      </c>
      <c r="E387">
        <v>111</v>
      </c>
      <c r="F387">
        <v>1.96</v>
      </c>
      <c r="G387">
        <v>1.81</v>
      </c>
    </row>
    <row r="388" spans="1:7">
      <c r="A388">
        <v>5274</v>
      </c>
      <c r="B388" t="s">
        <v>1627</v>
      </c>
      <c r="C388">
        <v>100.61</v>
      </c>
      <c r="D388">
        <v>45</v>
      </c>
      <c r="E388">
        <v>111</v>
      </c>
      <c r="F388">
        <v>1.44</v>
      </c>
      <c r="G388">
        <v>33.520000000000003</v>
      </c>
    </row>
    <row r="389" spans="1:7">
      <c r="A389">
        <v>5276</v>
      </c>
      <c r="B389" t="s">
        <v>1628</v>
      </c>
      <c r="C389" t="s">
        <v>1259</v>
      </c>
      <c r="D389">
        <v>0.6</v>
      </c>
      <c r="E389">
        <v>111</v>
      </c>
      <c r="F389">
        <v>4.3499999999999996</v>
      </c>
      <c r="G389">
        <v>1.06</v>
      </c>
    </row>
    <row r="390" spans="1:7">
      <c r="A390">
        <v>5278</v>
      </c>
      <c r="B390" t="s">
        <v>1629</v>
      </c>
      <c r="C390">
        <v>17.489999999999998</v>
      </c>
      <c r="D390">
        <v>9.896293</v>
      </c>
      <c r="E390">
        <v>111</v>
      </c>
      <c r="F390">
        <v>4.5999999999999996</v>
      </c>
      <c r="G390">
        <v>10.029999999999999</v>
      </c>
    </row>
    <row r="391" spans="1:7">
      <c r="A391">
        <v>5287</v>
      </c>
      <c r="B391" t="s">
        <v>1631</v>
      </c>
      <c r="C391">
        <v>15.43</v>
      </c>
      <c r="D391">
        <v>10</v>
      </c>
      <c r="E391">
        <v>111</v>
      </c>
      <c r="F391">
        <v>5.03</v>
      </c>
      <c r="G391">
        <v>5.84</v>
      </c>
    </row>
    <row r="392" spans="1:7">
      <c r="A392">
        <v>5289</v>
      </c>
      <c r="B392" t="s">
        <v>1632</v>
      </c>
      <c r="C392">
        <v>21.71</v>
      </c>
      <c r="D392">
        <v>13.98166529</v>
      </c>
      <c r="E392">
        <v>111</v>
      </c>
      <c r="F392">
        <v>4.4800000000000004</v>
      </c>
      <c r="G392">
        <v>4.08</v>
      </c>
    </row>
    <row r="393" spans="1:7">
      <c r="A393">
        <v>5291</v>
      </c>
      <c r="B393" t="s">
        <v>1633</v>
      </c>
      <c r="C393">
        <v>30.96</v>
      </c>
      <c r="D393">
        <v>2.6999999899999998</v>
      </c>
      <c r="E393">
        <v>111</v>
      </c>
      <c r="F393">
        <v>9.8000000000000007</v>
      </c>
      <c r="G393">
        <v>1.1599999999999999</v>
      </c>
    </row>
    <row r="394" spans="1:7">
      <c r="A394">
        <v>5299</v>
      </c>
      <c r="B394" t="s">
        <v>1634</v>
      </c>
      <c r="C394">
        <v>22.15</v>
      </c>
      <c r="D394">
        <v>8.3967944800000005</v>
      </c>
      <c r="E394">
        <v>111</v>
      </c>
      <c r="F394">
        <v>6.36</v>
      </c>
      <c r="G394">
        <v>2.14</v>
      </c>
    </row>
    <row r="395" spans="1:7">
      <c r="A395">
        <v>5301</v>
      </c>
      <c r="B395" t="s">
        <v>1635</v>
      </c>
      <c r="C395" t="s">
        <v>1259</v>
      </c>
      <c r="D395">
        <v>0</v>
      </c>
      <c r="E395">
        <v>111</v>
      </c>
      <c r="F395">
        <v>0</v>
      </c>
      <c r="G395">
        <v>2.14</v>
      </c>
    </row>
    <row r="396" spans="1:7">
      <c r="A396">
        <v>5302</v>
      </c>
      <c r="B396" t="s">
        <v>1636</v>
      </c>
      <c r="C396" t="s">
        <v>1259</v>
      </c>
      <c r="D396">
        <v>0</v>
      </c>
      <c r="E396">
        <v>111</v>
      </c>
      <c r="F396">
        <v>0</v>
      </c>
      <c r="G396">
        <v>1.41</v>
      </c>
    </row>
    <row r="397" spans="1:7">
      <c r="A397">
        <v>5309</v>
      </c>
      <c r="B397" t="s">
        <v>1637</v>
      </c>
      <c r="C397">
        <v>24.66</v>
      </c>
      <c r="D397">
        <v>0</v>
      </c>
      <c r="E397">
        <v>111</v>
      </c>
      <c r="F397">
        <v>0</v>
      </c>
      <c r="G397">
        <v>2.38</v>
      </c>
    </row>
    <row r="398" spans="1:7">
      <c r="A398">
        <v>5310</v>
      </c>
      <c r="B398" t="s">
        <v>1638</v>
      </c>
      <c r="C398" t="s">
        <v>1259</v>
      </c>
      <c r="D398">
        <v>0</v>
      </c>
      <c r="E398">
        <v>111</v>
      </c>
      <c r="F398">
        <v>0</v>
      </c>
      <c r="G398">
        <v>3.54</v>
      </c>
    </row>
    <row r="399" spans="1:7">
      <c r="A399">
        <v>5312</v>
      </c>
      <c r="B399" t="s">
        <v>1639</v>
      </c>
      <c r="C399">
        <v>14.33</v>
      </c>
      <c r="D399">
        <v>4.3</v>
      </c>
      <c r="E399">
        <v>111</v>
      </c>
      <c r="F399">
        <v>5.14</v>
      </c>
      <c r="G399">
        <v>1.79</v>
      </c>
    </row>
    <row r="400" spans="1:7">
      <c r="A400">
        <v>5314</v>
      </c>
      <c r="B400" t="s">
        <v>1640</v>
      </c>
      <c r="C400">
        <v>37.75</v>
      </c>
      <c r="D400">
        <v>0</v>
      </c>
      <c r="E400">
        <v>111</v>
      </c>
      <c r="F400">
        <v>0</v>
      </c>
      <c r="G400">
        <v>7.05</v>
      </c>
    </row>
    <row r="401" spans="1:7">
      <c r="A401">
        <v>5315</v>
      </c>
      <c r="B401" t="s">
        <v>1641</v>
      </c>
      <c r="C401">
        <v>13.25</v>
      </c>
      <c r="D401">
        <v>1.8</v>
      </c>
      <c r="E401">
        <v>111</v>
      </c>
      <c r="F401">
        <v>9.92</v>
      </c>
      <c r="G401">
        <v>1.25</v>
      </c>
    </row>
    <row r="402" spans="1:7">
      <c r="A402">
        <v>5321</v>
      </c>
      <c r="B402" t="s">
        <v>1642</v>
      </c>
      <c r="C402">
        <v>28.41</v>
      </c>
      <c r="D402">
        <v>3</v>
      </c>
      <c r="E402">
        <v>111</v>
      </c>
      <c r="F402">
        <v>3.36</v>
      </c>
      <c r="G402">
        <v>5.67</v>
      </c>
    </row>
    <row r="403" spans="1:7">
      <c r="A403">
        <v>5324</v>
      </c>
      <c r="B403" t="s">
        <v>1643</v>
      </c>
      <c r="C403" t="s">
        <v>1259</v>
      </c>
      <c r="D403">
        <v>0</v>
      </c>
      <c r="E403">
        <v>111</v>
      </c>
      <c r="F403">
        <v>0</v>
      </c>
      <c r="G403">
        <v>1.86</v>
      </c>
    </row>
    <row r="404" spans="1:7">
      <c r="A404">
        <v>5328</v>
      </c>
      <c r="B404" t="s">
        <v>1644</v>
      </c>
      <c r="C404">
        <v>28.3</v>
      </c>
      <c r="D404">
        <v>0</v>
      </c>
      <c r="E404">
        <v>111</v>
      </c>
      <c r="F404">
        <v>0</v>
      </c>
      <c r="G404">
        <v>1.51</v>
      </c>
    </row>
    <row r="405" spans="1:7">
      <c r="A405">
        <v>5340</v>
      </c>
      <c r="B405" t="s">
        <v>1645</v>
      </c>
      <c r="C405">
        <v>737.5</v>
      </c>
      <c r="D405">
        <v>0</v>
      </c>
      <c r="E405">
        <v>111</v>
      </c>
      <c r="F405">
        <v>0</v>
      </c>
      <c r="G405">
        <v>5.95</v>
      </c>
    </row>
    <row r="406" spans="1:7">
      <c r="A406">
        <v>5344</v>
      </c>
      <c r="B406" t="s">
        <v>1646</v>
      </c>
      <c r="C406" t="s">
        <v>1259</v>
      </c>
      <c r="D406">
        <v>0</v>
      </c>
      <c r="E406">
        <v>111</v>
      </c>
      <c r="F406">
        <v>0</v>
      </c>
      <c r="G406">
        <v>3.78</v>
      </c>
    </row>
    <row r="407" spans="1:7">
      <c r="A407">
        <v>5345</v>
      </c>
      <c r="B407" t="s">
        <v>1647</v>
      </c>
      <c r="C407" t="s">
        <v>1259</v>
      </c>
      <c r="D407">
        <v>0</v>
      </c>
      <c r="E407">
        <v>111</v>
      </c>
      <c r="F407">
        <v>0</v>
      </c>
      <c r="G407">
        <v>2.5</v>
      </c>
    </row>
    <row r="408" spans="1:7">
      <c r="A408">
        <v>5347</v>
      </c>
      <c r="B408" t="s">
        <v>1648</v>
      </c>
      <c r="C408">
        <v>17.91</v>
      </c>
      <c r="D408">
        <v>4.5</v>
      </c>
      <c r="E408">
        <v>111</v>
      </c>
      <c r="F408">
        <v>5.52</v>
      </c>
      <c r="G408">
        <v>3.04</v>
      </c>
    </row>
    <row r="409" spans="1:7">
      <c r="A409">
        <v>5348</v>
      </c>
      <c r="B409" t="s">
        <v>1649</v>
      </c>
      <c r="C409">
        <v>72.14</v>
      </c>
      <c r="D409">
        <v>0</v>
      </c>
      <c r="E409">
        <v>111</v>
      </c>
      <c r="F409">
        <v>0</v>
      </c>
      <c r="G409">
        <v>3.95</v>
      </c>
    </row>
    <row r="410" spans="1:7">
      <c r="A410">
        <v>5351</v>
      </c>
      <c r="B410" t="s">
        <v>1650</v>
      </c>
      <c r="C410" t="s">
        <v>1259</v>
      </c>
      <c r="D410">
        <v>0.15969099</v>
      </c>
      <c r="E410">
        <v>111</v>
      </c>
      <c r="F410">
        <v>0.3</v>
      </c>
      <c r="G410">
        <v>4.25</v>
      </c>
    </row>
    <row r="411" spans="1:7">
      <c r="A411">
        <v>5353</v>
      </c>
      <c r="B411" t="s">
        <v>1651</v>
      </c>
      <c r="C411">
        <v>14.42</v>
      </c>
      <c r="D411">
        <v>1.2</v>
      </c>
      <c r="E411">
        <v>111</v>
      </c>
      <c r="F411">
        <v>3.33</v>
      </c>
      <c r="G411">
        <v>2.08</v>
      </c>
    </row>
    <row r="412" spans="1:7">
      <c r="A412">
        <v>5355</v>
      </c>
      <c r="B412" t="s">
        <v>1652</v>
      </c>
      <c r="C412" t="s">
        <v>1259</v>
      </c>
      <c r="D412">
        <v>0</v>
      </c>
      <c r="E412">
        <v>111</v>
      </c>
      <c r="F412">
        <v>0</v>
      </c>
      <c r="G412">
        <v>1.66</v>
      </c>
    </row>
    <row r="413" spans="1:7">
      <c r="A413">
        <v>5356</v>
      </c>
      <c r="B413" t="s">
        <v>1653</v>
      </c>
      <c r="C413">
        <v>200.33</v>
      </c>
      <c r="D413">
        <v>1.5</v>
      </c>
      <c r="E413">
        <v>111</v>
      </c>
      <c r="F413">
        <v>4.99</v>
      </c>
      <c r="G413">
        <v>0.74</v>
      </c>
    </row>
    <row r="414" spans="1:7">
      <c r="A414">
        <v>5364</v>
      </c>
      <c r="B414" t="s">
        <v>1654</v>
      </c>
      <c r="C414" t="s">
        <v>1259</v>
      </c>
      <c r="D414">
        <v>0</v>
      </c>
      <c r="E414">
        <v>111</v>
      </c>
      <c r="F414">
        <v>0</v>
      </c>
      <c r="G414">
        <v>2.58</v>
      </c>
    </row>
    <row r="415" spans="1:7">
      <c r="A415">
        <v>5371</v>
      </c>
      <c r="B415" t="s">
        <v>1655</v>
      </c>
      <c r="C415">
        <v>18.57</v>
      </c>
      <c r="D415">
        <v>4.5</v>
      </c>
      <c r="E415">
        <v>111</v>
      </c>
      <c r="F415">
        <v>6.29</v>
      </c>
      <c r="G415">
        <v>1.17</v>
      </c>
    </row>
    <row r="416" spans="1:7">
      <c r="A416">
        <v>5381</v>
      </c>
      <c r="B416" t="s">
        <v>1656</v>
      </c>
      <c r="C416">
        <v>95.17</v>
      </c>
      <c r="D416">
        <v>0</v>
      </c>
      <c r="E416">
        <v>111</v>
      </c>
      <c r="F416">
        <v>0</v>
      </c>
      <c r="G416">
        <v>4.82</v>
      </c>
    </row>
    <row r="417" spans="1:7">
      <c r="A417">
        <v>5383</v>
      </c>
      <c r="B417" t="s">
        <v>1657</v>
      </c>
      <c r="C417" t="s">
        <v>1259</v>
      </c>
      <c r="D417">
        <v>0</v>
      </c>
      <c r="E417">
        <v>111</v>
      </c>
      <c r="F417">
        <v>0</v>
      </c>
      <c r="G417">
        <v>3.99</v>
      </c>
    </row>
    <row r="418" spans="1:7">
      <c r="A418">
        <v>5386</v>
      </c>
      <c r="B418" t="s">
        <v>1658</v>
      </c>
      <c r="C418">
        <v>29.05</v>
      </c>
      <c r="D418">
        <v>1</v>
      </c>
      <c r="E418">
        <v>111</v>
      </c>
      <c r="F418">
        <v>1.81</v>
      </c>
      <c r="G418">
        <v>3.27</v>
      </c>
    </row>
    <row r="419" spans="1:7">
      <c r="A419">
        <v>5392</v>
      </c>
      <c r="B419" t="s">
        <v>1659</v>
      </c>
      <c r="C419" t="s">
        <v>1259</v>
      </c>
      <c r="D419">
        <v>0.30178444999999998</v>
      </c>
      <c r="E419">
        <v>111</v>
      </c>
      <c r="F419">
        <v>1.25</v>
      </c>
      <c r="G419">
        <v>0.71</v>
      </c>
    </row>
    <row r="420" spans="1:7">
      <c r="A420">
        <v>5398</v>
      </c>
      <c r="B420" t="s">
        <v>1660</v>
      </c>
      <c r="C420" t="s">
        <v>1259</v>
      </c>
      <c r="D420">
        <v>0</v>
      </c>
      <c r="E420">
        <v>111</v>
      </c>
      <c r="F420">
        <v>0</v>
      </c>
      <c r="G420">
        <v>1.46</v>
      </c>
    </row>
    <row r="421" spans="1:7">
      <c r="A421">
        <v>5403</v>
      </c>
      <c r="B421" t="s">
        <v>1661</v>
      </c>
      <c r="C421">
        <v>13.27</v>
      </c>
      <c r="D421">
        <v>5.0009420100000002</v>
      </c>
      <c r="E421">
        <v>111</v>
      </c>
      <c r="F421">
        <v>4.37</v>
      </c>
      <c r="G421">
        <v>3.88</v>
      </c>
    </row>
    <row r="422" spans="1:7">
      <c r="A422">
        <v>5410</v>
      </c>
      <c r="B422" t="s">
        <v>1662</v>
      </c>
      <c r="C422">
        <v>14.33</v>
      </c>
      <c r="D422">
        <v>2.49323848</v>
      </c>
      <c r="E422">
        <v>111</v>
      </c>
      <c r="F422">
        <v>7.25</v>
      </c>
      <c r="G422">
        <v>2.25</v>
      </c>
    </row>
    <row r="423" spans="1:7">
      <c r="A423">
        <v>5425</v>
      </c>
      <c r="B423" t="s">
        <v>1663</v>
      </c>
      <c r="C423">
        <v>25.92</v>
      </c>
      <c r="D423">
        <v>4</v>
      </c>
      <c r="E423">
        <v>111</v>
      </c>
      <c r="F423">
        <v>4.37</v>
      </c>
      <c r="G423">
        <v>2.93</v>
      </c>
    </row>
    <row r="424" spans="1:7">
      <c r="A424">
        <v>5426</v>
      </c>
      <c r="B424" t="s">
        <v>1664</v>
      </c>
      <c r="C424">
        <v>83.24</v>
      </c>
      <c r="D424">
        <v>0.2</v>
      </c>
      <c r="E424">
        <v>111</v>
      </c>
      <c r="F424">
        <v>0.71</v>
      </c>
      <c r="G424">
        <v>1.91</v>
      </c>
    </row>
    <row r="425" spans="1:7">
      <c r="A425">
        <v>5432</v>
      </c>
      <c r="B425" t="s">
        <v>1665</v>
      </c>
      <c r="C425">
        <v>137.36000000000001</v>
      </c>
      <c r="D425">
        <v>1</v>
      </c>
      <c r="E425">
        <v>111</v>
      </c>
      <c r="F425">
        <v>0.84</v>
      </c>
      <c r="G425">
        <v>6.48</v>
      </c>
    </row>
    <row r="426" spans="1:7">
      <c r="A426">
        <v>5438</v>
      </c>
      <c r="B426" t="s">
        <v>1666</v>
      </c>
      <c r="C426">
        <v>155</v>
      </c>
      <c r="D426">
        <v>0.51</v>
      </c>
      <c r="E426">
        <v>111</v>
      </c>
      <c r="F426">
        <v>2.99</v>
      </c>
      <c r="G426">
        <v>0.73</v>
      </c>
    </row>
    <row r="427" spans="1:7">
      <c r="A427">
        <v>5439</v>
      </c>
      <c r="B427" t="s">
        <v>1667</v>
      </c>
      <c r="C427">
        <v>23.97</v>
      </c>
      <c r="D427">
        <v>3.3</v>
      </c>
      <c r="E427">
        <v>111</v>
      </c>
      <c r="F427">
        <v>2.69</v>
      </c>
      <c r="G427">
        <v>4.63</v>
      </c>
    </row>
    <row r="428" spans="1:7">
      <c r="A428">
        <v>5443</v>
      </c>
      <c r="B428" t="s">
        <v>1668</v>
      </c>
      <c r="C428">
        <v>44.06</v>
      </c>
      <c r="D428">
        <v>1.8</v>
      </c>
      <c r="E428">
        <v>111</v>
      </c>
      <c r="F428">
        <v>5.92</v>
      </c>
      <c r="G428">
        <v>1.89</v>
      </c>
    </row>
    <row r="429" spans="1:7">
      <c r="A429">
        <v>5450</v>
      </c>
      <c r="B429" t="s">
        <v>1669</v>
      </c>
      <c r="C429" t="s">
        <v>1259</v>
      </c>
      <c r="D429">
        <v>0.65</v>
      </c>
      <c r="E429">
        <v>111</v>
      </c>
      <c r="F429">
        <v>3.53</v>
      </c>
      <c r="G429">
        <v>1.36</v>
      </c>
    </row>
    <row r="430" spans="1:7">
      <c r="A430">
        <v>5452</v>
      </c>
      <c r="B430" t="s">
        <v>1670</v>
      </c>
      <c r="C430">
        <v>90.74</v>
      </c>
      <c r="D430">
        <v>0.5</v>
      </c>
      <c r="E430">
        <v>111</v>
      </c>
      <c r="F430">
        <v>2.04</v>
      </c>
      <c r="G430">
        <v>1.78</v>
      </c>
    </row>
    <row r="431" spans="1:7">
      <c r="A431">
        <v>5455</v>
      </c>
      <c r="B431" t="s">
        <v>1671</v>
      </c>
      <c r="C431" t="s">
        <v>1259</v>
      </c>
      <c r="D431">
        <v>0</v>
      </c>
      <c r="E431">
        <v>111</v>
      </c>
      <c r="F431">
        <v>0</v>
      </c>
      <c r="G431">
        <v>4.08</v>
      </c>
    </row>
    <row r="432" spans="1:7">
      <c r="A432">
        <v>5457</v>
      </c>
      <c r="B432" t="s">
        <v>1672</v>
      </c>
      <c r="C432">
        <v>42.25</v>
      </c>
      <c r="D432">
        <v>1.8381344399999999</v>
      </c>
      <c r="E432">
        <v>111</v>
      </c>
      <c r="F432">
        <v>3.15</v>
      </c>
      <c r="G432">
        <v>2.39</v>
      </c>
    </row>
    <row r="433" spans="1:7">
      <c r="A433">
        <v>5460</v>
      </c>
      <c r="B433" t="s">
        <v>1673</v>
      </c>
      <c r="C433" t="s">
        <v>1259</v>
      </c>
      <c r="D433">
        <v>0</v>
      </c>
      <c r="E433">
        <v>111</v>
      </c>
      <c r="F433">
        <v>0</v>
      </c>
      <c r="G433">
        <v>1.1499999999999999</v>
      </c>
    </row>
    <row r="434" spans="1:7">
      <c r="A434">
        <v>5464</v>
      </c>
      <c r="B434" t="s">
        <v>1674</v>
      </c>
      <c r="C434">
        <v>21.64</v>
      </c>
      <c r="D434">
        <v>2</v>
      </c>
      <c r="E434">
        <v>111</v>
      </c>
      <c r="F434">
        <v>6.46</v>
      </c>
      <c r="G434">
        <v>1.47</v>
      </c>
    </row>
    <row r="435" spans="1:7">
      <c r="A435">
        <v>5465</v>
      </c>
      <c r="B435" t="s">
        <v>1675</v>
      </c>
      <c r="C435">
        <v>24.29</v>
      </c>
      <c r="D435">
        <v>1.5</v>
      </c>
      <c r="E435">
        <v>111</v>
      </c>
      <c r="F435">
        <v>3.25</v>
      </c>
      <c r="G435">
        <v>2.94</v>
      </c>
    </row>
    <row r="436" spans="1:7">
      <c r="A436">
        <v>5468</v>
      </c>
      <c r="B436" t="s">
        <v>1676</v>
      </c>
      <c r="C436" t="s">
        <v>1259</v>
      </c>
      <c r="D436">
        <v>0</v>
      </c>
      <c r="E436">
        <v>111</v>
      </c>
      <c r="F436">
        <v>0</v>
      </c>
      <c r="G436">
        <v>2</v>
      </c>
    </row>
    <row r="437" spans="1:7">
      <c r="A437">
        <v>5474</v>
      </c>
      <c r="B437" t="s">
        <v>1677</v>
      </c>
      <c r="C437">
        <v>18.43</v>
      </c>
      <c r="D437">
        <v>3.8</v>
      </c>
      <c r="E437">
        <v>111</v>
      </c>
      <c r="F437">
        <v>3.58</v>
      </c>
      <c r="G437">
        <v>2.4</v>
      </c>
    </row>
    <row r="438" spans="1:7">
      <c r="A438">
        <v>5475</v>
      </c>
      <c r="B438" t="s">
        <v>1678</v>
      </c>
      <c r="C438" t="s">
        <v>1259</v>
      </c>
      <c r="D438">
        <v>0</v>
      </c>
      <c r="E438">
        <v>111</v>
      </c>
      <c r="F438">
        <v>0</v>
      </c>
      <c r="G438">
        <v>1.63</v>
      </c>
    </row>
    <row r="439" spans="1:7">
      <c r="A439">
        <v>5478</v>
      </c>
      <c r="B439" t="s">
        <v>1679</v>
      </c>
      <c r="C439">
        <v>20.82</v>
      </c>
      <c r="D439">
        <v>7</v>
      </c>
      <c r="E439">
        <v>111</v>
      </c>
      <c r="F439">
        <v>4.6500000000000004</v>
      </c>
      <c r="G439">
        <v>2.68</v>
      </c>
    </row>
    <row r="440" spans="1:7">
      <c r="A440">
        <v>5481</v>
      </c>
      <c r="B440" t="s">
        <v>1680</v>
      </c>
      <c r="C440" t="s">
        <v>1259</v>
      </c>
      <c r="D440">
        <v>0</v>
      </c>
      <c r="E440">
        <v>111</v>
      </c>
      <c r="F440">
        <v>0</v>
      </c>
      <c r="G440">
        <v>0.7</v>
      </c>
    </row>
    <row r="441" spans="1:7">
      <c r="A441">
        <v>5483</v>
      </c>
      <c r="B441" t="s">
        <v>1681</v>
      </c>
      <c r="C441">
        <v>11.34</v>
      </c>
      <c r="D441">
        <v>9</v>
      </c>
      <c r="E441">
        <v>111</v>
      </c>
      <c r="F441">
        <v>4.59</v>
      </c>
      <c r="G441">
        <v>3.18</v>
      </c>
    </row>
    <row r="442" spans="1:7">
      <c r="A442">
        <v>5487</v>
      </c>
      <c r="B442" t="s">
        <v>1682</v>
      </c>
      <c r="C442" t="s">
        <v>1259</v>
      </c>
      <c r="D442">
        <v>0</v>
      </c>
      <c r="E442">
        <v>111</v>
      </c>
      <c r="F442">
        <v>0</v>
      </c>
      <c r="G442">
        <v>1.3</v>
      </c>
    </row>
    <row r="443" spans="1:7">
      <c r="A443">
        <v>5488</v>
      </c>
      <c r="B443" t="s">
        <v>1683</v>
      </c>
      <c r="C443">
        <v>18.28</v>
      </c>
      <c r="D443">
        <v>0</v>
      </c>
      <c r="E443">
        <v>111</v>
      </c>
      <c r="F443">
        <v>0</v>
      </c>
      <c r="G443">
        <v>1.07</v>
      </c>
    </row>
    <row r="444" spans="1:7">
      <c r="A444">
        <v>5489</v>
      </c>
      <c r="B444" t="s">
        <v>1684</v>
      </c>
      <c r="C444">
        <v>22.4</v>
      </c>
      <c r="D444">
        <v>1.5248660999999999</v>
      </c>
      <c r="E444">
        <v>111</v>
      </c>
      <c r="F444">
        <v>4.3600000000000003</v>
      </c>
      <c r="G444">
        <v>1.54</v>
      </c>
    </row>
    <row r="445" spans="1:7">
      <c r="A445">
        <v>5490</v>
      </c>
      <c r="B445" t="s">
        <v>1685</v>
      </c>
      <c r="C445" t="s">
        <v>1259</v>
      </c>
      <c r="D445">
        <v>0</v>
      </c>
      <c r="E445">
        <v>111</v>
      </c>
      <c r="F445">
        <v>0</v>
      </c>
      <c r="G445">
        <v>1.73</v>
      </c>
    </row>
    <row r="446" spans="1:7">
      <c r="A446">
        <v>5493</v>
      </c>
      <c r="B446" t="s">
        <v>1686</v>
      </c>
      <c r="C446">
        <v>11.97</v>
      </c>
      <c r="D446">
        <v>2.8</v>
      </c>
      <c r="E446">
        <v>111</v>
      </c>
      <c r="F446">
        <v>5.18</v>
      </c>
      <c r="G446">
        <v>1.49</v>
      </c>
    </row>
    <row r="447" spans="1:7">
      <c r="A447">
        <v>5498</v>
      </c>
      <c r="B447" t="s">
        <v>1687</v>
      </c>
      <c r="C447">
        <v>11.31</v>
      </c>
      <c r="D447">
        <v>0.21482280000000001</v>
      </c>
      <c r="E447">
        <v>111</v>
      </c>
      <c r="F447">
        <v>1.92</v>
      </c>
      <c r="G447">
        <v>1.01</v>
      </c>
    </row>
    <row r="448" spans="1:7">
      <c r="A448">
        <v>5508</v>
      </c>
      <c r="B448" t="s">
        <v>1688</v>
      </c>
      <c r="C448">
        <v>10.63</v>
      </c>
      <c r="D448">
        <v>6.3453999999999997</v>
      </c>
      <c r="E448">
        <v>111</v>
      </c>
      <c r="F448">
        <v>6.87</v>
      </c>
      <c r="G448">
        <v>3.35</v>
      </c>
    </row>
    <row r="449" spans="1:7">
      <c r="A449">
        <v>5511</v>
      </c>
      <c r="B449" t="s">
        <v>1689</v>
      </c>
      <c r="C449">
        <v>7.04</v>
      </c>
      <c r="D449">
        <v>2.4</v>
      </c>
      <c r="E449">
        <v>111</v>
      </c>
      <c r="F449">
        <v>3.33</v>
      </c>
      <c r="G449">
        <v>1.46</v>
      </c>
    </row>
    <row r="450" spans="1:7">
      <c r="A450">
        <v>5512</v>
      </c>
      <c r="B450" t="s">
        <v>1690</v>
      </c>
      <c r="C450">
        <v>40.54</v>
      </c>
      <c r="D450">
        <v>0</v>
      </c>
      <c r="E450">
        <v>111</v>
      </c>
      <c r="F450">
        <v>0</v>
      </c>
      <c r="G450">
        <v>0.53</v>
      </c>
    </row>
    <row r="451" spans="1:7">
      <c r="A451">
        <v>5514</v>
      </c>
      <c r="B451" t="s">
        <v>1691</v>
      </c>
      <c r="C451" t="s">
        <v>1259</v>
      </c>
      <c r="D451">
        <v>0</v>
      </c>
      <c r="E451">
        <v>111</v>
      </c>
      <c r="F451">
        <v>0</v>
      </c>
      <c r="G451">
        <v>1.49</v>
      </c>
    </row>
    <row r="452" spans="1:7">
      <c r="A452">
        <v>5516</v>
      </c>
      <c r="B452" t="s">
        <v>1692</v>
      </c>
      <c r="C452" t="s">
        <v>1259</v>
      </c>
      <c r="D452">
        <v>1.5</v>
      </c>
      <c r="E452">
        <v>111</v>
      </c>
      <c r="F452">
        <v>7.39</v>
      </c>
      <c r="G452">
        <v>1.58</v>
      </c>
    </row>
    <row r="453" spans="1:7">
      <c r="A453">
        <v>5520</v>
      </c>
      <c r="B453" t="s">
        <v>1693</v>
      </c>
      <c r="C453">
        <v>10.85</v>
      </c>
      <c r="D453">
        <v>3.95</v>
      </c>
      <c r="E453">
        <v>111</v>
      </c>
      <c r="F453">
        <v>5.14</v>
      </c>
      <c r="G453">
        <v>2.02</v>
      </c>
    </row>
    <row r="454" spans="1:7">
      <c r="A454">
        <v>5523</v>
      </c>
      <c r="B454" t="s">
        <v>1694</v>
      </c>
      <c r="C454">
        <v>10.17</v>
      </c>
      <c r="D454">
        <v>1.5</v>
      </c>
      <c r="E454">
        <v>111</v>
      </c>
      <c r="F454">
        <v>5.44</v>
      </c>
      <c r="G454">
        <v>1.41</v>
      </c>
    </row>
    <row r="455" spans="1:7">
      <c r="A455">
        <v>5529</v>
      </c>
      <c r="B455" t="s">
        <v>1695</v>
      </c>
      <c r="C455" t="s">
        <v>1259</v>
      </c>
      <c r="D455">
        <v>0</v>
      </c>
      <c r="E455">
        <v>111</v>
      </c>
      <c r="F455">
        <v>0</v>
      </c>
      <c r="G455">
        <v>1.6</v>
      </c>
    </row>
    <row r="456" spans="1:7">
      <c r="A456">
        <v>5530</v>
      </c>
      <c r="B456" t="s">
        <v>1696</v>
      </c>
      <c r="C456">
        <v>13.63</v>
      </c>
      <c r="D456">
        <v>0</v>
      </c>
      <c r="E456">
        <v>111</v>
      </c>
      <c r="F456">
        <v>0</v>
      </c>
      <c r="G456">
        <v>0.75</v>
      </c>
    </row>
    <row r="457" spans="1:7">
      <c r="A457">
        <v>5536</v>
      </c>
      <c r="B457" t="s">
        <v>1697</v>
      </c>
      <c r="C457">
        <v>10.57</v>
      </c>
      <c r="D457">
        <v>11.681163939999999</v>
      </c>
      <c r="E457">
        <v>111</v>
      </c>
      <c r="F457">
        <v>6.58</v>
      </c>
      <c r="G457">
        <v>2.4700000000000002</v>
      </c>
    </row>
    <row r="458" spans="1:7">
      <c r="A458">
        <v>5543</v>
      </c>
      <c r="B458" t="s">
        <v>1698</v>
      </c>
      <c r="C458" t="s">
        <v>1259</v>
      </c>
      <c r="D458">
        <v>0.75929210000000003</v>
      </c>
      <c r="E458">
        <v>111</v>
      </c>
      <c r="F458">
        <v>1.9</v>
      </c>
      <c r="G458">
        <v>2.38</v>
      </c>
    </row>
    <row r="459" spans="1:7">
      <c r="A459">
        <v>5601</v>
      </c>
      <c r="B459" t="s">
        <v>1699</v>
      </c>
      <c r="C459">
        <v>73.959999999999994</v>
      </c>
      <c r="D459">
        <v>0.48</v>
      </c>
      <c r="E459">
        <v>111</v>
      </c>
      <c r="F459">
        <v>1.35</v>
      </c>
      <c r="G459">
        <v>1.67</v>
      </c>
    </row>
    <row r="460" spans="1:7">
      <c r="A460">
        <v>5603</v>
      </c>
      <c r="B460" t="s">
        <v>1700</v>
      </c>
      <c r="C460">
        <v>11.89</v>
      </c>
      <c r="D460">
        <v>1</v>
      </c>
      <c r="E460">
        <v>111</v>
      </c>
      <c r="F460">
        <v>4.55</v>
      </c>
      <c r="G460">
        <v>1.28</v>
      </c>
    </row>
    <row r="461" spans="1:7">
      <c r="A461">
        <v>5604</v>
      </c>
      <c r="B461" t="s">
        <v>1701</v>
      </c>
      <c r="C461">
        <v>53.19</v>
      </c>
      <c r="D461">
        <v>2</v>
      </c>
      <c r="E461">
        <v>111</v>
      </c>
      <c r="F461">
        <v>4.53</v>
      </c>
      <c r="G461">
        <v>2.2000000000000002</v>
      </c>
    </row>
    <row r="462" spans="1:7">
      <c r="A462">
        <v>5609</v>
      </c>
      <c r="B462" t="s">
        <v>1702</v>
      </c>
      <c r="C462">
        <v>10</v>
      </c>
      <c r="D462">
        <v>11.21153449</v>
      </c>
      <c r="E462">
        <v>111</v>
      </c>
      <c r="F462">
        <v>13.54</v>
      </c>
      <c r="G462">
        <v>1.97</v>
      </c>
    </row>
    <row r="463" spans="1:7">
      <c r="A463">
        <v>5701</v>
      </c>
      <c r="B463" t="s">
        <v>1703</v>
      </c>
      <c r="C463" t="s">
        <v>1259</v>
      </c>
      <c r="D463">
        <v>0</v>
      </c>
      <c r="E463">
        <v>111</v>
      </c>
      <c r="F463">
        <v>0</v>
      </c>
      <c r="G463">
        <v>1.49</v>
      </c>
    </row>
    <row r="464" spans="1:7">
      <c r="A464">
        <v>5703</v>
      </c>
      <c r="B464" t="s">
        <v>1704</v>
      </c>
      <c r="C464">
        <v>128.57</v>
      </c>
      <c r="D464">
        <v>0</v>
      </c>
      <c r="E464">
        <v>111</v>
      </c>
      <c r="F464">
        <v>0</v>
      </c>
      <c r="G464">
        <v>4.17</v>
      </c>
    </row>
    <row r="465" spans="1:7">
      <c r="A465">
        <v>5704</v>
      </c>
      <c r="B465" t="s">
        <v>1705</v>
      </c>
      <c r="C465">
        <v>21.6</v>
      </c>
      <c r="D465">
        <v>2.2200000000000002</v>
      </c>
      <c r="E465">
        <v>111</v>
      </c>
      <c r="F465">
        <v>4.21</v>
      </c>
      <c r="G465">
        <v>3.82</v>
      </c>
    </row>
    <row r="466" spans="1:7">
      <c r="A466">
        <v>5864</v>
      </c>
      <c r="B466" t="s">
        <v>1706</v>
      </c>
      <c r="C466">
        <v>6.67</v>
      </c>
      <c r="D466">
        <v>0.4</v>
      </c>
      <c r="E466">
        <v>111</v>
      </c>
      <c r="F466">
        <v>2.31</v>
      </c>
      <c r="G466">
        <v>0.97</v>
      </c>
    </row>
    <row r="467" spans="1:7">
      <c r="A467">
        <v>5878</v>
      </c>
      <c r="B467" t="s">
        <v>1707</v>
      </c>
      <c r="C467">
        <v>21.64</v>
      </c>
      <c r="D467">
        <v>2.6999999899999998</v>
      </c>
      <c r="E467">
        <v>111</v>
      </c>
      <c r="F467">
        <v>5.67</v>
      </c>
      <c r="G467">
        <v>2.2799999999999998</v>
      </c>
    </row>
    <row r="468" spans="1:7">
      <c r="A468">
        <v>5902</v>
      </c>
      <c r="B468" t="s">
        <v>1708</v>
      </c>
      <c r="C468">
        <v>19.21</v>
      </c>
      <c r="D468">
        <v>1.5</v>
      </c>
      <c r="E468">
        <v>111</v>
      </c>
      <c r="F468">
        <v>4.2699999999999996</v>
      </c>
      <c r="G468">
        <v>2.9</v>
      </c>
    </row>
    <row r="469" spans="1:7">
      <c r="A469">
        <v>5903</v>
      </c>
      <c r="B469" t="s">
        <v>1709</v>
      </c>
      <c r="C469">
        <v>20.77</v>
      </c>
      <c r="D469">
        <v>6.5</v>
      </c>
      <c r="E469">
        <v>111</v>
      </c>
      <c r="F469">
        <v>3.44</v>
      </c>
      <c r="G469">
        <v>5.95</v>
      </c>
    </row>
    <row r="470" spans="1:7">
      <c r="A470">
        <v>5904</v>
      </c>
      <c r="B470" t="s">
        <v>1710</v>
      </c>
      <c r="C470">
        <v>22.84</v>
      </c>
      <c r="D470">
        <v>24</v>
      </c>
      <c r="E470">
        <v>111</v>
      </c>
      <c r="F470">
        <v>4.3499999999999996</v>
      </c>
      <c r="G470">
        <v>10.130000000000001</v>
      </c>
    </row>
    <row r="471" spans="1:7">
      <c r="A471">
        <v>5905</v>
      </c>
      <c r="B471" t="s">
        <v>1711</v>
      </c>
      <c r="C471">
        <v>129</v>
      </c>
      <c r="D471">
        <v>0</v>
      </c>
      <c r="E471">
        <v>111</v>
      </c>
      <c r="F471">
        <v>0</v>
      </c>
      <c r="G471">
        <v>1.17</v>
      </c>
    </row>
    <row r="472" spans="1:7">
      <c r="A472">
        <v>6015</v>
      </c>
      <c r="B472" t="s">
        <v>1712</v>
      </c>
      <c r="C472">
        <v>185.83</v>
      </c>
      <c r="D472">
        <v>0</v>
      </c>
      <c r="E472">
        <v>111</v>
      </c>
      <c r="F472">
        <v>0</v>
      </c>
      <c r="G472">
        <v>0.83</v>
      </c>
    </row>
    <row r="473" spans="1:7">
      <c r="A473">
        <v>6016</v>
      </c>
      <c r="B473" t="s">
        <v>1713</v>
      </c>
      <c r="C473">
        <v>7.47</v>
      </c>
      <c r="D473">
        <v>0</v>
      </c>
      <c r="E473">
        <v>111</v>
      </c>
      <c r="F473">
        <v>0</v>
      </c>
      <c r="G473">
        <v>0.93</v>
      </c>
    </row>
    <row r="474" spans="1:7">
      <c r="A474">
        <v>6020</v>
      </c>
      <c r="B474" t="s">
        <v>1714</v>
      </c>
      <c r="C474">
        <v>15.12</v>
      </c>
      <c r="D474">
        <v>0</v>
      </c>
      <c r="E474">
        <v>111</v>
      </c>
      <c r="F474">
        <v>0</v>
      </c>
      <c r="G474">
        <v>1.05</v>
      </c>
    </row>
    <row r="475" spans="1:7">
      <c r="A475">
        <v>6021</v>
      </c>
      <c r="B475" t="s">
        <v>1715</v>
      </c>
      <c r="C475">
        <v>39.61</v>
      </c>
      <c r="D475">
        <v>0</v>
      </c>
      <c r="E475">
        <v>111</v>
      </c>
      <c r="F475">
        <v>0</v>
      </c>
      <c r="G475">
        <v>0.87</v>
      </c>
    </row>
    <row r="476" spans="1:7">
      <c r="A476">
        <v>6023</v>
      </c>
      <c r="B476" t="s">
        <v>1716</v>
      </c>
      <c r="C476">
        <v>10.119999999999999</v>
      </c>
      <c r="D476">
        <v>2.5</v>
      </c>
      <c r="E476">
        <v>111</v>
      </c>
      <c r="F476">
        <v>4.12</v>
      </c>
      <c r="G476">
        <v>1.24</v>
      </c>
    </row>
    <row r="477" spans="1:7">
      <c r="A477">
        <v>6026</v>
      </c>
      <c r="B477" t="s">
        <v>1717</v>
      </c>
      <c r="C477">
        <v>11.32</v>
      </c>
      <c r="D477">
        <v>0</v>
      </c>
      <c r="E477">
        <v>111</v>
      </c>
      <c r="F477">
        <v>0</v>
      </c>
      <c r="G477">
        <v>0.93</v>
      </c>
    </row>
    <row r="478" spans="1:7">
      <c r="A478">
        <v>6101</v>
      </c>
      <c r="B478" t="s">
        <v>1718</v>
      </c>
      <c r="C478">
        <v>115.14</v>
      </c>
      <c r="D478">
        <v>0</v>
      </c>
      <c r="E478">
        <v>111</v>
      </c>
      <c r="F478">
        <v>0</v>
      </c>
      <c r="G478">
        <v>4.32</v>
      </c>
    </row>
    <row r="479" spans="1:7">
      <c r="A479">
        <v>6103</v>
      </c>
      <c r="B479" t="s">
        <v>1719</v>
      </c>
      <c r="C479" t="s">
        <v>1259</v>
      </c>
      <c r="D479">
        <v>0</v>
      </c>
      <c r="E479">
        <v>111</v>
      </c>
      <c r="F479">
        <v>0</v>
      </c>
      <c r="G479">
        <v>4.16</v>
      </c>
    </row>
    <row r="480" spans="1:7">
      <c r="A480">
        <v>6104</v>
      </c>
      <c r="B480" t="s">
        <v>1720</v>
      </c>
      <c r="C480" t="s">
        <v>1259</v>
      </c>
      <c r="D480">
        <v>2.5</v>
      </c>
      <c r="E480">
        <v>111</v>
      </c>
      <c r="F480">
        <v>2.08</v>
      </c>
      <c r="G480">
        <v>6.05</v>
      </c>
    </row>
    <row r="481" spans="1:7">
      <c r="A481">
        <v>6109</v>
      </c>
      <c r="B481" t="s">
        <v>1721</v>
      </c>
      <c r="C481">
        <v>18.8</v>
      </c>
      <c r="D481">
        <v>0.54855253000000004</v>
      </c>
      <c r="E481">
        <v>111</v>
      </c>
      <c r="F481">
        <v>3.69</v>
      </c>
      <c r="G481">
        <v>1.27</v>
      </c>
    </row>
    <row r="482" spans="1:7">
      <c r="A482">
        <v>6111</v>
      </c>
      <c r="B482" t="s">
        <v>1722</v>
      </c>
      <c r="C482">
        <v>38.69</v>
      </c>
      <c r="D482">
        <v>3.43236754</v>
      </c>
      <c r="E482">
        <v>111</v>
      </c>
      <c r="F482">
        <v>4.46</v>
      </c>
      <c r="G482">
        <v>4.6500000000000004</v>
      </c>
    </row>
    <row r="483" spans="1:7">
      <c r="A483">
        <v>6113</v>
      </c>
      <c r="B483" t="s">
        <v>1723</v>
      </c>
      <c r="C483" t="s">
        <v>1259</v>
      </c>
      <c r="D483">
        <v>0</v>
      </c>
      <c r="E483">
        <v>111</v>
      </c>
      <c r="F483">
        <v>0</v>
      </c>
      <c r="G483">
        <v>1.68</v>
      </c>
    </row>
    <row r="484" spans="1:7">
      <c r="A484">
        <v>6114</v>
      </c>
      <c r="B484" t="s">
        <v>1724</v>
      </c>
      <c r="C484">
        <v>78.930000000000007</v>
      </c>
      <c r="D484">
        <v>0.5</v>
      </c>
      <c r="E484">
        <v>111</v>
      </c>
      <c r="F484">
        <v>1.51</v>
      </c>
      <c r="G484">
        <v>1.08</v>
      </c>
    </row>
    <row r="485" spans="1:7">
      <c r="A485">
        <v>6118</v>
      </c>
      <c r="B485" t="s">
        <v>1725</v>
      </c>
      <c r="C485" t="s">
        <v>1259</v>
      </c>
      <c r="D485">
        <v>0</v>
      </c>
      <c r="E485">
        <v>111</v>
      </c>
      <c r="F485">
        <v>0</v>
      </c>
      <c r="G485">
        <v>2.5299999999999998</v>
      </c>
    </row>
    <row r="486" spans="1:7">
      <c r="A486">
        <v>6121</v>
      </c>
      <c r="B486" t="s">
        <v>1726</v>
      </c>
      <c r="C486">
        <v>13.04</v>
      </c>
      <c r="D486">
        <v>27.6</v>
      </c>
      <c r="E486">
        <v>111</v>
      </c>
      <c r="F486">
        <v>6.57</v>
      </c>
      <c r="G486">
        <v>2.2200000000000002</v>
      </c>
    </row>
    <row r="487" spans="1:7">
      <c r="A487">
        <v>6122</v>
      </c>
      <c r="B487" t="s">
        <v>1727</v>
      </c>
      <c r="C487">
        <v>15.33</v>
      </c>
      <c r="D487">
        <v>1.2</v>
      </c>
      <c r="E487">
        <v>111</v>
      </c>
      <c r="F487">
        <v>1.99</v>
      </c>
      <c r="G487">
        <v>3.05</v>
      </c>
    </row>
    <row r="488" spans="1:7">
      <c r="A488">
        <v>6123</v>
      </c>
      <c r="B488" t="s">
        <v>1728</v>
      </c>
      <c r="C488">
        <v>14.3</v>
      </c>
      <c r="D488">
        <v>5.0021572599999997</v>
      </c>
      <c r="E488">
        <v>111</v>
      </c>
      <c r="F488">
        <v>7.56</v>
      </c>
      <c r="G488">
        <v>2.94</v>
      </c>
    </row>
    <row r="489" spans="1:7">
      <c r="A489">
        <v>6124</v>
      </c>
      <c r="B489" t="s">
        <v>1729</v>
      </c>
      <c r="C489" t="s">
        <v>1259</v>
      </c>
      <c r="D489">
        <v>0</v>
      </c>
      <c r="E489">
        <v>111</v>
      </c>
      <c r="F489">
        <v>0</v>
      </c>
      <c r="G489">
        <v>1.62</v>
      </c>
    </row>
    <row r="490" spans="1:7">
      <c r="A490">
        <v>6125</v>
      </c>
      <c r="B490" t="s">
        <v>1730</v>
      </c>
      <c r="C490">
        <v>37.5</v>
      </c>
      <c r="D490">
        <v>1.62</v>
      </c>
      <c r="E490">
        <v>111</v>
      </c>
      <c r="F490">
        <v>2.57</v>
      </c>
      <c r="G490">
        <v>4.37</v>
      </c>
    </row>
    <row r="491" spans="1:7">
      <c r="A491">
        <v>6126</v>
      </c>
      <c r="B491" t="s">
        <v>1731</v>
      </c>
      <c r="C491">
        <v>20.36</v>
      </c>
      <c r="D491">
        <v>1.2</v>
      </c>
      <c r="E491">
        <v>111</v>
      </c>
      <c r="F491">
        <v>3.85</v>
      </c>
      <c r="G491">
        <v>1.1599999999999999</v>
      </c>
    </row>
    <row r="492" spans="1:7">
      <c r="A492">
        <v>6127</v>
      </c>
      <c r="B492" t="s">
        <v>1732</v>
      </c>
      <c r="C492">
        <v>16.440000000000001</v>
      </c>
      <c r="D492">
        <v>0</v>
      </c>
      <c r="E492">
        <v>111</v>
      </c>
      <c r="F492">
        <v>0</v>
      </c>
      <c r="G492">
        <v>2.16</v>
      </c>
    </row>
    <row r="493" spans="1:7">
      <c r="A493">
        <v>6129</v>
      </c>
      <c r="B493" t="s">
        <v>1733</v>
      </c>
      <c r="C493">
        <v>48.2</v>
      </c>
      <c r="D493">
        <v>0.65</v>
      </c>
      <c r="E493">
        <v>111</v>
      </c>
      <c r="F493">
        <v>2.11</v>
      </c>
      <c r="G493">
        <v>2.69</v>
      </c>
    </row>
    <row r="494" spans="1:7">
      <c r="A494">
        <v>6130</v>
      </c>
      <c r="B494" t="s">
        <v>1734</v>
      </c>
      <c r="C494">
        <v>27.97</v>
      </c>
      <c r="D494">
        <v>0</v>
      </c>
      <c r="E494">
        <v>111</v>
      </c>
      <c r="F494">
        <v>0</v>
      </c>
      <c r="G494">
        <v>1.92</v>
      </c>
    </row>
    <row r="495" spans="1:7">
      <c r="A495">
        <v>6134</v>
      </c>
      <c r="B495" t="s">
        <v>1735</v>
      </c>
      <c r="C495" t="s">
        <v>1259</v>
      </c>
      <c r="D495">
        <v>0</v>
      </c>
      <c r="E495">
        <v>111</v>
      </c>
      <c r="F495">
        <v>0</v>
      </c>
      <c r="G495">
        <v>1.82</v>
      </c>
    </row>
    <row r="496" spans="1:7">
      <c r="A496">
        <v>6138</v>
      </c>
      <c r="B496" t="s">
        <v>1736</v>
      </c>
      <c r="C496">
        <v>38.520000000000003</v>
      </c>
      <c r="D496">
        <v>9.0001223100000001</v>
      </c>
      <c r="E496">
        <v>111</v>
      </c>
      <c r="F496">
        <v>4.0599999999999996</v>
      </c>
      <c r="G496">
        <v>5.39</v>
      </c>
    </row>
    <row r="497" spans="1:7">
      <c r="A497">
        <v>6140</v>
      </c>
      <c r="B497" t="s">
        <v>1737</v>
      </c>
      <c r="C497">
        <v>680</v>
      </c>
      <c r="D497">
        <v>1</v>
      </c>
      <c r="E497">
        <v>111</v>
      </c>
      <c r="F497">
        <v>3.68</v>
      </c>
      <c r="G497">
        <v>2.27</v>
      </c>
    </row>
    <row r="498" spans="1:7">
      <c r="A498">
        <v>6143</v>
      </c>
      <c r="B498" t="s">
        <v>1738</v>
      </c>
      <c r="C498">
        <v>20.74</v>
      </c>
      <c r="D498">
        <v>3</v>
      </c>
      <c r="E498">
        <v>111</v>
      </c>
      <c r="F498">
        <v>3.35</v>
      </c>
      <c r="G498">
        <v>2.76</v>
      </c>
    </row>
    <row r="499" spans="1:7">
      <c r="A499">
        <v>6144</v>
      </c>
      <c r="B499" t="s">
        <v>1739</v>
      </c>
      <c r="C499" t="s">
        <v>1259</v>
      </c>
      <c r="D499">
        <v>0</v>
      </c>
      <c r="E499">
        <v>111</v>
      </c>
      <c r="F499">
        <v>0</v>
      </c>
      <c r="G499">
        <v>1.53</v>
      </c>
    </row>
    <row r="500" spans="1:7">
      <c r="A500">
        <v>6146</v>
      </c>
      <c r="B500" t="s">
        <v>1740</v>
      </c>
      <c r="C500">
        <v>16.39</v>
      </c>
      <c r="D500">
        <v>11.5</v>
      </c>
      <c r="E500">
        <v>111</v>
      </c>
      <c r="F500">
        <v>4.7699999999999996</v>
      </c>
      <c r="G500">
        <v>4.78</v>
      </c>
    </row>
    <row r="501" spans="1:7">
      <c r="A501">
        <v>6147</v>
      </c>
      <c r="B501" t="s">
        <v>1741</v>
      </c>
      <c r="C501">
        <v>12.36</v>
      </c>
      <c r="D501">
        <v>5.5</v>
      </c>
      <c r="E501">
        <v>111</v>
      </c>
      <c r="F501">
        <v>7.61</v>
      </c>
      <c r="G501">
        <v>1.18</v>
      </c>
    </row>
    <row r="502" spans="1:7">
      <c r="A502">
        <v>6148</v>
      </c>
      <c r="B502" t="s">
        <v>1742</v>
      </c>
      <c r="C502">
        <v>19.920000000000002</v>
      </c>
      <c r="D502">
        <v>0.75101240999999996</v>
      </c>
      <c r="E502">
        <v>111</v>
      </c>
      <c r="F502">
        <v>2.13</v>
      </c>
      <c r="G502">
        <v>2.86</v>
      </c>
    </row>
    <row r="503" spans="1:7">
      <c r="A503">
        <v>6150</v>
      </c>
      <c r="B503" t="s">
        <v>1743</v>
      </c>
      <c r="C503" t="s">
        <v>1259</v>
      </c>
      <c r="D503">
        <v>0</v>
      </c>
      <c r="E503">
        <v>111</v>
      </c>
      <c r="F503">
        <v>0</v>
      </c>
      <c r="G503">
        <v>2.56</v>
      </c>
    </row>
    <row r="504" spans="1:7">
      <c r="A504">
        <v>6151</v>
      </c>
      <c r="B504" t="s">
        <v>1744</v>
      </c>
      <c r="C504">
        <v>16.2</v>
      </c>
      <c r="D504">
        <v>2</v>
      </c>
      <c r="E504">
        <v>111</v>
      </c>
      <c r="F504">
        <v>7.43</v>
      </c>
      <c r="G504">
        <v>1.48</v>
      </c>
    </row>
    <row r="505" spans="1:7">
      <c r="A505">
        <v>6154</v>
      </c>
      <c r="B505" t="s">
        <v>1745</v>
      </c>
      <c r="C505">
        <v>20.89</v>
      </c>
      <c r="D505">
        <v>0.9</v>
      </c>
      <c r="E505">
        <v>111</v>
      </c>
      <c r="F505">
        <v>5.45</v>
      </c>
      <c r="G505">
        <v>1.04</v>
      </c>
    </row>
    <row r="506" spans="1:7">
      <c r="A506">
        <v>6156</v>
      </c>
      <c r="B506" t="s">
        <v>1746</v>
      </c>
      <c r="C506">
        <v>11.96</v>
      </c>
      <c r="D506">
        <v>0.8</v>
      </c>
      <c r="E506">
        <v>111</v>
      </c>
      <c r="F506">
        <v>3.16</v>
      </c>
      <c r="G506">
        <v>1.29</v>
      </c>
    </row>
    <row r="507" spans="1:7">
      <c r="A507">
        <v>6158</v>
      </c>
      <c r="B507" t="s">
        <v>1747</v>
      </c>
      <c r="C507">
        <v>28.87</v>
      </c>
      <c r="D507">
        <v>1.10034381</v>
      </c>
      <c r="E507">
        <v>111</v>
      </c>
      <c r="F507">
        <v>3.43</v>
      </c>
      <c r="G507">
        <v>1.48</v>
      </c>
    </row>
    <row r="508" spans="1:7">
      <c r="A508">
        <v>6160</v>
      </c>
      <c r="B508" t="s">
        <v>1748</v>
      </c>
      <c r="C508">
        <v>65.14</v>
      </c>
      <c r="D508">
        <v>0.6</v>
      </c>
      <c r="E508">
        <v>111</v>
      </c>
      <c r="F508">
        <v>2.63</v>
      </c>
      <c r="G508">
        <v>2</v>
      </c>
    </row>
    <row r="509" spans="1:7">
      <c r="A509">
        <v>6161</v>
      </c>
      <c r="B509" t="s">
        <v>1749</v>
      </c>
      <c r="C509">
        <v>17.11</v>
      </c>
      <c r="D509">
        <v>2.5</v>
      </c>
      <c r="E509">
        <v>111</v>
      </c>
      <c r="F509">
        <v>5.92</v>
      </c>
      <c r="G509">
        <v>2.2400000000000002</v>
      </c>
    </row>
    <row r="510" spans="1:7">
      <c r="A510">
        <v>6163</v>
      </c>
      <c r="B510" t="s">
        <v>1750</v>
      </c>
      <c r="C510">
        <v>15.41</v>
      </c>
      <c r="D510">
        <v>0.29970980000000003</v>
      </c>
      <c r="E510">
        <v>111</v>
      </c>
      <c r="F510">
        <v>1.59</v>
      </c>
      <c r="G510">
        <v>1.1000000000000001</v>
      </c>
    </row>
    <row r="511" spans="1:7">
      <c r="A511">
        <v>6167</v>
      </c>
      <c r="B511" t="s">
        <v>1751</v>
      </c>
      <c r="C511">
        <v>11.65</v>
      </c>
      <c r="D511">
        <v>0.7</v>
      </c>
      <c r="E511">
        <v>111</v>
      </c>
      <c r="F511">
        <v>4.42</v>
      </c>
      <c r="G511">
        <v>1.39</v>
      </c>
    </row>
    <row r="512" spans="1:7">
      <c r="A512">
        <v>6169</v>
      </c>
      <c r="B512" t="s">
        <v>1752</v>
      </c>
      <c r="C512" t="s">
        <v>1259</v>
      </c>
      <c r="D512">
        <v>0</v>
      </c>
      <c r="E512">
        <v>111</v>
      </c>
      <c r="F512">
        <v>0</v>
      </c>
      <c r="G512">
        <v>1.62</v>
      </c>
    </row>
    <row r="513" spans="1:7">
      <c r="A513">
        <v>6170</v>
      </c>
      <c r="B513" t="s">
        <v>1753</v>
      </c>
      <c r="C513">
        <v>20</v>
      </c>
      <c r="D513">
        <v>2.1</v>
      </c>
      <c r="E513">
        <v>111</v>
      </c>
      <c r="F513">
        <v>3.87</v>
      </c>
      <c r="G513">
        <v>2.81</v>
      </c>
    </row>
    <row r="514" spans="1:7">
      <c r="A514">
        <v>6171</v>
      </c>
      <c r="B514" t="s">
        <v>1754</v>
      </c>
      <c r="C514" t="s">
        <v>1259</v>
      </c>
      <c r="D514">
        <v>1</v>
      </c>
      <c r="E514">
        <v>111</v>
      </c>
      <c r="F514">
        <v>3.9</v>
      </c>
      <c r="G514">
        <v>1.49</v>
      </c>
    </row>
    <row r="515" spans="1:7">
      <c r="A515">
        <v>6173</v>
      </c>
      <c r="B515" t="s">
        <v>1755</v>
      </c>
      <c r="C515">
        <v>21.01</v>
      </c>
      <c r="D515">
        <v>1.2056074699999999</v>
      </c>
      <c r="E515">
        <v>111</v>
      </c>
      <c r="F515">
        <v>2.4700000000000002</v>
      </c>
      <c r="G515">
        <v>1.24</v>
      </c>
    </row>
    <row r="516" spans="1:7">
      <c r="A516">
        <v>6174</v>
      </c>
      <c r="B516" t="s">
        <v>1756</v>
      </c>
      <c r="C516">
        <v>31.97</v>
      </c>
      <c r="D516">
        <v>2.7</v>
      </c>
      <c r="E516">
        <v>111</v>
      </c>
      <c r="F516">
        <v>11.89</v>
      </c>
      <c r="G516">
        <v>1.8</v>
      </c>
    </row>
    <row r="517" spans="1:7">
      <c r="A517">
        <v>6175</v>
      </c>
      <c r="B517" t="s">
        <v>1757</v>
      </c>
      <c r="C517">
        <v>15.84</v>
      </c>
      <c r="D517">
        <v>1.75</v>
      </c>
      <c r="E517">
        <v>111</v>
      </c>
      <c r="F517">
        <v>4.74</v>
      </c>
      <c r="G517">
        <v>1.68</v>
      </c>
    </row>
    <row r="518" spans="1:7">
      <c r="A518">
        <v>6179</v>
      </c>
      <c r="B518" t="s">
        <v>1758</v>
      </c>
      <c r="C518" t="s">
        <v>1259</v>
      </c>
      <c r="D518">
        <v>0.44082634999999998</v>
      </c>
      <c r="E518">
        <v>111</v>
      </c>
      <c r="F518">
        <v>1.32</v>
      </c>
      <c r="G518">
        <v>1.65</v>
      </c>
    </row>
    <row r="519" spans="1:7">
      <c r="A519">
        <v>6180</v>
      </c>
      <c r="B519" t="s">
        <v>1759</v>
      </c>
      <c r="C519">
        <v>21.39</v>
      </c>
      <c r="D519">
        <v>5.8</v>
      </c>
      <c r="E519">
        <v>111</v>
      </c>
      <c r="F519">
        <v>7.84</v>
      </c>
      <c r="G519">
        <v>2.39</v>
      </c>
    </row>
    <row r="520" spans="1:7">
      <c r="A520">
        <v>6182</v>
      </c>
      <c r="B520" t="s">
        <v>1760</v>
      </c>
      <c r="C520">
        <v>23.53</v>
      </c>
      <c r="D520">
        <v>2.4956171399999998</v>
      </c>
      <c r="E520">
        <v>111</v>
      </c>
      <c r="F520">
        <v>5.76</v>
      </c>
      <c r="G520">
        <v>1.92</v>
      </c>
    </row>
    <row r="521" spans="1:7">
      <c r="A521">
        <v>6185</v>
      </c>
      <c r="B521" t="s">
        <v>1761</v>
      </c>
      <c r="C521">
        <v>21.54</v>
      </c>
      <c r="D521">
        <v>0.3</v>
      </c>
      <c r="E521">
        <v>111</v>
      </c>
      <c r="F521">
        <v>1.72</v>
      </c>
      <c r="G521">
        <v>1.1599999999999999</v>
      </c>
    </row>
    <row r="522" spans="1:7">
      <c r="A522">
        <v>6186</v>
      </c>
      <c r="B522" t="s">
        <v>1762</v>
      </c>
      <c r="C522">
        <v>16.010000000000002</v>
      </c>
      <c r="D522">
        <v>2.2000034400000001</v>
      </c>
      <c r="E522">
        <v>111</v>
      </c>
      <c r="F522">
        <v>3.7</v>
      </c>
      <c r="G522">
        <v>3.09</v>
      </c>
    </row>
    <row r="523" spans="1:7">
      <c r="A523">
        <v>6187</v>
      </c>
      <c r="B523" t="s">
        <v>1763</v>
      </c>
      <c r="C523">
        <v>123.68</v>
      </c>
      <c r="D523">
        <v>3.0619892599999998</v>
      </c>
      <c r="E523">
        <v>111</v>
      </c>
      <c r="F523">
        <v>2.17</v>
      </c>
      <c r="G523">
        <v>4.74</v>
      </c>
    </row>
    <row r="524" spans="1:7">
      <c r="A524">
        <v>6188</v>
      </c>
      <c r="B524" t="s">
        <v>1764</v>
      </c>
      <c r="C524">
        <v>22.22</v>
      </c>
      <c r="D524">
        <v>3.2</v>
      </c>
      <c r="E524">
        <v>111</v>
      </c>
      <c r="F524">
        <v>3.9</v>
      </c>
      <c r="G524">
        <v>2.5299999999999998</v>
      </c>
    </row>
    <row r="525" spans="1:7">
      <c r="A525">
        <v>6190</v>
      </c>
      <c r="B525" t="s">
        <v>1765</v>
      </c>
      <c r="C525">
        <v>27.17</v>
      </c>
      <c r="D525">
        <v>1.9999641399999999</v>
      </c>
      <c r="E525">
        <v>111</v>
      </c>
      <c r="F525">
        <v>6.51</v>
      </c>
      <c r="G525">
        <v>1.9</v>
      </c>
    </row>
    <row r="526" spans="1:7">
      <c r="A526">
        <v>6194</v>
      </c>
      <c r="B526" t="s">
        <v>1766</v>
      </c>
      <c r="C526">
        <v>13.9</v>
      </c>
      <c r="D526">
        <v>0.3</v>
      </c>
      <c r="E526">
        <v>111</v>
      </c>
      <c r="F526">
        <v>0.83</v>
      </c>
      <c r="G526">
        <v>0.94</v>
      </c>
    </row>
    <row r="527" spans="1:7">
      <c r="A527">
        <v>6195</v>
      </c>
      <c r="B527" t="s">
        <v>1767</v>
      </c>
      <c r="C527">
        <v>15.16</v>
      </c>
      <c r="D527">
        <v>3.4</v>
      </c>
      <c r="E527">
        <v>111</v>
      </c>
      <c r="F527">
        <v>8.1</v>
      </c>
      <c r="G527">
        <v>1.62</v>
      </c>
    </row>
    <row r="528" spans="1:7">
      <c r="A528">
        <v>6198</v>
      </c>
      <c r="B528" t="s">
        <v>1768</v>
      </c>
      <c r="C528">
        <v>10.72</v>
      </c>
      <c r="D528">
        <v>0</v>
      </c>
      <c r="E528">
        <v>111</v>
      </c>
      <c r="F528">
        <v>0</v>
      </c>
      <c r="G528">
        <v>1.22</v>
      </c>
    </row>
    <row r="529" spans="1:7">
      <c r="A529">
        <v>6199</v>
      </c>
      <c r="B529" t="s">
        <v>1769</v>
      </c>
      <c r="C529">
        <v>55.58</v>
      </c>
      <c r="D529">
        <v>0</v>
      </c>
      <c r="E529">
        <v>111</v>
      </c>
      <c r="F529">
        <v>0</v>
      </c>
      <c r="G529">
        <v>2.39</v>
      </c>
    </row>
    <row r="530" spans="1:7">
      <c r="A530">
        <v>6203</v>
      </c>
      <c r="B530" t="s">
        <v>1770</v>
      </c>
      <c r="C530">
        <v>12.8</v>
      </c>
      <c r="D530">
        <v>4.9329898500000002</v>
      </c>
      <c r="E530">
        <v>111</v>
      </c>
      <c r="F530">
        <v>4.99</v>
      </c>
      <c r="G530">
        <v>2.66</v>
      </c>
    </row>
    <row r="531" spans="1:7">
      <c r="A531">
        <v>6204</v>
      </c>
      <c r="B531" t="s">
        <v>1771</v>
      </c>
      <c r="C531">
        <v>7.82</v>
      </c>
      <c r="D531">
        <v>3.4</v>
      </c>
      <c r="E531">
        <v>111</v>
      </c>
      <c r="F531">
        <v>2.4900000000000002</v>
      </c>
      <c r="G531">
        <v>10.19</v>
      </c>
    </row>
    <row r="532" spans="1:7">
      <c r="A532">
        <v>6207</v>
      </c>
      <c r="B532" t="s">
        <v>1772</v>
      </c>
      <c r="C532">
        <v>24.07</v>
      </c>
      <c r="D532">
        <v>1.5</v>
      </c>
      <c r="E532">
        <v>111</v>
      </c>
      <c r="F532">
        <v>4.62</v>
      </c>
      <c r="G532">
        <v>1.39</v>
      </c>
    </row>
    <row r="533" spans="1:7">
      <c r="A533">
        <v>6208</v>
      </c>
      <c r="B533" t="s">
        <v>1773</v>
      </c>
      <c r="C533">
        <v>15.12</v>
      </c>
      <c r="D533">
        <v>2.7</v>
      </c>
      <c r="E533">
        <v>111</v>
      </c>
      <c r="F533">
        <v>5.56</v>
      </c>
      <c r="G533">
        <v>2.04</v>
      </c>
    </row>
    <row r="534" spans="1:7">
      <c r="A534">
        <v>6210</v>
      </c>
      <c r="B534" t="s">
        <v>1774</v>
      </c>
      <c r="C534" t="s">
        <v>1259</v>
      </c>
      <c r="D534">
        <v>2</v>
      </c>
      <c r="E534">
        <v>111</v>
      </c>
      <c r="F534">
        <v>6.69</v>
      </c>
      <c r="G534">
        <v>1.6</v>
      </c>
    </row>
    <row r="535" spans="1:7">
      <c r="A535">
        <v>6212</v>
      </c>
      <c r="B535" t="s">
        <v>1775</v>
      </c>
      <c r="C535">
        <v>33.9</v>
      </c>
      <c r="D535">
        <v>0</v>
      </c>
      <c r="E535">
        <v>111</v>
      </c>
      <c r="F535">
        <v>0</v>
      </c>
      <c r="G535">
        <v>1.94</v>
      </c>
    </row>
    <row r="536" spans="1:7">
      <c r="A536">
        <v>6217</v>
      </c>
      <c r="B536" t="s">
        <v>1776</v>
      </c>
      <c r="C536" t="s">
        <v>1259</v>
      </c>
      <c r="D536">
        <v>1.5</v>
      </c>
      <c r="E536">
        <v>111</v>
      </c>
      <c r="F536">
        <v>3.65</v>
      </c>
      <c r="G536">
        <v>1.39</v>
      </c>
    </row>
    <row r="537" spans="1:7">
      <c r="A537">
        <v>6218</v>
      </c>
      <c r="B537" t="s">
        <v>1777</v>
      </c>
      <c r="C537">
        <v>20.81</v>
      </c>
      <c r="D537">
        <v>0</v>
      </c>
      <c r="E537">
        <v>111</v>
      </c>
      <c r="F537">
        <v>0</v>
      </c>
      <c r="G537">
        <v>1.43</v>
      </c>
    </row>
    <row r="538" spans="1:7">
      <c r="A538">
        <v>6219</v>
      </c>
      <c r="B538" t="s">
        <v>1778</v>
      </c>
      <c r="C538">
        <v>34.26</v>
      </c>
      <c r="D538">
        <v>0</v>
      </c>
      <c r="E538">
        <v>111</v>
      </c>
      <c r="F538">
        <v>0</v>
      </c>
      <c r="G538">
        <v>2.27</v>
      </c>
    </row>
    <row r="539" spans="1:7">
      <c r="A539">
        <v>6220</v>
      </c>
      <c r="B539" t="s">
        <v>1779</v>
      </c>
      <c r="C539" t="s">
        <v>1259</v>
      </c>
      <c r="D539">
        <v>3</v>
      </c>
      <c r="E539">
        <v>111</v>
      </c>
      <c r="F539">
        <v>11.65</v>
      </c>
      <c r="G539">
        <v>1.07</v>
      </c>
    </row>
    <row r="540" spans="1:7">
      <c r="A540">
        <v>6221</v>
      </c>
      <c r="B540" t="s">
        <v>1780</v>
      </c>
      <c r="C540">
        <v>22.87</v>
      </c>
      <c r="D540">
        <v>2.9969181900000001</v>
      </c>
      <c r="E540">
        <v>111</v>
      </c>
      <c r="F540">
        <v>4.58</v>
      </c>
      <c r="G540">
        <v>3.15</v>
      </c>
    </row>
    <row r="541" spans="1:7">
      <c r="A541">
        <v>6222</v>
      </c>
      <c r="B541" t="s">
        <v>1781</v>
      </c>
      <c r="C541" t="s">
        <v>1259</v>
      </c>
      <c r="D541">
        <v>0</v>
      </c>
      <c r="E541">
        <v>111</v>
      </c>
      <c r="F541">
        <v>0</v>
      </c>
      <c r="G541">
        <v>4.38</v>
      </c>
    </row>
    <row r="542" spans="1:7">
      <c r="A542">
        <v>6223</v>
      </c>
      <c r="B542" t="s">
        <v>1782</v>
      </c>
      <c r="C542">
        <v>16.05</v>
      </c>
      <c r="D542">
        <v>7</v>
      </c>
      <c r="E542">
        <v>111</v>
      </c>
      <c r="F542">
        <v>3.22</v>
      </c>
      <c r="G542">
        <v>2.8</v>
      </c>
    </row>
    <row r="543" spans="1:7">
      <c r="A543">
        <v>6227</v>
      </c>
      <c r="B543" t="s">
        <v>1783</v>
      </c>
      <c r="C543">
        <v>8.18</v>
      </c>
      <c r="D543">
        <v>4.3</v>
      </c>
      <c r="E543">
        <v>111</v>
      </c>
      <c r="F543">
        <v>10.49</v>
      </c>
      <c r="G543">
        <v>1.34</v>
      </c>
    </row>
    <row r="544" spans="1:7">
      <c r="A544">
        <v>6228</v>
      </c>
      <c r="B544" t="s">
        <v>1784</v>
      </c>
      <c r="C544" t="s">
        <v>1259</v>
      </c>
      <c r="D544">
        <v>0</v>
      </c>
      <c r="E544">
        <v>111</v>
      </c>
      <c r="F544">
        <v>0</v>
      </c>
      <c r="G544">
        <v>2.3199999999999998</v>
      </c>
    </row>
    <row r="545" spans="1:7">
      <c r="A545">
        <v>6229</v>
      </c>
      <c r="B545" t="s">
        <v>1785</v>
      </c>
      <c r="C545" t="s">
        <v>1259</v>
      </c>
      <c r="D545">
        <v>1.6</v>
      </c>
      <c r="E545">
        <v>111</v>
      </c>
      <c r="F545">
        <v>5.75</v>
      </c>
      <c r="G545">
        <v>1.62</v>
      </c>
    </row>
    <row r="546" spans="1:7">
      <c r="A546">
        <v>6231</v>
      </c>
      <c r="B546" t="s">
        <v>1786</v>
      </c>
      <c r="C546">
        <v>52.96</v>
      </c>
      <c r="D546">
        <v>6.3</v>
      </c>
      <c r="E546">
        <v>111</v>
      </c>
      <c r="F546">
        <v>2.4300000000000002</v>
      </c>
      <c r="G546">
        <v>11.4</v>
      </c>
    </row>
    <row r="547" spans="1:7">
      <c r="A547">
        <v>6233</v>
      </c>
      <c r="B547" t="s">
        <v>1787</v>
      </c>
      <c r="C547">
        <v>784</v>
      </c>
      <c r="D547">
        <v>0.48391023999999999</v>
      </c>
      <c r="E547">
        <v>111</v>
      </c>
      <c r="F547">
        <v>1.23</v>
      </c>
      <c r="G547">
        <v>2.81</v>
      </c>
    </row>
    <row r="548" spans="1:7">
      <c r="A548">
        <v>6234</v>
      </c>
      <c r="B548" t="s">
        <v>1788</v>
      </c>
      <c r="C548">
        <v>19.43</v>
      </c>
      <c r="D548">
        <v>0.9</v>
      </c>
      <c r="E548">
        <v>111</v>
      </c>
      <c r="F548">
        <v>3.28</v>
      </c>
      <c r="G548">
        <v>1</v>
      </c>
    </row>
    <row r="549" spans="1:7">
      <c r="A549">
        <v>6236</v>
      </c>
      <c r="B549" t="s">
        <v>1789</v>
      </c>
      <c r="C549" t="s">
        <v>1259</v>
      </c>
      <c r="D549">
        <v>0</v>
      </c>
      <c r="E549">
        <v>111</v>
      </c>
      <c r="F549">
        <v>0</v>
      </c>
      <c r="G549">
        <v>7.88</v>
      </c>
    </row>
    <row r="550" spans="1:7">
      <c r="A550">
        <v>6237</v>
      </c>
      <c r="B550" t="s">
        <v>1790</v>
      </c>
      <c r="C550" t="s">
        <v>1259</v>
      </c>
      <c r="D550">
        <v>0.24998066999999999</v>
      </c>
      <c r="E550">
        <v>111</v>
      </c>
      <c r="F550">
        <v>0.4</v>
      </c>
      <c r="G550">
        <v>2.95</v>
      </c>
    </row>
    <row r="551" spans="1:7">
      <c r="A551">
        <v>6240</v>
      </c>
      <c r="B551" t="s">
        <v>1791</v>
      </c>
      <c r="C551" t="s">
        <v>1259</v>
      </c>
      <c r="D551">
        <v>0</v>
      </c>
      <c r="E551">
        <v>111</v>
      </c>
      <c r="F551">
        <v>0</v>
      </c>
      <c r="G551">
        <v>1.17</v>
      </c>
    </row>
    <row r="552" spans="1:7">
      <c r="A552">
        <v>6241</v>
      </c>
      <c r="B552" t="s">
        <v>1792</v>
      </c>
      <c r="C552" t="s">
        <v>1259</v>
      </c>
      <c r="D552">
        <v>0</v>
      </c>
      <c r="E552">
        <v>111</v>
      </c>
      <c r="F552">
        <v>0</v>
      </c>
      <c r="G552">
        <v>1.89</v>
      </c>
    </row>
    <row r="553" spans="1:7">
      <c r="A553">
        <v>6242</v>
      </c>
      <c r="B553" t="s">
        <v>1793</v>
      </c>
      <c r="C553">
        <v>13.46</v>
      </c>
      <c r="D553">
        <v>3.5</v>
      </c>
      <c r="E553">
        <v>111</v>
      </c>
      <c r="F553">
        <v>6</v>
      </c>
      <c r="G553">
        <v>2.59</v>
      </c>
    </row>
    <row r="554" spans="1:7">
      <c r="A554">
        <v>6244</v>
      </c>
      <c r="B554" t="s">
        <v>1794</v>
      </c>
      <c r="C554">
        <v>33</v>
      </c>
      <c r="D554">
        <v>0.45</v>
      </c>
      <c r="E554">
        <v>111</v>
      </c>
      <c r="F554">
        <v>1.6</v>
      </c>
      <c r="G554">
        <v>2.5</v>
      </c>
    </row>
    <row r="555" spans="1:7">
      <c r="A555">
        <v>6245</v>
      </c>
      <c r="B555" t="s">
        <v>1795</v>
      </c>
      <c r="C555">
        <v>12.84</v>
      </c>
      <c r="D555">
        <v>4.5999999999999996</v>
      </c>
      <c r="E555">
        <v>111</v>
      </c>
      <c r="F555">
        <v>4.09</v>
      </c>
      <c r="G555">
        <v>3.04</v>
      </c>
    </row>
    <row r="556" spans="1:7">
      <c r="A556">
        <v>6246</v>
      </c>
      <c r="B556" t="s">
        <v>1796</v>
      </c>
      <c r="C556" t="s">
        <v>1259</v>
      </c>
      <c r="D556">
        <v>0.30000356</v>
      </c>
      <c r="E556">
        <v>111</v>
      </c>
      <c r="F556">
        <v>1.97</v>
      </c>
      <c r="G556">
        <v>1.34</v>
      </c>
    </row>
    <row r="557" spans="1:7">
      <c r="A557">
        <v>6248</v>
      </c>
      <c r="B557" t="s">
        <v>1798</v>
      </c>
      <c r="C557">
        <v>10.39</v>
      </c>
      <c r="D557">
        <v>1.8191195899999999</v>
      </c>
      <c r="E557">
        <v>111</v>
      </c>
      <c r="F557">
        <v>6.46</v>
      </c>
      <c r="G557">
        <v>1.47</v>
      </c>
    </row>
    <row r="558" spans="1:7">
      <c r="A558">
        <v>6259</v>
      </c>
      <c r="B558" t="s">
        <v>1799</v>
      </c>
      <c r="C558">
        <v>25.33</v>
      </c>
      <c r="D558">
        <v>1.1808964200000001</v>
      </c>
      <c r="E558">
        <v>111</v>
      </c>
      <c r="F558">
        <v>5.12</v>
      </c>
      <c r="G558">
        <v>1.53</v>
      </c>
    </row>
    <row r="559" spans="1:7">
      <c r="A559">
        <v>6261</v>
      </c>
      <c r="B559" t="s">
        <v>1800</v>
      </c>
      <c r="C559">
        <v>20.97</v>
      </c>
      <c r="D559">
        <v>5</v>
      </c>
      <c r="E559">
        <v>111</v>
      </c>
      <c r="F559">
        <v>8</v>
      </c>
      <c r="G559">
        <v>1.23</v>
      </c>
    </row>
    <row r="560" spans="1:7">
      <c r="A560">
        <v>6263</v>
      </c>
      <c r="B560" t="s">
        <v>1801</v>
      </c>
      <c r="C560">
        <v>17.84</v>
      </c>
      <c r="D560">
        <v>6.4</v>
      </c>
      <c r="E560">
        <v>111</v>
      </c>
      <c r="F560">
        <v>4.28</v>
      </c>
      <c r="G560">
        <v>6.08</v>
      </c>
    </row>
    <row r="561" spans="1:7">
      <c r="A561">
        <v>6264</v>
      </c>
      <c r="B561" t="s">
        <v>1802</v>
      </c>
      <c r="C561" t="s">
        <v>1259</v>
      </c>
      <c r="D561">
        <v>0</v>
      </c>
      <c r="E561">
        <v>111</v>
      </c>
      <c r="F561">
        <v>0</v>
      </c>
      <c r="G561">
        <v>1.47</v>
      </c>
    </row>
    <row r="562" spans="1:7">
      <c r="A562">
        <v>6265</v>
      </c>
      <c r="B562" t="s">
        <v>1803</v>
      </c>
      <c r="C562" t="s">
        <v>1259</v>
      </c>
      <c r="D562">
        <v>0</v>
      </c>
      <c r="E562">
        <v>111</v>
      </c>
      <c r="F562">
        <v>0</v>
      </c>
      <c r="G562">
        <v>0.93</v>
      </c>
    </row>
    <row r="563" spans="1:7">
      <c r="A563">
        <v>6266</v>
      </c>
      <c r="B563" t="s">
        <v>1804</v>
      </c>
      <c r="C563">
        <v>12.94</v>
      </c>
      <c r="D563">
        <v>2.4</v>
      </c>
      <c r="E563">
        <v>111</v>
      </c>
      <c r="F563">
        <v>7.36</v>
      </c>
      <c r="G563">
        <v>1.98</v>
      </c>
    </row>
    <row r="564" spans="1:7">
      <c r="A564">
        <v>6270</v>
      </c>
      <c r="B564" t="s">
        <v>1805</v>
      </c>
      <c r="C564">
        <v>18.38</v>
      </c>
      <c r="D564">
        <v>2.1</v>
      </c>
      <c r="E564">
        <v>111</v>
      </c>
      <c r="F564">
        <v>8.4</v>
      </c>
      <c r="G564">
        <v>0.97</v>
      </c>
    </row>
    <row r="565" spans="1:7">
      <c r="A565">
        <v>6274</v>
      </c>
      <c r="B565" t="s">
        <v>1806</v>
      </c>
      <c r="C565">
        <v>47.01</v>
      </c>
      <c r="D565">
        <v>4.0000029799999997</v>
      </c>
      <c r="E565">
        <v>111</v>
      </c>
      <c r="F565">
        <v>3.17</v>
      </c>
      <c r="G565">
        <v>2.99</v>
      </c>
    </row>
    <row r="566" spans="1:7">
      <c r="A566">
        <v>6275</v>
      </c>
      <c r="B566" t="s">
        <v>1807</v>
      </c>
      <c r="C566">
        <v>20.92</v>
      </c>
      <c r="D566">
        <v>2.1083205600000001</v>
      </c>
      <c r="E566">
        <v>111</v>
      </c>
      <c r="F566">
        <v>4.5</v>
      </c>
      <c r="G566">
        <v>2.5</v>
      </c>
    </row>
    <row r="567" spans="1:7">
      <c r="A567">
        <v>6276</v>
      </c>
      <c r="B567" t="s">
        <v>1808</v>
      </c>
      <c r="C567">
        <v>18.66</v>
      </c>
      <c r="D567">
        <v>0.7</v>
      </c>
      <c r="E567">
        <v>111</v>
      </c>
      <c r="F567">
        <v>0.79</v>
      </c>
      <c r="G567">
        <v>6.06</v>
      </c>
    </row>
    <row r="568" spans="1:7">
      <c r="A568">
        <v>6279</v>
      </c>
      <c r="B568" t="s">
        <v>1809</v>
      </c>
      <c r="C568">
        <v>19.510000000000002</v>
      </c>
      <c r="D568">
        <v>5.6</v>
      </c>
      <c r="E568">
        <v>111</v>
      </c>
      <c r="F568">
        <v>3.52</v>
      </c>
      <c r="G568">
        <v>2.7</v>
      </c>
    </row>
    <row r="569" spans="1:7">
      <c r="A569">
        <v>6284</v>
      </c>
      <c r="B569" t="s">
        <v>1810</v>
      </c>
      <c r="C569">
        <v>20.93</v>
      </c>
      <c r="D569">
        <v>1.7</v>
      </c>
      <c r="E569">
        <v>111</v>
      </c>
      <c r="F569">
        <v>2.04</v>
      </c>
      <c r="G569">
        <v>1.86</v>
      </c>
    </row>
    <row r="570" spans="1:7">
      <c r="A570">
        <v>6287</v>
      </c>
      <c r="B570" t="s">
        <v>1811</v>
      </c>
      <c r="C570" t="s">
        <v>1259</v>
      </c>
      <c r="D570">
        <v>0</v>
      </c>
      <c r="E570">
        <v>111</v>
      </c>
      <c r="F570">
        <v>0</v>
      </c>
      <c r="G570">
        <v>5.0199999999999996</v>
      </c>
    </row>
    <row r="571" spans="1:7">
      <c r="A571">
        <v>6290</v>
      </c>
      <c r="B571" t="s">
        <v>1812</v>
      </c>
      <c r="C571">
        <v>12.43</v>
      </c>
      <c r="D571">
        <v>2.11</v>
      </c>
      <c r="E571">
        <v>111</v>
      </c>
      <c r="F571">
        <v>3.25</v>
      </c>
      <c r="G571">
        <v>1.78</v>
      </c>
    </row>
    <row r="572" spans="1:7">
      <c r="A572">
        <v>6291</v>
      </c>
      <c r="B572" t="s">
        <v>1813</v>
      </c>
      <c r="C572">
        <v>23.71</v>
      </c>
      <c r="D572">
        <v>1.5</v>
      </c>
      <c r="E572">
        <v>111</v>
      </c>
      <c r="F572">
        <v>0.7</v>
      </c>
      <c r="G572">
        <v>6.71</v>
      </c>
    </row>
    <row r="573" spans="1:7">
      <c r="A573">
        <v>6292</v>
      </c>
      <c r="B573" t="s">
        <v>1814</v>
      </c>
      <c r="C573">
        <v>10.15</v>
      </c>
      <c r="D573">
        <v>3</v>
      </c>
      <c r="E573">
        <v>111</v>
      </c>
      <c r="F573">
        <v>4.8899999999999997</v>
      </c>
      <c r="G573">
        <v>2.37</v>
      </c>
    </row>
    <row r="574" spans="1:7">
      <c r="A574">
        <v>6294</v>
      </c>
      <c r="B574" t="s">
        <v>1815</v>
      </c>
      <c r="C574">
        <v>11.98</v>
      </c>
      <c r="D574">
        <v>8.8000000000000007</v>
      </c>
      <c r="E574">
        <v>111</v>
      </c>
      <c r="F574">
        <v>7.65</v>
      </c>
      <c r="G574">
        <v>4.22</v>
      </c>
    </row>
    <row r="575" spans="1:7">
      <c r="A575">
        <v>6411</v>
      </c>
      <c r="B575" t="s">
        <v>1817</v>
      </c>
      <c r="C575">
        <v>38.409999999999997</v>
      </c>
      <c r="D575">
        <v>3.2697799999999999</v>
      </c>
      <c r="E575">
        <v>111</v>
      </c>
      <c r="F575">
        <v>2.7</v>
      </c>
      <c r="G575">
        <v>2.64</v>
      </c>
    </row>
    <row r="576" spans="1:7">
      <c r="A576">
        <v>6417</v>
      </c>
      <c r="B576" t="s">
        <v>1818</v>
      </c>
      <c r="C576">
        <v>21.79</v>
      </c>
      <c r="D576">
        <v>2.2000000000000002</v>
      </c>
      <c r="E576">
        <v>111</v>
      </c>
      <c r="F576">
        <v>2.06</v>
      </c>
      <c r="G576">
        <v>3.04</v>
      </c>
    </row>
    <row r="577" spans="1:7">
      <c r="A577">
        <v>6418</v>
      </c>
      <c r="B577" t="s">
        <v>1819</v>
      </c>
      <c r="C577">
        <v>20.170000000000002</v>
      </c>
      <c r="D577">
        <v>0.55000000000000004</v>
      </c>
      <c r="E577">
        <v>111</v>
      </c>
      <c r="F577">
        <v>2.25</v>
      </c>
      <c r="G577">
        <v>1.67</v>
      </c>
    </row>
    <row r="578" spans="1:7">
      <c r="A578">
        <v>6419</v>
      </c>
      <c r="B578" t="s">
        <v>1820</v>
      </c>
      <c r="C578">
        <v>34.299999999999997</v>
      </c>
      <c r="D578">
        <v>5.3</v>
      </c>
      <c r="E578">
        <v>111</v>
      </c>
      <c r="F578">
        <v>10.23</v>
      </c>
      <c r="G578">
        <v>2.41</v>
      </c>
    </row>
    <row r="579" spans="1:7">
      <c r="A579">
        <v>6425</v>
      </c>
      <c r="B579" t="s">
        <v>1821</v>
      </c>
      <c r="C579" t="s">
        <v>1259</v>
      </c>
      <c r="D579">
        <v>1</v>
      </c>
      <c r="E579">
        <v>111</v>
      </c>
      <c r="F579">
        <v>4.59</v>
      </c>
      <c r="G579">
        <v>1.1399999999999999</v>
      </c>
    </row>
    <row r="580" spans="1:7">
      <c r="A580">
        <v>6432</v>
      </c>
      <c r="B580" t="s">
        <v>1822</v>
      </c>
      <c r="C580">
        <v>29.27</v>
      </c>
      <c r="D580">
        <v>1.5</v>
      </c>
      <c r="E580">
        <v>111</v>
      </c>
      <c r="F580">
        <v>4.17</v>
      </c>
      <c r="G580">
        <v>1.38</v>
      </c>
    </row>
    <row r="581" spans="1:7">
      <c r="A581">
        <v>6435</v>
      </c>
      <c r="B581" t="s">
        <v>1823</v>
      </c>
      <c r="C581">
        <v>29.82</v>
      </c>
      <c r="D581">
        <v>4</v>
      </c>
      <c r="E581">
        <v>111</v>
      </c>
      <c r="F581">
        <v>3.54</v>
      </c>
      <c r="G581">
        <v>2.63</v>
      </c>
    </row>
    <row r="582" spans="1:7">
      <c r="A582">
        <v>6441</v>
      </c>
      <c r="B582" t="s">
        <v>1824</v>
      </c>
      <c r="C582" t="s">
        <v>1259</v>
      </c>
      <c r="D582">
        <v>0</v>
      </c>
      <c r="E582">
        <v>111</v>
      </c>
      <c r="F582">
        <v>0</v>
      </c>
      <c r="G582">
        <v>1.99</v>
      </c>
    </row>
    <row r="583" spans="1:7">
      <c r="A583">
        <v>6446</v>
      </c>
      <c r="B583" t="s">
        <v>1825</v>
      </c>
      <c r="C583" t="s">
        <v>1259</v>
      </c>
      <c r="D583">
        <v>0</v>
      </c>
      <c r="E583">
        <v>111</v>
      </c>
      <c r="F583">
        <v>0</v>
      </c>
      <c r="G583">
        <v>4.8</v>
      </c>
    </row>
    <row r="584" spans="1:7">
      <c r="A584">
        <v>6457</v>
      </c>
      <c r="B584" t="s">
        <v>1826</v>
      </c>
      <c r="C584" t="s">
        <v>1259</v>
      </c>
      <c r="D584">
        <v>1</v>
      </c>
      <c r="E584">
        <v>111</v>
      </c>
      <c r="F584">
        <v>1.47</v>
      </c>
      <c r="G584">
        <v>2.88</v>
      </c>
    </row>
    <row r="585" spans="1:7">
      <c r="A585">
        <v>6461</v>
      </c>
      <c r="B585" t="s">
        <v>1827</v>
      </c>
      <c r="C585" t="s">
        <v>1259</v>
      </c>
      <c r="D585">
        <v>0</v>
      </c>
      <c r="E585">
        <v>111</v>
      </c>
      <c r="F585">
        <v>0</v>
      </c>
      <c r="G585">
        <v>4.38</v>
      </c>
    </row>
    <row r="586" spans="1:7">
      <c r="A586">
        <v>6462</v>
      </c>
      <c r="B586" t="s">
        <v>1828</v>
      </c>
      <c r="C586" t="s">
        <v>1259</v>
      </c>
      <c r="D586">
        <v>2.79803896</v>
      </c>
      <c r="E586">
        <v>111</v>
      </c>
      <c r="F586">
        <v>2.34</v>
      </c>
      <c r="G586">
        <v>2.2999999999999998</v>
      </c>
    </row>
    <row r="587" spans="1:7">
      <c r="A587">
        <v>6465</v>
      </c>
      <c r="B587" t="s">
        <v>1829</v>
      </c>
      <c r="C587" t="s">
        <v>1259</v>
      </c>
      <c r="D587">
        <v>0</v>
      </c>
      <c r="E587">
        <v>111</v>
      </c>
      <c r="F587">
        <v>0</v>
      </c>
      <c r="G587">
        <v>3</v>
      </c>
    </row>
    <row r="588" spans="1:7">
      <c r="A588">
        <v>6469</v>
      </c>
      <c r="B588" t="s">
        <v>1830</v>
      </c>
      <c r="C588">
        <v>58.94</v>
      </c>
      <c r="D588">
        <v>6.9785805700000001</v>
      </c>
      <c r="E588">
        <v>111</v>
      </c>
      <c r="F588">
        <v>2</v>
      </c>
      <c r="G588">
        <v>13.11</v>
      </c>
    </row>
    <row r="589" spans="1:7">
      <c r="A589">
        <v>6470</v>
      </c>
      <c r="B589" t="s">
        <v>1831</v>
      </c>
      <c r="C589">
        <v>13.77</v>
      </c>
      <c r="D589">
        <v>3.9984984699999999</v>
      </c>
      <c r="E589">
        <v>111</v>
      </c>
      <c r="F589">
        <v>6.19</v>
      </c>
      <c r="G589">
        <v>2.2000000000000002</v>
      </c>
    </row>
    <row r="590" spans="1:7">
      <c r="A590">
        <v>6482</v>
      </c>
      <c r="B590" t="s">
        <v>1833</v>
      </c>
      <c r="C590">
        <v>26.86</v>
      </c>
      <c r="D590">
        <v>2.5</v>
      </c>
      <c r="E590">
        <v>111</v>
      </c>
      <c r="F590">
        <v>4.43</v>
      </c>
      <c r="G590">
        <v>3.87</v>
      </c>
    </row>
    <row r="591" spans="1:7">
      <c r="A591">
        <v>6485</v>
      </c>
      <c r="B591" t="s">
        <v>1834</v>
      </c>
      <c r="C591">
        <v>33.92</v>
      </c>
      <c r="D591">
        <v>4</v>
      </c>
      <c r="E591">
        <v>111</v>
      </c>
      <c r="F591">
        <v>3.48</v>
      </c>
      <c r="G591">
        <v>2.7</v>
      </c>
    </row>
    <row r="592" spans="1:7">
      <c r="A592">
        <v>6486</v>
      </c>
      <c r="B592" t="s">
        <v>1835</v>
      </c>
      <c r="C592">
        <v>13.41</v>
      </c>
      <c r="D592">
        <v>5.1321800499999997</v>
      </c>
      <c r="E592">
        <v>111</v>
      </c>
      <c r="F592">
        <v>6.73</v>
      </c>
      <c r="G592">
        <v>2.2599999999999998</v>
      </c>
    </row>
    <row r="593" spans="1:7">
      <c r="A593">
        <v>6488</v>
      </c>
      <c r="B593" t="s">
        <v>1836</v>
      </c>
      <c r="C593">
        <v>12.1</v>
      </c>
      <c r="D593">
        <v>16</v>
      </c>
      <c r="E593">
        <v>111</v>
      </c>
      <c r="F593">
        <v>2.73</v>
      </c>
      <c r="G593">
        <v>3.86</v>
      </c>
    </row>
    <row r="594" spans="1:7">
      <c r="A594">
        <v>6492</v>
      </c>
      <c r="B594" t="s">
        <v>1837</v>
      </c>
      <c r="C594" t="s">
        <v>1259</v>
      </c>
      <c r="D594">
        <v>0</v>
      </c>
      <c r="E594">
        <v>111</v>
      </c>
      <c r="F594">
        <v>0</v>
      </c>
      <c r="G594">
        <v>3.23</v>
      </c>
    </row>
    <row r="595" spans="1:7">
      <c r="A595">
        <v>6494</v>
      </c>
      <c r="B595" t="s">
        <v>1838</v>
      </c>
      <c r="C595">
        <v>90.34</v>
      </c>
      <c r="D595">
        <v>6.5</v>
      </c>
      <c r="E595">
        <v>111</v>
      </c>
      <c r="F595">
        <v>8.08</v>
      </c>
      <c r="G595">
        <v>2.4</v>
      </c>
    </row>
    <row r="596" spans="1:7">
      <c r="A596">
        <v>6496</v>
      </c>
      <c r="B596" t="s">
        <v>1839</v>
      </c>
      <c r="C596" t="s">
        <v>1259</v>
      </c>
      <c r="D596">
        <v>0</v>
      </c>
      <c r="E596">
        <v>111</v>
      </c>
      <c r="F596">
        <v>0</v>
      </c>
      <c r="G596">
        <v>1.24</v>
      </c>
    </row>
    <row r="597" spans="1:7">
      <c r="A597">
        <v>6499</v>
      </c>
      <c r="B597" t="s">
        <v>1840</v>
      </c>
      <c r="C597" t="s">
        <v>1259</v>
      </c>
      <c r="D597">
        <v>0.99985734000000004</v>
      </c>
      <c r="E597">
        <v>111</v>
      </c>
      <c r="F597">
        <v>2.14</v>
      </c>
      <c r="G597">
        <v>1.69</v>
      </c>
    </row>
    <row r="598" spans="1:7">
      <c r="A598">
        <v>6506</v>
      </c>
      <c r="B598" t="s">
        <v>1841</v>
      </c>
      <c r="C598" t="s">
        <v>1259</v>
      </c>
      <c r="D598">
        <v>1.2</v>
      </c>
      <c r="E598">
        <v>111</v>
      </c>
      <c r="F598">
        <v>6.96</v>
      </c>
      <c r="G598">
        <v>1.17</v>
      </c>
    </row>
    <row r="599" spans="1:7">
      <c r="A599">
        <v>6508</v>
      </c>
      <c r="B599" t="s">
        <v>1842</v>
      </c>
      <c r="C599">
        <v>27.98</v>
      </c>
      <c r="D599">
        <v>2.68509558</v>
      </c>
      <c r="E599">
        <v>111</v>
      </c>
      <c r="F599">
        <v>7.74</v>
      </c>
      <c r="G599">
        <v>1.23</v>
      </c>
    </row>
    <row r="600" spans="1:7">
      <c r="A600">
        <v>6509</v>
      </c>
      <c r="B600" t="s">
        <v>1843</v>
      </c>
      <c r="C600">
        <v>13.96</v>
      </c>
      <c r="D600">
        <v>1.38</v>
      </c>
      <c r="E600">
        <v>111</v>
      </c>
      <c r="F600">
        <v>3.53</v>
      </c>
      <c r="G600">
        <v>1.84</v>
      </c>
    </row>
    <row r="601" spans="1:7">
      <c r="A601">
        <v>6510</v>
      </c>
      <c r="B601" t="s">
        <v>1844</v>
      </c>
      <c r="C601">
        <v>95.76</v>
      </c>
      <c r="D601">
        <v>11.75</v>
      </c>
      <c r="E601">
        <v>111</v>
      </c>
      <c r="F601">
        <v>2.08</v>
      </c>
      <c r="G601">
        <v>2.46</v>
      </c>
    </row>
    <row r="602" spans="1:7">
      <c r="A602">
        <v>6512</v>
      </c>
      <c r="B602" t="s">
        <v>1845</v>
      </c>
      <c r="C602" t="s">
        <v>1259</v>
      </c>
      <c r="D602">
        <v>0.11276216</v>
      </c>
      <c r="E602">
        <v>111</v>
      </c>
      <c r="F602">
        <v>0.53</v>
      </c>
      <c r="G602">
        <v>1.32</v>
      </c>
    </row>
    <row r="603" spans="1:7">
      <c r="A603">
        <v>6514</v>
      </c>
      <c r="B603" t="s">
        <v>1846</v>
      </c>
      <c r="C603">
        <v>22.47</v>
      </c>
      <c r="D603">
        <v>3.5</v>
      </c>
      <c r="E603">
        <v>111</v>
      </c>
      <c r="F603">
        <v>6.74</v>
      </c>
      <c r="G603">
        <v>2.39</v>
      </c>
    </row>
    <row r="604" spans="1:7">
      <c r="A604">
        <v>6516</v>
      </c>
      <c r="B604" t="s">
        <v>1847</v>
      </c>
      <c r="C604">
        <v>61.88</v>
      </c>
      <c r="D604">
        <v>2.2400000000000002</v>
      </c>
      <c r="E604">
        <v>111</v>
      </c>
      <c r="F604">
        <v>2.62</v>
      </c>
      <c r="G604">
        <v>4.29</v>
      </c>
    </row>
    <row r="605" spans="1:7">
      <c r="A605">
        <v>6517</v>
      </c>
      <c r="B605" t="s">
        <v>1848</v>
      </c>
      <c r="C605">
        <v>21.42</v>
      </c>
      <c r="D605">
        <v>1.2</v>
      </c>
      <c r="E605">
        <v>111</v>
      </c>
      <c r="F605">
        <v>1.39</v>
      </c>
      <c r="G605">
        <v>4.53</v>
      </c>
    </row>
    <row r="606" spans="1:7">
      <c r="A606">
        <v>6523</v>
      </c>
      <c r="B606" t="s">
        <v>1849</v>
      </c>
      <c r="C606">
        <v>16.829999999999998</v>
      </c>
      <c r="D606">
        <v>8</v>
      </c>
      <c r="E606">
        <v>111</v>
      </c>
      <c r="F606">
        <v>5.26</v>
      </c>
      <c r="G606">
        <v>4.4400000000000004</v>
      </c>
    </row>
    <row r="607" spans="1:7">
      <c r="A607">
        <v>6527</v>
      </c>
      <c r="B607" t="s">
        <v>1850</v>
      </c>
      <c r="C607">
        <v>19.14</v>
      </c>
      <c r="D607">
        <v>2.9</v>
      </c>
      <c r="E607">
        <v>111</v>
      </c>
      <c r="F607">
        <v>3.34</v>
      </c>
      <c r="G607">
        <v>2.61</v>
      </c>
    </row>
    <row r="608" spans="1:7">
      <c r="A608">
        <v>6530</v>
      </c>
      <c r="B608" t="s">
        <v>1851</v>
      </c>
      <c r="C608">
        <v>30.99</v>
      </c>
      <c r="D608">
        <v>1.5</v>
      </c>
      <c r="E608">
        <v>111</v>
      </c>
      <c r="F608">
        <v>3.43</v>
      </c>
      <c r="G608">
        <v>3.29</v>
      </c>
    </row>
    <row r="609" spans="1:7">
      <c r="A609">
        <v>6532</v>
      </c>
      <c r="B609" t="s">
        <v>1852</v>
      </c>
      <c r="C609">
        <v>15.04</v>
      </c>
      <c r="D609">
        <v>2.6927352400000002</v>
      </c>
      <c r="E609">
        <v>111</v>
      </c>
      <c r="F609">
        <v>4.49</v>
      </c>
      <c r="G609">
        <v>2.25</v>
      </c>
    </row>
    <row r="610" spans="1:7">
      <c r="A610">
        <v>6535</v>
      </c>
      <c r="B610" t="s">
        <v>1853</v>
      </c>
      <c r="C610" t="s">
        <v>1259</v>
      </c>
      <c r="D610">
        <v>0</v>
      </c>
      <c r="E610">
        <v>111</v>
      </c>
      <c r="F610">
        <v>0</v>
      </c>
      <c r="G610">
        <v>7.38</v>
      </c>
    </row>
    <row r="611" spans="1:7">
      <c r="A611">
        <v>6538</v>
      </c>
      <c r="B611" t="s">
        <v>1854</v>
      </c>
      <c r="C611">
        <v>22.68</v>
      </c>
      <c r="D611">
        <v>3.30077775</v>
      </c>
      <c r="E611">
        <v>111</v>
      </c>
      <c r="F611">
        <v>2.08</v>
      </c>
      <c r="G611">
        <v>3.25</v>
      </c>
    </row>
    <row r="612" spans="1:7">
      <c r="A612">
        <v>6542</v>
      </c>
      <c r="B612" t="s">
        <v>1855</v>
      </c>
      <c r="C612">
        <v>24.05</v>
      </c>
      <c r="D612">
        <v>0</v>
      </c>
      <c r="E612">
        <v>111</v>
      </c>
      <c r="F612">
        <v>0</v>
      </c>
      <c r="G612">
        <v>2.94</v>
      </c>
    </row>
    <row r="613" spans="1:7">
      <c r="A613">
        <v>6546</v>
      </c>
      <c r="B613" t="s">
        <v>1856</v>
      </c>
      <c r="C613">
        <v>30.53</v>
      </c>
      <c r="D613">
        <v>6.5</v>
      </c>
      <c r="E613">
        <v>111</v>
      </c>
      <c r="F613">
        <v>5.42</v>
      </c>
      <c r="G613">
        <v>4.1500000000000004</v>
      </c>
    </row>
    <row r="614" spans="1:7">
      <c r="A614">
        <v>6547</v>
      </c>
      <c r="B614" t="s">
        <v>1857</v>
      </c>
      <c r="C614" t="s">
        <v>1259</v>
      </c>
      <c r="D614">
        <v>0</v>
      </c>
      <c r="E614">
        <v>111</v>
      </c>
      <c r="F614">
        <v>0</v>
      </c>
      <c r="G614">
        <v>5.22</v>
      </c>
    </row>
    <row r="615" spans="1:7">
      <c r="A615">
        <v>6548</v>
      </c>
      <c r="B615" t="s">
        <v>1858</v>
      </c>
      <c r="C615">
        <v>18.98</v>
      </c>
      <c r="D615">
        <v>1.51</v>
      </c>
      <c r="E615">
        <v>111</v>
      </c>
      <c r="F615">
        <v>4.5199999999999996</v>
      </c>
      <c r="G615">
        <v>3.13</v>
      </c>
    </row>
    <row r="616" spans="1:7">
      <c r="A616">
        <v>6556</v>
      </c>
      <c r="B616" t="s">
        <v>1859</v>
      </c>
      <c r="C616">
        <v>11.03</v>
      </c>
      <c r="D616">
        <v>5</v>
      </c>
      <c r="E616">
        <v>111</v>
      </c>
      <c r="F616">
        <v>5.67</v>
      </c>
      <c r="G616">
        <v>1.91</v>
      </c>
    </row>
    <row r="617" spans="1:7">
      <c r="A617">
        <v>6560</v>
      </c>
      <c r="B617" t="s">
        <v>1860</v>
      </c>
      <c r="C617" t="s">
        <v>1259</v>
      </c>
      <c r="D617">
        <v>1</v>
      </c>
      <c r="E617">
        <v>111</v>
      </c>
      <c r="F617">
        <v>3.21</v>
      </c>
      <c r="G617">
        <v>1.71</v>
      </c>
    </row>
    <row r="618" spans="1:7">
      <c r="A618">
        <v>6561</v>
      </c>
      <c r="B618" t="s">
        <v>1861</v>
      </c>
      <c r="C618">
        <v>28.19</v>
      </c>
      <c r="D618">
        <v>10</v>
      </c>
      <c r="E618">
        <v>111</v>
      </c>
      <c r="F618">
        <v>3.06</v>
      </c>
      <c r="G618">
        <v>7.6</v>
      </c>
    </row>
    <row r="619" spans="1:7">
      <c r="A619">
        <v>6568</v>
      </c>
      <c r="B619" t="s">
        <v>1862</v>
      </c>
      <c r="C619">
        <v>42.31</v>
      </c>
      <c r="D619">
        <v>4.0227639699999997</v>
      </c>
      <c r="E619">
        <v>111</v>
      </c>
      <c r="F619">
        <v>2.52</v>
      </c>
      <c r="G619">
        <v>3.39</v>
      </c>
    </row>
    <row r="620" spans="1:7">
      <c r="A620">
        <v>6569</v>
      </c>
      <c r="B620" t="s">
        <v>1863</v>
      </c>
      <c r="C620">
        <v>21.8</v>
      </c>
      <c r="D620">
        <v>4.9959445200000001</v>
      </c>
      <c r="E620">
        <v>111</v>
      </c>
      <c r="F620">
        <v>2.9</v>
      </c>
      <c r="G620">
        <v>3.95</v>
      </c>
    </row>
    <row r="621" spans="1:7">
      <c r="A621">
        <v>6570</v>
      </c>
      <c r="B621" t="s">
        <v>1864</v>
      </c>
      <c r="C621">
        <v>13.76</v>
      </c>
      <c r="D621">
        <v>3.9337461600000001</v>
      </c>
      <c r="E621">
        <v>111</v>
      </c>
      <c r="F621">
        <v>7.56</v>
      </c>
      <c r="G621">
        <v>2.2400000000000002</v>
      </c>
    </row>
    <row r="622" spans="1:7">
      <c r="A622">
        <v>6574</v>
      </c>
      <c r="B622" t="s">
        <v>1865</v>
      </c>
      <c r="C622">
        <v>19.88</v>
      </c>
      <c r="D622">
        <v>3.5</v>
      </c>
      <c r="E622">
        <v>111</v>
      </c>
      <c r="F622">
        <v>7.07</v>
      </c>
      <c r="G622">
        <v>1.75</v>
      </c>
    </row>
    <row r="623" spans="1:7">
      <c r="A623">
        <v>6576</v>
      </c>
      <c r="B623" t="s">
        <v>1866</v>
      </c>
      <c r="C623" t="s">
        <v>1259</v>
      </c>
      <c r="D623">
        <v>0</v>
      </c>
      <c r="E623">
        <v>111</v>
      </c>
      <c r="F623">
        <v>0</v>
      </c>
      <c r="G623">
        <v>8.2899999999999991</v>
      </c>
    </row>
    <row r="624" spans="1:7">
      <c r="A624">
        <v>6577</v>
      </c>
      <c r="B624" t="s">
        <v>1867</v>
      </c>
      <c r="C624">
        <v>14.5</v>
      </c>
      <c r="D624">
        <v>4.45</v>
      </c>
      <c r="E624">
        <v>111</v>
      </c>
      <c r="F624">
        <v>4.55</v>
      </c>
      <c r="G624">
        <v>3.23</v>
      </c>
    </row>
    <row r="625" spans="1:7">
      <c r="A625">
        <v>6578</v>
      </c>
      <c r="B625" t="s">
        <v>1868</v>
      </c>
      <c r="C625" t="s">
        <v>1259</v>
      </c>
      <c r="D625">
        <v>0.66504951999999995</v>
      </c>
      <c r="E625">
        <v>111</v>
      </c>
      <c r="F625">
        <v>3.17</v>
      </c>
      <c r="G625">
        <v>1.37</v>
      </c>
    </row>
    <row r="626" spans="1:7">
      <c r="A626">
        <v>6584</v>
      </c>
      <c r="B626" t="s">
        <v>2104</v>
      </c>
      <c r="C626" t="s">
        <v>1259</v>
      </c>
      <c r="D626">
        <v>1.06924101</v>
      </c>
      <c r="E626">
        <v>111</v>
      </c>
      <c r="F626">
        <v>1.24</v>
      </c>
      <c r="G626">
        <v>2.96</v>
      </c>
    </row>
    <row r="627" spans="1:7">
      <c r="A627">
        <v>6588</v>
      </c>
      <c r="B627" t="s">
        <v>1869</v>
      </c>
      <c r="C627" t="s">
        <v>1259</v>
      </c>
      <c r="D627">
        <v>0</v>
      </c>
      <c r="E627">
        <v>111</v>
      </c>
      <c r="F627">
        <v>0</v>
      </c>
      <c r="G627">
        <v>1.29</v>
      </c>
    </row>
    <row r="628" spans="1:7">
      <c r="A628">
        <v>6589</v>
      </c>
      <c r="B628" t="s">
        <v>1870</v>
      </c>
      <c r="C628" t="s">
        <v>1259</v>
      </c>
      <c r="D628">
        <v>0</v>
      </c>
      <c r="E628">
        <v>111</v>
      </c>
      <c r="F628">
        <v>0</v>
      </c>
      <c r="G628">
        <v>2.98</v>
      </c>
    </row>
    <row r="629" spans="1:7">
      <c r="A629">
        <v>6590</v>
      </c>
      <c r="B629" t="s">
        <v>1871</v>
      </c>
      <c r="C629">
        <v>14.92</v>
      </c>
      <c r="D629">
        <v>3.8</v>
      </c>
      <c r="E629">
        <v>111</v>
      </c>
      <c r="F629">
        <v>4.29</v>
      </c>
      <c r="G629">
        <v>3.15</v>
      </c>
    </row>
    <row r="630" spans="1:7">
      <c r="A630">
        <v>6593</v>
      </c>
      <c r="B630" t="s">
        <v>1872</v>
      </c>
      <c r="C630">
        <v>113.39</v>
      </c>
      <c r="D630">
        <v>0.5</v>
      </c>
      <c r="E630">
        <v>111</v>
      </c>
      <c r="F630">
        <v>0.35</v>
      </c>
      <c r="G630">
        <v>5.25</v>
      </c>
    </row>
    <row r="631" spans="1:7">
      <c r="A631">
        <v>6596</v>
      </c>
      <c r="B631" t="s">
        <v>1874</v>
      </c>
      <c r="C631">
        <v>16.29</v>
      </c>
      <c r="D631">
        <v>0.5</v>
      </c>
      <c r="E631">
        <v>111</v>
      </c>
      <c r="F631">
        <v>0.98</v>
      </c>
      <c r="G631">
        <v>2.42</v>
      </c>
    </row>
    <row r="632" spans="1:7">
      <c r="A632">
        <v>6603</v>
      </c>
      <c r="B632" t="s">
        <v>1875</v>
      </c>
      <c r="C632">
        <v>68.48</v>
      </c>
      <c r="D632">
        <v>0.6</v>
      </c>
      <c r="E632">
        <v>111</v>
      </c>
      <c r="F632">
        <v>3.81</v>
      </c>
      <c r="G632">
        <v>1.1000000000000001</v>
      </c>
    </row>
    <row r="633" spans="1:7">
      <c r="A633">
        <v>6609</v>
      </c>
      <c r="B633" t="s">
        <v>1876</v>
      </c>
      <c r="C633">
        <v>12.27</v>
      </c>
      <c r="D633">
        <v>3</v>
      </c>
      <c r="E633">
        <v>111</v>
      </c>
      <c r="F633">
        <v>9.5500000000000007</v>
      </c>
      <c r="G633">
        <v>0.97</v>
      </c>
    </row>
    <row r="634" spans="1:7">
      <c r="A634">
        <v>6612</v>
      </c>
      <c r="B634" t="s">
        <v>1877</v>
      </c>
      <c r="C634">
        <v>33.78</v>
      </c>
      <c r="D634">
        <v>1</v>
      </c>
      <c r="E634">
        <v>111</v>
      </c>
      <c r="F634">
        <v>0.79</v>
      </c>
      <c r="G634">
        <v>4.29</v>
      </c>
    </row>
    <row r="635" spans="1:7">
      <c r="A635">
        <v>6613</v>
      </c>
      <c r="B635" t="s">
        <v>1878</v>
      </c>
      <c r="C635">
        <v>10.87</v>
      </c>
      <c r="D635">
        <v>8.4930014800000002</v>
      </c>
      <c r="E635">
        <v>111</v>
      </c>
      <c r="F635">
        <v>6.04</v>
      </c>
      <c r="G635">
        <v>2.75</v>
      </c>
    </row>
    <row r="636" spans="1:7">
      <c r="A636">
        <v>6615</v>
      </c>
      <c r="B636" t="s">
        <v>1879</v>
      </c>
      <c r="C636">
        <v>25.63</v>
      </c>
      <c r="D636">
        <v>1</v>
      </c>
      <c r="E636">
        <v>111</v>
      </c>
      <c r="F636">
        <v>2.44</v>
      </c>
      <c r="G636">
        <v>1.41</v>
      </c>
    </row>
    <row r="637" spans="1:7">
      <c r="A637">
        <v>6616</v>
      </c>
      <c r="B637" t="s">
        <v>1880</v>
      </c>
      <c r="C637" t="s">
        <v>1259</v>
      </c>
      <c r="D637">
        <v>0.6</v>
      </c>
      <c r="E637">
        <v>111</v>
      </c>
      <c r="F637">
        <v>4.4000000000000004</v>
      </c>
      <c r="G637">
        <v>1.03</v>
      </c>
    </row>
    <row r="638" spans="1:7">
      <c r="A638">
        <v>6624</v>
      </c>
      <c r="B638" t="s">
        <v>1881</v>
      </c>
      <c r="C638">
        <v>24.7</v>
      </c>
      <c r="D638">
        <v>1.8</v>
      </c>
      <c r="E638">
        <v>111</v>
      </c>
      <c r="F638">
        <v>3.98</v>
      </c>
      <c r="G638">
        <v>2.61</v>
      </c>
    </row>
    <row r="639" spans="1:7">
      <c r="A639">
        <v>6629</v>
      </c>
      <c r="B639" t="s">
        <v>1882</v>
      </c>
      <c r="C639">
        <v>13.28</v>
      </c>
      <c r="D639">
        <v>2.27</v>
      </c>
      <c r="E639">
        <v>111</v>
      </c>
      <c r="F639">
        <v>4.16</v>
      </c>
      <c r="G639">
        <v>1.82</v>
      </c>
    </row>
    <row r="640" spans="1:7">
      <c r="A640">
        <v>6640</v>
      </c>
      <c r="B640" t="s">
        <v>1883</v>
      </c>
      <c r="C640">
        <v>77.010000000000005</v>
      </c>
      <c r="D640">
        <v>6</v>
      </c>
      <c r="E640">
        <v>111</v>
      </c>
      <c r="F640">
        <v>4.17</v>
      </c>
      <c r="G640">
        <v>3.61</v>
      </c>
    </row>
    <row r="641" spans="1:7">
      <c r="A641">
        <v>6642</v>
      </c>
      <c r="B641" t="s">
        <v>1884</v>
      </c>
      <c r="C641">
        <v>29.68</v>
      </c>
      <c r="D641">
        <v>3.6</v>
      </c>
      <c r="E641">
        <v>111</v>
      </c>
      <c r="F641">
        <v>7.83</v>
      </c>
      <c r="G641">
        <v>1.74</v>
      </c>
    </row>
    <row r="642" spans="1:7">
      <c r="A642">
        <v>6643</v>
      </c>
      <c r="B642" t="s">
        <v>1885</v>
      </c>
      <c r="C642">
        <v>77.319999999999993</v>
      </c>
      <c r="D642">
        <v>9</v>
      </c>
      <c r="E642">
        <v>111</v>
      </c>
      <c r="F642">
        <v>0.85</v>
      </c>
      <c r="G642">
        <v>18.940000000000001</v>
      </c>
    </row>
    <row r="643" spans="1:7">
      <c r="A643">
        <v>6649</v>
      </c>
      <c r="B643" t="s">
        <v>1886</v>
      </c>
      <c r="C643">
        <v>100.97</v>
      </c>
      <c r="D643">
        <v>0.2</v>
      </c>
      <c r="E643">
        <v>111</v>
      </c>
      <c r="F643">
        <v>0.64</v>
      </c>
      <c r="G643">
        <v>2.0699999999999998</v>
      </c>
    </row>
    <row r="644" spans="1:7">
      <c r="A644">
        <v>6651</v>
      </c>
      <c r="B644" t="s">
        <v>1887</v>
      </c>
      <c r="C644">
        <v>11.6</v>
      </c>
      <c r="D644">
        <v>6</v>
      </c>
      <c r="E644">
        <v>111</v>
      </c>
      <c r="F644">
        <v>7.39</v>
      </c>
      <c r="G644">
        <v>2.46</v>
      </c>
    </row>
    <row r="645" spans="1:7">
      <c r="A645">
        <v>6654</v>
      </c>
      <c r="B645" t="s">
        <v>1888</v>
      </c>
      <c r="C645" t="s">
        <v>1259</v>
      </c>
      <c r="D645">
        <v>1</v>
      </c>
      <c r="E645">
        <v>111</v>
      </c>
      <c r="F645">
        <v>2.2799999999999998</v>
      </c>
      <c r="G645">
        <v>1.65</v>
      </c>
    </row>
    <row r="646" spans="1:7">
      <c r="A646">
        <v>6661</v>
      </c>
      <c r="B646" t="s">
        <v>1889</v>
      </c>
      <c r="C646" t="s">
        <v>1259</v>
      </c>
      <c r="D646">
        <v>0.18143885000000001</v>
      </c>
      <c r="E646">
        <v>111</v>
      </c>
      <c r="F646">
        <v>0.81</v>
      </c>
      <c r="G646">
        <v>1.75</v>
      </c>
    </row>
    <row r="647" spans="1:7">
      <c r="A647">
        <v>6662</v>
      </c>
      <c r="B647" t="s">
        <v>1890</v>
      </c>
      <c r="C647">
        <v>19.079999999999998</v>
      </c>
      <c r="D647">
        <v>1.5</v>
      </c>
      <c r="E647">
        <v>111</v>
      </c>
      <c r="F647">
        <v>4.5199999999999996</v>
      </c>
      <c r="G647">
        <v>1.9</v>
      </c>
    </row>
    <row r="648" spans="1:7">
      <c r="A648">
        <v>6664</v>
      </c>
      <c r="B648" t="s">
        <v>1891</v>
      </c>
      <c r="C648">
        <v>11.78</v>
      </c>
      <c r="D648">
        <v>6.8278124299999998</v>
      </c>
      <c r="E648">
        <v>111</v>
      </c>
      <c r="F648">
        <v>4.43</v>
      </c>
      <c r="G648">
        <v>3.11</v>
      </c>
    </row>
    <row r="649" spans="1:7">
      <c r="A649">
        <v>6667</v>
      </c>
      <c r="B649" t="s">
        <v>1892</v>
      </c>
      <c r="C649">
        <v>16.96</v>
      </c>
      <c r="D649">
        <v>4.24</v>
      </c>
      <c r="E649">
        <v>111</v>
      </c>
      <c r="F649">
        <v>3.66</v>
      </c>
      <c r="G649">
        <v>3.59</v>
      </c>
    </row>
    <row r="650" spans="1:7">
      <c r="A650">
        <v>6679</v>
      </c>
      <c r="B650" t="s">
        <v>1893</v>
      </c>
      <c r="C650">
        <v>71.650000000000006</v>
      </c>
      <c r="D650">
        <v>9</v>
      </c>
      <c r="E650">
        <v>111</v>
      </c>
      <c r="F650">
        <v>1.98</v>
      </c>
      <c r="G650">
        <v>4.91</v>
      </c>
    </row>
    <row r="651" spans="1:7">
      <c r="A651">
        <v>6680</v>
      </c>
      <c r="B651" t="s">
        <v>1894</v>
      </c>
      <c r="C651">
        <v>22.91</v>
      </c>
      <c r="D651">
        <v>2.99276718</v>
      </c>
      <c r="E651">
        <v>111</v>
      </c>
      <c r="F651">
        <v>3.52</v>
      </c>
      <c r="G651">
        <v>3.91</v>
      </c>
    </row>
    <row r="652" spans="1:7">
      <c r="A652">
        <v>6683</v>
      </c>
      <c r="B652" t="s">
        <v>1895</v>
      </c>
      <c r="C652">
        <v>23.83</v>
      </c>
      <c r="D652">
        <v>7.5022044699999997</v>
      </c>
      <c r="E652">
        <v>111</v>
      </c>
      <c r="F652">
        <v>2.4</v>
      </c>
      <c r="G652">
        <v>3.97</v>
      </c>
    </row>
    <row r="653" spans="1:7">
      <c r="A653">
        <v>6684</v>
      </c>
      <c r="B653" t="s">
        <v>1896</v>
      </c>
      <c r="C653" t="s">
        <v>1259</v>
      </c>
      <c r="D653">
        <v>0.97721131999999999</v>
      </c>
      <c r="E653">
        <v>111</v>
      </c>
      <c r="F653">
        <v>1.22</v>
      </c>
      <c r="G653">
        <v>1.95</v>
      </c>
    </row>
    <row r="654" spans="1:7">
      <c r="A654">
        <v>6690</v>
      </c>
      <c r="B654" t="s">
        <v>1897</v>
      </c>
      <c r="C654">
        <v>23.28</v>
      </c>
      <c r="D654">
        <v>4.5</v>
      </c>
      <c r="E654">
        <v>111</v>
      </c>
      <c r="F654">
        <v>2.34</v>
      </c>
      <c r="G654">
        <v>3.43</v>
      </c>
    </row>
    <row r="655" spans="1:7">
      <c r="A655">
        <v>6693</v>
      </c>
      <c r="B655" t="s">
        <v>1898</v>
      </c>
      <c r="C655" t="s">
        <v>1259</v>
      </c>
      <c r="D655">
        <v>2</v>
      </c>
      <c r="E655">
        <v>111</v>
      </c>
      <c r="F655">
        <v>2.95</v>
      </c>
      <c r="G655">
        <v>2.77</v>
      </c>
    </row>
    <row r="656" spans="1:7">
      <c r="A656">
        <v>6697</v>
      </c>
      <c r="B656" t="s">
        <v>1899</v>
      </c>
      <c r="C656">
        <v>24.05</v>
      </c>
      <c r="D656">
        <v>1.6</v>
      </c>
      <c r="E656">
        <v>111</v>
      </c>
      <c r="F656">
        <v>3.23</v>
      </c>
      <c r="G656">
        <v>2.38</v>
      </c>
    </row>
    <row r="657" spans="1:7">
      <c r="A657">
        <v>6703</v>
      </c>
      <c r="B657" t="s">
        <v>1900</v>
      </c>
      <c r="C657">
        <v>22.03</v>
      </c>
      <c r="D657">
        <v>7.0292984399999998</v>
      </c>
      <c r="E657">
        <v>111</v>
      </c>
      <c r="F657">
        <v>2.46</v>
      </c>
      <c r="G657">
        <v>6.68</v>
      </c>
    </row>
    <row r="658" spans="1:7">
      <c r="A658">
        <v>6708</v>
      </c>
      <c r="B658" t="s">
        <v>1901</v>
      </c>
      <c r="C658" t="s">
        <v>1259</v>
      </c>
      <c r="D658">
        <v>0.9</v>
      </c>
      <c r="E658">
        <v>111</v>
      </c>
      <c r="F658">
        <v>1.8</v>
      </c>
      <c r="G658">
        <v>3.38</v>
      </c>
    </row>
    <row r="659" spans="1:7">
      <c r="A659">
        <v>6712</v>
      </c>
      <c r="B659" t="s">
        <v>1902</v>
      </c>
      <c r="C659">
        <v>25.72</v>
      </c>
      <c r="D659">
        <v>2.9894712600000002</v>
      </c>
      <c r="E659">
        <v>111</v>
      </c>
      <c r="F659">
        <v>1.53</v>
      </c>
      <c r="G659">
        <v>8.2200000000000006</v>
      </c>
    </row>
    <row r="660" spans="1:7">
      <c r="A660">
        <v>6716</v>
      </c>
      <c r="B660" t="s">
        <v>1903</v>
      </c>
      <c r="C660">
        <v>125.24</v>
      </c>
      <c r="D660">
        <v>5.5</v>
      </c>
      <c r="E660">
        <v>111</v>
      </c>
      <c r="F660">
        <v>4.26</v>
      </c>
      <c r="G660">
        <v>5.56</v>
      </c>
    </row>
    <row r="661" spans="1:7">
      <c r="A661">
        <v>6721</v>
      </c>
      <c r="B661" t="s">
        <v>1904</v>
      </c>
      <c r="C661">
        <v>14.04</v>
      </c>
      <c r="D661">
        <v>2.4</v>
      </c>
      <c r="E661">
        <v>111</v>
      </c>
      <c r="F661">
        <v>4.7</v>
      </c>
      <c r="G661">
        <v>2.0499999999999998</v>
      </c>
    </row>
    <row r="662" spans="1:7">
      <c r="A662">
        <v>6727</v>
      </c>
      <c r="B662" t="s">
        <v>1905</v>
      </c>
      <c r="C662">
        <v>15.85</v>
      </c>
      <c r="D662">
        <v>3.9708677200000002</v>
      </c>
      <c r="E662">
        <v>111</v>
      </c>
      <c r="F662">
        <v>6.75</v>
      </c>
      <c r="G662">
        <v>1.36</v>
      </c>
    </row>
    <row r="663" spans="1:7">
      <c r="A663">
        <v>6728</v>
      </c>
      <c r="B663" t="s">
        <v>1906</v>
      </c>
      <c r="C663">
        <v>15.35</v>
      </c>
      <c r="D663">
        <v>10</v>
      </c>
      <c r="E663">
        <v>111</v>
      </c>
      <c r="F663">
        <v>7.25</v>
      </c>
      <c r="G663">
        <v>3.41</v>
      </c>
    </row>
    <row r="664" spans="1:7">
      <c r="A664">
        <v>6732</v>
      </c>
      <c r="B664" t="s">
        <v>1907</v>
      </c>
      <c r="C664">
        <v>36.64</v>
      </c>
      <c r="D664">
        <v>15</v>
      </c>
      <c r="E664">
        <v>111</v>
      </c>
      <c r="F664">
        <v>3.46</v>
      </c>
      <c r="G664">
        <v>4.95</v>
      </c>
    </row>
    <row r="665" spans="1:7">
      <c r="A665">
        <v>6733</v>
      </c>
      <c r="B665" t="s">
        <v>1908</v>
      </c>
      <c r="C665" t="s">
        <v>1259</v>
      </c>
      <c r="D665">
        <v>0</v>
      </c>
      <c r="E665">
        <v>111</v>
      </c>
      <c r="F665">
        <v>0</v>
      </c>
      <c r="G665">
        <v>4.84</v>
      </c>
    </row>
    <row r="666" spans="1:7">
      <c r="A666">
        <v>6735</v>
      </c>
      <c r="B666" t="s">
        <v>1909</v>
      </c>
      <c r="C666" t="s">
        <v>1259</v>
      </c>
      <c r="D666">
        <v>2.9</v>
      </c>
      <c r="E666">
        <v>111</v>
      </c>
      <c r="F666">
        <v>5.37</v>
      </c>
      <c r="G666">
        <v>2.48</v>
      </c>
    </row>
    <row r="667" spans="1:7">
      <c r="A667">
        <v>6741</v>
      </c>
      <c r="B667" t="s">
        <v>1910</v>
      </c>
      <c r="C667">
        <v>30.43</v>
      </c>
      <c r="D667">
        <v>0.7</v>
      </c>
      <c r="E667">
        <v>111</v>
      </c>
      <c r="F667">
        <v>0.67</v>
      </c>
      <c r="G667">
        <v>4.46</v>
      </c>
    </row>
    <row r="668" spans="1:7">
      <c r="A668">
        <v>6747</v>
      </c>
      <c r="B668" t="s">
        <v>1911</v>
      </c>
      <c r="C668">
        <v>23.19</v>
      </c>
      <c r="D668">
        <v>9.0950431999999992</v>
      </c>
      <c r="E668">
        <v>111</v>
      </c>
      <c r="F668">
        <v>4.8</v>
      </c>
      <c r="G668">
        <v>3.64</v>
      </c>
    </row>
    <row r="669" spans="1:7">
      <c r="A669">
        <v>6751</v>
      </c>
      <c r="B669" t="s">
        <v>1912</v>
      </c>
      <c r="C669">
        <v>22.2</v>
      </c>
      <c r="D669">
        <v>3</v>
      </c>
      <c r="E669">
        <v>111</v>
      </c>
      <c r="F669">
        <v>3.62</v>
      </c>
      <c r="G669">
        <v>2.08</v>
      </c>
    </row>
    <row r="670" spans="1:7">
      <c r="A670">
        <v>6752</v>
      </c>
      <c r="B670" t="s">
        <v>1913</v>
      </c>
      <c r="C670">
        <v>24.55</v>
      </c>
      <c r="D670">
        <v>3.4</v>
      </c>
      <c r="E670">
        <v>111</v>
      </c>
      <c r="F670">
        <v>2.4900000000000002</v>
      </c>
      <c r="G670">
        <v>4.58</v>
      </c>
    </row>
    <row r="671" spans="1:7">
      <c r="A671">
        <v>6761</v>
      </c>
      <c r="B671" t="s">
        <v>1914</v>
      </c>
      <c r="C671">
        <v>16.34</v>
      </c>
      <c r="D671">
        <v>5.5997648</v>
      </c>
      <c r="E671">
        <v>111</v>
      </c>
      <c r="F671">
        <v>7.42</v>
      </c>
      <c r="G671">
        <v>1.96</v>
      </c>
    </row>
    <row r="672" spans="1:7">
      <c r="A672">
        <v>6762</v>
      </c>
      <c r="B672" t="s">
        <v>1915</v>
      </c>
      <c r="C672">
        <v>55.46</v>
      </c>
      <c r="D672">
        <v>1</v>
      </c>
      <c r="E672">
        <v>111</v>
      </c>
      <c r="F672">
        <v>0.37</v>
      </c>
      <c r="G672">
        <v>5.64</v>
      </c>
    </row>
    <row r="673" spans="1:7">
      <c r="A673">
        <v>6763</v>
      </c>
      <c r="B673" t="s">
        <v>1916</v>
      </c>
      <c r="C673">
        <v>21.24</v>
      </c>
      <c r="D673">
        <v>15.10000003</v>
      </c>
      <c r="E673">
        <v>111</v>
      </c>
      <c r="F673">
        <v>3.29</v>
      </c>
      <c r="G673">
        <v>2.95</v>
      </c>
    </row>
    <row r="674" spans="1:7">
      <c r="A674">
        <v>6767</v>
      </c>
      <c r="B674" t="s">
        <v>1917</v>
      </c>
      <c r="C674">
        <v>300.42</v>
      </c>
      <c r="D674">
        <v>0</v>
      </c>
      <c r="E674">
        <v>111</v>
      </c>
      <c r="F674">
        <v>0</v>
      </c>
      <c r="G674">
        <v>2.78</v>
      </c>
    </row>
    <row r="675" spans="1:7">
      <c r="A675">
        <v>6788</v>
      </c>
      <c r="B675" t="s">
        <v>1918</v>
      </c>
      <c r="C675">
        <v>13.61</v>
      </c>
      <c r="D675">
        <v>8</v>
      </c>
      <c r="E675">
        <v>111</v>
      </c>
      <c r="F675">
        <v>6.2</v>
      </c>
      <c r="G675">
        <v>2.93</v>
      </c>
    </row>
    <row r="676" spans="1:7">
      <c r="A676">
        <v>6791</v>
      </c>
      <c r="B676" t="s">
        <v>1919</v>
      </c>
      <c r="C676">
        <v>21.53</v>
      </c>
      <c r="D676">
        <v>3.1808627600000001</v>
      </c>
      <c r="E676">
        <v>111</v>
      </c>
      <c r="F676">
        <v>3.7</v>
      </c>
      <c r="G676">
        <v>4.07</v>
      </c>
    </row>
    <row r="677" spans="1:7">
      <c r="A677">
        <v>6803</v>
      </c>
      <c r="B677" t="s">
        <v>1920</v>
      </c>
      <c r="C677">
        <v>18.41</v>
      </c>
      <c r="D677">
        <v>13.50609174</v>
      </c>
      <c r="E677">
        <v>111</v>
      </c>
      <c r="F677">
        <v>4.38</v>
      </c>
      <c r="G677">
        <v>3.61</v>
      </c>
    </row>
    <row r="678" spans="1:7">
      <c r="A678">
        <v>6804</v>
      </c>
      <c r="B678" t="s">
        <v>1921</v>
      </c>
      <c r="C678">
        <v>11.54</v>
      </c>
      <c r="D678">
        <v>2.6</v>
      </c>
      <c r="E678">
        <v>111</v>
      </c>
      <c r="F678">
        <v>4.74</v>
      </c>
      <c r="G678">
        <v>1.38</v>
      </c>
    </row>
    <row r="679" spans="1:7">
      <c r="A679">
        <v>6811</v>
      </c>
      <c r="B679" t="s">
        <v>1922</v>
      </c>
      <c r="C679">
        <v>24.87</v>
      </c>
      <c r="D679">
        <v>7.5</v>
      </c>
      <c r="E679">
        <v>111</v>
      </c>
      <c r="F679">
        <v>2.54</v>
      </c>
      <c r="G679">
        <v>6.57</v>
      </c>
    </row>
    <row r="680" spans="1:7">
      <c r="A680">
        <v>6821</v>
      </c>
      <c r="B680" t="s">
        <v>2105</v>
      </c>
      <c r="C680">
        <v>25.82</v>
      </c>
      <c r="D680">
        <v>2.0099999999999998</v>
      </c>
      <c r="E680">
        <v>111</v>
      </c>
      <c r="F680">
        <v>4.42</v>
      </c>
      <c r="G680">
        <v>2.1800000000000002</v>
      </c>
    </row>
    <row r="681" spans="1:7">
      <c r="A681">
        <v>6823</v>
      </c>
      <c r="B681" t="s">
        <v>1923</v>
      </c>
      <c r="C681" t="s">
        <v>1259</v>
      </c>
      <c r="D681">
        <v>3</v>
      </c>
      <c r="E681">
        <v>111</v>
      </c>
      <c r="F681">
        <v>4.4800000000000004</v>
      </c>
      <c r="G681">
        <v>2.5</v>
      </c>
    </row>
    <row r="682" spans="1:7">
      <c r="A682">
        <v>6829</v>
      </c>
      <c r="B682" t="s">
        <v>1924</v>
      </c>
      <c r="C682">
        <v>29.25</v>
      </c>
      <c r="D682">
        <v>5.4</v>
      </c>
      <c r="E682">
        <v>111</v>
      </c>
      <c r="F682">
        <v>4.9800000000000004</v>
      </c>
      <c r="G682">
        <v>3.52</v>
      </c>
    </row>
    <row r="683" spans="1:7">
      <c r="A683">
        <v>6840</v>
      </c>
      <c r="B683" t="s">
        <v>2068</v>
      </c>
      <c r="C683" t="s">
        <v>1259</v>
      </c>
      <c r="D683">
        <v>2.7284595299999999</v>
      </c>
      <c r="E683">
        <v>111</v>
      </c>
      <c r="F683">
        <v>3.77</v>
      </c>
      <c r="G683">
        <v>2.17</v>
      </c>
    </row>
    <row r="684" spans="1:7">
      <c r="A684">
        <v>6841</v>
      </c>
      <c r="B684" t="s">
        <v>2106</v>
      </c>
      <c r="C684">
        <v>69.42</v>
      </c>
      <c r="D684">
        <v>2</v>
      </c>
      <c r="E684">
        <v>111</v>
      </c>
      <c r="F684">
        <v>2.0699999999999998</v>
      </c>
      <c r="G684">
        <v>4.67</v>
      </c>
    </row>
    <row r="685" spans="1:7">
      <c r="A685">
        <v>6843</v>
      </c>
      <c r="B685" t="s">
        <v>1925</v>
      </c>
      <c r="C685">
        <v>15.15</v>
      </c>
      <c r="D685">
        <v>2.5</v>
      </c>
      <c r="E685">
        <v>111</v>
      </c>
      <c r="F685">
        <v>3.85</v>
      </c>
      <c r="G685">
        <v>2.7</v>
      </c>
    </row>
    <row r="686" spans="1:7">
      <c r="A686">
        <v>6846</v>
      </c>
      <c r="B686" t="s">
        <v>2107</v>
      </c>
      <c r="C686">
        <v>16.559999999999999</v>
      </c>
      <c r="D686">
        <v>3.9</v>
      </c>
      <c r="E686">
        <v>111</v>
      </c>
      <c r="F686">
        <v>4.9400000000000004</v>
      </c>
      <c r="G686">
        <v>2.78</v>
      </c>
    </row>
    <row r="687" spans="1:7">
      <c r="A687">
        <v>6855</v>
      </c>
      <c r="B687" t="s">
        <v>1926</v>
      </c>
      <c r="C687">
        <v>15.56</v>
      </c>
      <c r="D687">
        <v>4.5</v>
      </c>
      <c r="E687">
        <v>111</v>
      </c>
      <c r="F687">
        <v>4.4800000000000004</v>
      </c>
      <c r="G687">
        <v>2.97</v>
      </c>
    </row>
    <row r="688" spans="1:7">
      <c r="A688">
        <v>6856</v>
      </c>
      <c r="B688" t="s">
        <v>2108</v>
      </c>
      <c r="C688">
        <v>13.93</v>
      </c>
      <c r="D688">
        <v>4</v>
      </c>
      <c r="E688">
        <v>111</v>
      </c>
      <c r="F688">
        <v>5.93</v>
      </c>
      <c r="G688">
        <v>3.42</v>
      </c>
    </row>
    <row r="689" spans="1:7">
      <c r="A689">
        <v>6859</v>
      </c>
      <c r="B689" t="s">
        <v>1927</v>
      </c>
      <c r="C689">
        <v>29.21</v>
      </c>
      <c r="D689">
        <v>3</v>
      </c>
      <c r="E689">
        <v>111</v>
      </c>
      <c r="F689">
        <v>2.37</v>
      </c>
      <c r="G689">
        <v>2.69</v>
      </c>
    </row>
    <row r="690" spans="1:7">
      <c r="A690">
        <v>6865</v>
      </c>
      <c r="B690" t="s">
        <v>2109</v>
      </c>
      <c r="C690">
        <v>24.34</v>
      </c>
      <c r="D690">
        <v>2.8</v>
      </c>
      <c r="E690">
        <v>111</v>
      </c>
      <c r="F690">
        <v>4.46</v>
      </c>
      <c r="G690">
        <v>2.5</v>
      </c>
    </row>
    <row r="691" spans="1:7">
      <c r="A691">
        <v>6870</v>
      </c>
      <c r="B691" t="s">
        <v>2070</v>
      </c>
      <c r="C691">
        <v>47.22</v>
      </c>
      <c r="D691">
        <v>3</v>
      </c>
      <c r="E691">
        <v>111</v>
      </c>
      <c r="F691">
        <v>1.96</v>
      </c>
      <c r="G691">
        <v>3.6</v>
      </c>
    </row>
    <row r="692" spans="1:7">
      <c r="A692">
        <v>6874</v>
      </c>
      <c r="B692" t="s">
        <v>1928</v>
      </c>
      <c r="C692">
        <v>25.9</v>
      </c>
      <c r="D692">
        <v>3.8</v>
      </c>
      <c r="E692">
        <v>111</v>
      </c>
      <c r="F692">
        <v>3.1</v>
      </c>
      <c r="G692">
        <v>5.79</v>
      </c>
    </row>
    <row r="693" spans="1:7">
      <c r="A693">
        <v>6877</v>
      </c>
      <c r="B693" t="s">
        <v>2110</v>
      </c>
      <c r="C693">
        <v>65</v>
      </c>
      <c r="D693">
        <v>0.7</v>
      </c>
      <c r="E693">
        <v>111</v>
      </c>
      <c r="F693">
        <v>1.92</v>
      </c>
      <c r="G693">
        <v>2.11</v>
      </c>
    </row>
    <row r="694" spans="1:7">
      <c r="A694">
        <v>6894</v>
      </c>
      <c r="B694" t="s">
        <v>2111</v>
      </c>
      <c r="C694">
        <v>21.07</v>
      </c>
      <c r="D694">
        <v>7</v>
      </c>
      <c r="E694">
        <v>111</v>
      </c>
      <c r="F694">
        <v>4.3499999999999996</v>
      </c>
      <c r="G694">
        <v>3.51</v>
      </c>
    </row>
    <row r="695" spans="1:7">
      <c r="A695">
        <v>6895</v>
      </c>
      <c r="B695" t="s">
        <v>2112</v>
      </c>
      <c r="C695">
        <v>37.799999999999997</v>
      </c>
      <c r="D695">
        <v>3.45</v>
      </c>
      <c r="E695">
        <v>111</v>
      </c>
      <c r="F695">
        <v>3.09</v>
      </c>
      <c r="G695">
        <v>3.88</v>
      </c>
    </row>
    <row r="696" spans="1:7">
      <c r="A696">
        <v>6904</v>
      </c>
      <c r="B696" t="s">
        <v>2113</v>
      </c>
      <c r="C696">
        <v>14.88</v>
      </c>
      <c r="D696">
        <v>3.7</v>
      </c>
      <c r="E696">
        <v>111</v>
      </c>
      <c r="F696">
        <v>2.36</v>
      </c>
      <c r="G696">
        <v>3.52</v>
      </c>
    </row>
    <row r="697" spans="1:7">
      <c r="A697">
        <v>6922</v>
      </c>
      <c r="B697" t="s">
        <v>2114</v>
      </c>
      <c r="C697">
        <v>21.33</v>
      </c>
      <c r="D697">
        <v>5.7037411499999999</v>
      </c>
      <c r="E697">
        <v>111</v>
      </c>
      <c r="F697">
        <v>5.38</v>
      </c>
      <c r="G697">
        <v>3.98</v>
      </c>
    </row>
    <row r="698" spans="1:7">
      <c r="A698">
        <v>7402</v>
      </c>
      <c r="B698" t="s">
        <v>1929</v>
      </c>
      <c r="C698">
        <v>64.66</v>
      </c>
      <c r="D698">
        <v>1.6576163900000001</v>
      </c>
      <c r="E698">
        <v>111</v>
      </c>
      <c r="F698">
        <v>2.17</v>
      </c>
      <c r="G698">
        <v>3.96</v>
      </c>
    </row>
    <row r="699" spans="1:7">
      <c r="A699">
        <v>7556</v>
      </c>
      <c r="B699" t="s">
        <v>1930</v>
      </c>
      <c r="C699">
        <v>21.92</v>
      </c>
      <c r="D699">
        <v>3.5</v>
      </c>
      <c r="E699">
        <v>111</v>
      </c>
      <c r="F699">
        <v>3.23</v>
      </c>
      <c r="G699">
        <v>3.01</v>
      </c>
    </row>
    <row r="700" spans="1:7">
      <c r="A700">
        <v>8024</v>
      </c>
      <c r="B700" t="s">
        <v>1931</v>
      </c>
      <c r="C700" t="s">
        <v>1259</v>
      </c>
      <c r="D700">
        <v>2</v>
      </c>
      <c r="E700">
        <v>111</v>
      </c>
      <c r="F700">
        <v>9.1300000000000008</v>
      </c>
      <c r="G700">
        <v>1.62</v>
      </c>
    </row>
    <row r="701" spans="1:7">
      <c r="A701">
        <v>8027</v>
      </c>
      <c r="B701" t="s">
        <v>1932</v>
      </c>
      <c r="C701">
        <v>159.27000000000001</v>
      </c>
      <c r="D701">
        <v>2.0030114999999999</v>
      </c>
      <c r="E701">
        <v>111</v>
      </c>
      <c r="F701">
        <v>3.07</v>
      </c>
      <c r="G701">
        <v>2.71</v>
      </c>
    </row>
    <row r="702" spans="1:7">
      <c r="A702">
        <v>8032</v>
      </c>
      <c r="B702" t="s">
        <v>1933</v>
      </c>
      <c r="C702">
        <v>22.03</v>
      </c>
      <c r="D702">
        <v>2.2000000000000002</v>
      </c>
      <c r="E702">
        <v>111</v>
      </c>
      <c r="F702">
        <v>7.51</v>
      </c>
      <c r="G702">
        <v>0.82</v>
      </c>
    </row>
    <row r="703" spans="1:7">
      <c r="A703">
        <v>8034</v>
      </c>
      <c r="B703" t="s">
        <v>1934</v>
      </c>
      <c r="C703">
        <v>25.15</v>
      </c>
      <c r="D703">
        <v>0.6</v>
      </c>
      <c r="E703">
        <v>111</v>
      </c>
      <c r="F703">
        <v>2.39</v>
      </c>
      <c r="G703">
        <v>2.25</v>
      </c>
    </row>
    <row r="704" spans="1:7">
      <c r="A704">
        <v>8038</v>
      </c>
      <c r="B704" t="s">
        <v>1935</v>
      </c>
      <c r="C704">
        <v>123.17</v>
      </c>
      <c r="D704">
        <v>0</v>
      </c>
      <c r="E704">
        <v>111</v>
      </c>
      <c r="F704">
        <v>0</v>
      </c>
      <c r="G704">
        <v>4.53</v>
      </c>
    </row>
    <row r="705" spans="1:7">
      <c r="A705">
        <v>8040</v>
      </c>
      <c r="B705" t="s">
        <v>1936</v>
      </c>
      <c r="C705">
        <v>345.71</v>
      </c>
      <c r="D705">
        <v>1.2</v>
      </c>
      <c r="E705">
        <v>111</v>
      </c>
      <c r="F705">
        <v>2.48</v>
      </c>
      <c r="G705">
        <v>4.49</v>
      </c>
    </row>
    <row r="706" spans="1:7">
      <c r="A706">
        <v>8042</v>
      </c>
      <c r="B706" t="s">
        <v>1937</v>
      </c>
      <c r="C706">
        <v>392</v>
      </c>
      <c r="D706">
        <v>1.5</v>
      </c>
      <c r="E706">
        <v>111</v>
      </c>
      <c r="F706">
        <v>3.83</v>
      </c>
      <c r="G706">
        <v>1.28</v>
      </c>
    </row>
    <row r="707" spans="1:7">
      <c r="A707">
        <v>8043</v>
      </c>
      <c r="B707" t="s">
        <v>1938</v>
      </c>
      <c r="C707">
        <v>215.77</v>
      </c>
      <c r="D707">
        <v>1.08</v>
      </c>
      <c r="E707">
        <v>111</v>
      </c>
      <c r="F707">
        <v>3.85</v>
      </c>
      <c r="G707">
        <v>0.86</v>
      </c>
    </row>
    <row r="708" spans="1:7">
      <c r="A708">
        <v>8044</v>
      </c>
      <c r="B708" t="s">
        <v>1939</v>
      </c>
      <c r="C708" t="s">
        <v>1259</v>
      </c>
      <c r="D708">
        <v>0</v>
      </c>
      <c r="E708">
        <v>111</v>
      </c>
      <c r="F708">
        <v>0</v>
      </c>
      <c r="G708">
        <v>0.92</v>
      </c>
    </row>
    <row r="709" spans="1:7">
      <c r="A709">
        <v>8047</v>
      </c>
      <c r="B709" t="s">
        <v>1940</v>
      </c>
      <c r="C709" t="s">
        <v>1259</v>
      </c>
      <c r="D709">
        <v>0</v>
      </c>
      <c r="E709">
        <v>111</v>
      </c>
      <c r="F709">
        <v>0</v>
      </c>
      <c r="G709">
        <v>1.1100000000000001</v>
      </c>
    </row>
    <row r="710" spans="1:7">
      <c r="A710">
        <v>8048</v>
      </c>
      <c r="B710" t="s">
        <v>1941</v>
      </c>
      <c r="C710">
        <v>16.420000000000002</v>
      </c>
      <c r="D710">
        <v>2.5</v>
      </c>
      <c r="E710">
        <v>111</v>
      </c>
      <c r="F710">
        <v>3.69</v>
      </c>
      <c r="G710">
        <v>3.3</v>
      </c>
    </row>
    <row r="711" spans="1:7">
      <c r="A711">
        <v>8049</v>
      </c>
      <c r="B711" t="s">
        <v>1942</v>
      </c>
      <c r="C711">
        <v>10.09</v>
      </c>
      <c r="D711">
        <v>3</v>
      </c>
      <c r="E711">
        <v>111</v>
      </c>
      <c r="F711">
        <v>7.78</v>
      </c>
      <c r="G711">
        <v>2.13</v>
      </c>
    </row>
    <row r="712" spans="1:7">
      <c r="A712">
        <v>8050</v>
      </c>
      <c r="B712" t="s">
        <v>1943</v>
      </c>
      <c r="C712">
        <v>15.31</v>
      </c>
      <c r="D712">
        <v>5.5844502299999998</v>
      </c>
      <c r="E712">
        <v>111</v>
      </c>
      <c r="F712">
        <v>6.92</v>
      </c>
      <c r="G712">
        <v>2.09</v>
      </c>
    </row>
    <row r="713" spans="1:7">
      <c r="A713">
        <v>8054</v>
      </c>
      <c r="B713" t="s">
        <v>1944</v>
      </c>
      <c r="C713" t="s">
        <v>1259</v>
      </c>
      <c r="D713">
        <v>0.5</v>
      </c>
      <c r="E713">
        <v>111</v>
      </c>
      <c r="F713">
        <v>0.43</v>
      </c>
      <c r="G713">
        <v>3.75</v>
      </c>
    </row>
    <row r="714" spans="1:7">
      <c r="A714">
        <v>8059</v>
      </c>
      <c r="B714" t="s">
        <v>1945</v>
      </c>
      <c r="C714">
        <v>66.760000000000005</v>
      </c>
      <c r="D714">
        <v>0</v>
      </c>
      <c r="E714">
        <v>111</v>
      </c>
      <c r="F714">
        <v>0</v>
      </c>
      <c r="G714">
        <v>2.41</v>
      </c>
    </row>
    <row r="715" spans="1:7">
      <c r="A715">
        <v>8064</v>
      </c>
      <c r="B715" t="s">
        <v>1946</v>
      </c>
      <c r="C715">
        <v>15.91</v>
      </c>
      <c r="D715">
        <v>1.5</v>
      </c>
      <c r="E715">
        <v>111</v>
      </c>
      <c r="F715">
        <v>8.1300000000000008</v>
      </c>
      <c r="G715">
        <v>1.05</v>
      </c>
    </row>
    <row r="716" spans="1:7">
      <c r="A716">
        <v>8066</v>
      </c>
      <c r="B716" t="s">
        <v>1947</v>
      </c>
      <c r="C716">
        <v>80</v>
      </c>
      <c r="D716">
        <v>1</v>
      </c>
      <c r="E716">
        <v>111</v>
      </c>
      <c r="F716">
        <v>2.91</v>
      </c>
      <c r="G716">
        <v>1.78</v>
      </c>
    </row>
    <row r="717" spans="1:7">
      <c r="A717">
        <v>8067</v>
      </c>
      <c r="B717" t="s">
        <v>1948</v>
      </c>
      <c r="C717" t="s">
        <v>1259</v>
      </c>
      <c r="D717">
        <v>0</v>
      </c>
      <c r="E717">
        <v>111</v>
      </c>
      <c r="F717">
        <v>0</v>
      </c>
      <c r="G717">
        <v>1.63</v>
      </c>
    </row>
    <row r="718" spans="1:7">
      <c r="A718">
        <v>8068</v>
      </c>
      <c r="B718" t="s">
        <v>1949</v>
      </c>
      <c r="C718" t="s">
        <v>1259</v>
      </c>
      <c r="D718">
        <v>0</v>
      </c>
      <c r="E718">
        <v>111</v>
      </c>
      <c r="F718">
        <v>0</v>
      </c>
      <c r="G718">
        <v>3.62</v>
      </c>
    </row>
    <row r="719" spans="1:7">
      <c r="A719">
        <v>8069</v>
      </c>
      <c r="B719" t="s">
        <v>1950</v>
      </c>
      <c r="C719">
        <v>26.69</v>
      </c>
      <c r="D719">
        <v>4.5</v>
      </c>
      <c r="E719">
        <v>111</v>
      </c>
      <c r="F719">
        <v>2.2799999999999998</v>
      </c>
      <c r="G719">
        <v>4.8099999999999996</v>
      </c>
    </row>
    <row r="720" spans="1:7">
      <c r="A720">
        <v>8071</v>
      </c>
      <c r="B720" t="s">
        <v>1951</v>
      </c>
      <c r="C720" t="s">
        <v>1259</v>
      </c>
      <c r="D720">
        <v>0.5</v>
      </c>
      <c r="E720">
        <v>111</v>
      </c>
      <c r="F720">
        <v>3.46</v>
      </c>
      <c r="G720">
        <v>1.04</v>
      </c>
    </row>
    <row r="721" spans="1:7">
      <c r="A721">
        <v>8074</v>
      </c>
      <c r="B721" t="s">
        <v>1952</v>
      </c>
      <c r="C721">
        <v>5.81</v>
      </c>
      <c r="D721">
        <v>1.5</v>
      </c>
      <c r="E721">
        <v>111</v>
      </c>
      <c r="F721">
        <v>7.61</v>
      </c>
      <c r="G721">
        <v>1.06</v>
      </c>
    </row>
    <row r="722" spans="1:7">
      <c r="A722">
        <v>8076</v>
      </c>
      <c r="B722" t="s">
        <v>1953</v>
      </c>
      <c r="C722">
        <v>32.090000000000003</v>
      </c>
      <c r="D722">
        <v>1.0000000099999999</v>
      </c>
      <c r="E722">
        <v>111</v>
      </c>
      <c r="F722">
        <v>3.18</v>
      </c>
      <c r="G722">
        <v>2.16</v>
      </c>
    </row>
    <row r="723" spans="1:7">
      <c r="A723">
        <v>8077</v>
      </c>
      <c r="B723" t="s">
        <v>1954</v>
      </c>
      <c r="C723" t="s">
        <v>1259</v>
      </c>
      <c r="D723">
        <v>0</v>
      </c>
      <c r="E723">
        <v>111</v>
      </c>
      <c r="F723">
        <v>0</v>
      </c>
      <c r="G723">
        <v>3.95</v>
      </c>
    </row>
    <row r="724" spans="1:7">
      <c r="A724">
        <v>8083</v>
      </c>
      <c r="B724" t="s">
        <v>1956</v>
      </c>
      <c r="C724">
        <v>24.25</v>
      </c>
      <c r="D724">
        <v>10.199999999999999</v>
      </c>
      <c r="E724">
        <v>111</v>
      </c>
      <c r="F724">
        <v>6.99</v>
      </c>
      <c r="G724">
        <v>4.8099999999999996</v>
      </c>
    </row>
    <row r="725" spans="1:7">
      <c r="A725">
        <v>8084</v>
      </c>
      <c r="B725" t="s">
        <v>1957</v>
      </c>
      <c r="C725">
        <v>2886.67</v>
      </c>
      <c r="D725">
        <v>0</v>
      </c>
      <c r="E725">
        <v>111</v>
      </c>
      <c r="F725">
        <v>0</v>
      </c>
      <c r="G725">
        <v>16.78</v>
      </c>
    </row>
    <row r="726" spans="1:7">
      <c r="A726">
        <v>8085</v>
      </c>
      <c r="B726" t="s">
        <v>1958</v>
      </c>
      <c r="C726">
        <v>388.46</v>
      </c>
      <c r="D726">
        <v>0.1</v>
      </c>
      <c r="E726">
        <v>111</v>
      </c>
      <c r="F726">
        <v>0.2</v>
      </c>
      <c r="G726">
        <v>3.81</v>
      </c>
    </row>
    <row r="727" spans="1:7">
      <c r="A727">
        <v>8086</v>
      </c>
      <c r="B727" t="s">
        <v>1959</v>
      </c>
      <c r="C727" t="s">
        <v>1259</v>
      </c>
      <c r="D727">
        <v>0</v>
      </c>
      <c r="E727">
        <v>111</v>
      </c>
      <c r="F727">
        <v>0</v>
      </c>
      <c r="G727">
        <v>3.51</v>
      </c>
    </row>
    <row r="728" spans="1:7">
      <c r="A728">
        <v>8087</v>
      </c>
      <c r="B728" t="s">
        <v>1960</v>
      </c>
      <c r="C728">
        <v>10.96</v>
      </c>
      <c r="D728">
        <v>0</v>
      </c>
      <c r="E728">
        <v>111</v>
      </c>
      <c r="F728">
        <v>0</v>
      </c>
      <c r="G728">
        <v>3.49</v>
      </c>
    </row>
    <row r="729" spans="1:7">
      <c r="A729">
        <v>8088</v>
      </c>
      <c r="B729" t="s">
        <v>1961</v>
      </c>
      <c r="C729">
        <v>14.89</v>
      </c>
      <c r="D729">
        <v>2.4</v>
      </c>
      <c r="E729">
        <v>111</v>
      </c>
      <c r="F729">
        <v>5.12</v>
      </c>
      <c r="G729">
        <v>2.46</v>
      </c>
    </row>
    <row r="730" spans="1:7">
      <c r="A730">
        <v>8089</v>
      </c>
      <c r="B730" t="s">
        <v>1962</v>
      </c>
      <c r="C730" t="s">
        <v>1259</v>
      </c>
      <c r="D730">
        <v>0.7</v>
      </c>
      <c r="E730">
        <v>111</v>
      </c>
      <c r="F730">
        <v>1.25</v>
      </c>
      <c r="G730">
        <v>3.33</v>
      </c>
    </row>
    <row r="731" spans="1:7">
      <c r="A731">
        <v>8091</v>
      </c>
      <c r="B731" t="s">
        <v>1963</v>
      </c>
      <c r="C731">
        <v>14.49</v>
      </c>
      <c r="D731">
        <v>7</v>
      </c>
      <c r="E731">
        <v>111</v>
      </c>
      <c r="F731">
        <v>7.33</v>
      </c>
      <c r="G731">
        <v>1.49</v>
      </c>
    </row>
    <row r="732" spans="1:7">
      <c r="A732">
        <v>8092</v>
      </c>
      <c r="B732" t="s">
        <v>1964</v>
      </c>
      <c r="C732">
        <v>145</v>
      </c>
      <c r="D732">
        <v>0</v>
      </c>
      <c r="E732">
        <v>111</v>
      </c>
      <c r="F732">
        <v>0</v>
      </c>
      <c r="G732">
        <v>1.57</v>
      </c>
    </row>
    <row r="733" spans="1:7">
      <c r="A733">
        <v>8093</v>
      </c>
      <c r="B733" t="s">
        <v>1965</v>
      </c>
      <c r="C733" t="s">
        <v>1259</v>
      </c>
      <c r="D733">
        <v>0</v>
      </c>
      <c r="E733">
        <v>111</v>
      </c>
      <c r="F733">
        <v>0</v>
      </c>
      <c r="G733">
        <v>2.5</v>
      </c>
    </row>
    <row r="734" spans="1:7">
      <c r="A734">
        <v>8096</v>
      </c>
      <c r="B734" t="s">
        <v>1966</v>
      </c>
      <c r="C734" t="s">
        <v>1259</v>
      </c>
      <c r="D734">
        <v>0.06</v>
      </c>
      <c r="E734">
        <v>111</v>
      </c>
      <c r="F734">
        <v>0.37</v>
      </c>
      <c r="G734">
        <v>1.1299999999999999</v>
      </c>
    </row>
    <row r="735" spans="1:7">
      <c r="A735">
        <v>8097</v>
      </c>
      <c r="B735" t="s">
        <v>1967</v>
      </c>
      <c r="C735">
        <v>390</v>
      </c>
      <c r="D735">
        <v>2.0116854800000001</v>
      </c>
      <c r="E735">
        <v>111</v>
      </c>
      <c r="F735">
        <v>3.22</v>
      </c>
      <c r="G735">
        <v>2.5499999999999998</v>
      </c>
    </row>
    <row r="736" spans="1:7">
      <c r="A736">
        <v>8099</v>
      </c>
      <c r="B736" t="s">
        <v>1968</v>
      </c>
      <c r="C736">
        <v>24.22</v>
      </c>
      <c r="D736">
        <v>1.75</v>
      </c>
      <c r="E736">
        <v>111</v>
      </c>
      <c r="F736">
        <v>3.54</v>
      </c>
      <c r="G736">
        <v>3.15</v>
      </c>
    </row>
    <row r="737" spans="1:7">
      <c r="A737">
        <v>8107</v>
      </c>
      <c r="B737" t="s">
        <v>1969</v>
      </c>
      <c r="C737" t="s">
        <v>1259</v>
      </c>
      <c r="D737">
        <v>0.27</v>
      </c>
      <c r="E737">
        <v>111</v>
      </c>
      <c r="F737">
        <v>1.64</v>
      </c>
      <c r="G737">
        <v>0.85</v>
      </c>
    </row>
    <row r="738" spans="1:7">
      <c r="A738">
        <v>8109</v>
      </c>
      <c r="B738" t="s">
        <v>1970</v>
      </c>
      <c r="C738">
        <v>12.16</v>
      </c>
      <c r="D738">
        <v>1.9834778399999999</v>
      </c>
      <c r="E738">
        <v>111</v>
      </c>
      <c r="F738">
        <v>2.06</v>
      </c>
      <c r="G738">
        <v>2.72</v>
      </c>
    </row>
    <row r="739" spans="1:7">
      <c r="A739">
        <v>8111</v>
      </c>
      <c r="B739" t="s">
        <v>1971</v>
      </c>
      <c r="C739">
        <v>31.9</v>
      </c>
      <c r="D739">
        <v>1.2</v>
      </c>
      <c r="E739">
        <v>111</v>
      </c>
      <c r="F739">
        <v>6.49</v>
      </c>
      <c r="G739">
        <v>1.45</v>
      </c>
    </row>
    <row r="740" spans="1:7">
      <c r="A740">
        <v>8121</v>
      </c>
      <c r="B740" t="s">
        <v>1972</v>
      </c>
      <c r="C740" t="s">
        <v>1259</v>
      </c>
      <c r="D740">
        <v>0</v>
      </c>
      <c r="E740">
        <v>111</v>
      </c>
      <c r="F740">
        <v>0</v>
      </c>
      <c r="G740">
        <v>2.92</v>
      </c>
    </row>
    <row r="741" spans="1:7">
      <c r="A741">
        <v>8147</v>
      </c>
      <c r="B741" t="s">
        <v>1973</v>
      </c>
      <c r="C741">
        <v>27.23</v>
      </c>
      <c r="D741">
        <v>2.6569508399999999</v>
      </c>
      <c r="E741">
        <v>111</v>
      </c>
      <c r="F741">
        <v>3.6</v>
      </c>
      <c r="G741">
        <v>2.72</v>
      </c>
    </row>
    <row r="742" spans="1:7">
      <c r="A742">
        <v>8155</v>
      </c>
      <c r="B742" t="s">
        <v>1974</v>
      </c>
      <c r="C742">
        <v>39.04</v>
      </c>
      <c r="D742">
        <v>7.3014251899999998</v>
      </c>
      <c r="E742">
        <v>111</v>
      </c>
      <c r="F742">
        <v>4.71</v>
      </c>
      <c r="G742">
        <v>3.86</v>
      </c>
    </row>
    <row r="743" spans="1:7">
      <c r="A743">
        <v>8171</v>
      </c>
      <c r="B743" t="s">
        <v>1975</v>
      </c>
      <c r="C743">
        <v>191.82</v>
      </c>
      <c r="D743">
        <v>0.65162202999999996</v>
      </c>
      <c r="E743">
        <v>111</v>
      </c>
      <c r="F743">
        <v>1.54</v>
      </c>
      <c r="G743">
        <v>1.94</v>
      </c>
    </row>
    <row r="744" spans="1:7">
      <c r="A744">
        <v>8176</v>
      </c>
      <c r="B744" t="s">
        <v>1976</v>
      </c>
      <c r="C744" t="s">
        <v>1259</v>
      </c>
      <c r="D744">
        <v>0</v>
      </c>
      <c r="E744">
        <v>111</v>
      </c>
      <c r="F744">
        <v>0</v>
      </c>
      <c r="G744">
        <v>1.98</v>
      </c>
    </row>
    <row r="745" spans="1:7">
      <c r="A745">
        <v>8182</v>
      </c>
      <c r="B745" t="s">
        <v>1977</v>
      </c>
      <c r="C745">
        <v>113.28</v>
      </c>
      <c r="D745">
        <v>1</v>
      </c>
      <c r="E745">
        <v>111</v>
      </c>
      <c r="F745">
        <v>3.04</v>
      </c>
      <c r="G745">
        <v>1.01</v>
      </c>
    </row>
    <row r="746" spans="1:7">
      <c r="A746">
        <v>8183</v>
      </c>
      <c r="B746" t="s">
        <v>1978</v>
      </c>
      <c r="C746">
        <v>11.71</v>
      </c>
      <c r="D746">
        <v>1.9</v>
      </c>
      <c r="E746">
        <v>111</v>
      </c>
      <c r="F746">
        <v>3.61</v>
      </c>
      <c r="G746">
        <v>2</v>
      </c>
    </row>
    <row r="747" spans="1:7">
      <c r="A747">
        <v>8227</v>
      </c>
      <c r="B747" t="s">
        <v>1979</v>
      </c>
      <c r="C747">
        <v>86.73</v>
      </c>
      <c r="D747">
        <v>1.5</v>
      </c>
      <c r="E747">
        <v>111</v>
      </c>
      <c r="F747">
        <v>0.56000000000000005</v>
      </c>
      <c r="G747">
        <v>13.04</v>
      </c>
    </row>
    <row r="748" spans="1:7">
      <c r="A748">
        <v>8234</v>
      </c>
      <c r="B748" t="s">
        <v>1980</v>
      </c>
      <c r="C748">
        <v>23.67</v>
      </c>
      <c r="D748">
        <v>3</v>
      </c>
      <c r="E748">
        <v>111</v>
      </c>
      <c r="F748">
        <v>6.24</v>
      </c>
      <c r="G748">
        <v>2.0499999999999998</v>
      </c>
    </row>
    <row r="749" spans="1:7">
      <c r="A749">
        <v>8240</v>
      </c>
      <c r="B749" t="s">
        <v>1981</v>
      </c>
      <c r="C749">
        <v>17.170000000000002</v>
      </c>
      <c r="D749">
        <v>1.5</v>
      </c>
      <c r="E749">
        <v>111</v>
      </c>
      <c r="F749">
        <v>4.3</v>
      </c>
      <c r="G749">
        <v>0.81</v>
      </c>
    </row>
    <row r="750" spans="1:7">
      <c r="A750">
        <v>8255</v>
      </c>
      <c r="B750" t="s">
        <v>1982</v>
      </c>
      <c r="C750">
        <v>24.7</v>
      </c>
      <c r="D750">
        <v>4</v>
      </c>
      <c r="E750">
        <v>111</v>
      </c>
      <c r="F750">
        <v>2.16</v>
      </c>
      <c r="G750">
        <v>2.48</v>
      </c>
    </row>
    <row r="751" spans="1:7">
      <c r="A751">
        <v>8277</v>
      </c>
      <c r="B751" t="s">
        <v>1983</v>
      </c>
      <c r="C751" t="s">
        <v>1259</v>
      </c>
      <c r="D751">
        <v>0</v>
      </c>
      <c r="E751">
        <v>111</v>
      </c>
      <c r="F751">
        <v>0</v>
      </c>
      <c r="G751">
        <v>2.0099999999999998</v>
      </c>
    </row>
    <row r="752" spans="1:7">
      <c r="A752">
        <v>8279</v>
      </c>
      <c r="B752" t="s">
        <v>1984</v>
      </c>
      <c r="C752">
        <v>14.38</v>
      </c>
      <c r="D752">
        <v>5</v>
      </c>
      <c r="E752">
        <v>111</v>
      </c>
      <c r="F752">
        <v>3.29</v>
      </c>
      <c r="G752">
        <v>1.99</v>
      </c>
    </row>
    <row r="753" spans="1:7">
      <c r="A753">
        <v>8284</v>
      </c>
      <c r="B753" t="s">
        <v>1985</v>
      </c>
      <c r="C753">
        <v>13.94</v>
      </c>
      <c r="D753">
        <v>4</v>
      </c>
      <c r="E753">
        <v>111</v>
      </c>
      <c r="F753">
        <v>6.46</v>
      </c>
      <c r="G753">
        <v>2.4</v>
      </c>
    </row>
    <row r="754" spans="1:7">
      <c r="A754">
        <v>8289</v>
      </c>
      <c r="B754" t="s">
        <v>1986</v>
      </c>
      <c r="C754">
        <v>15.98</v>
      </c>
      <c r="D754">
        <v>3.5</v>
      </c>
      <c r="E754">
        <v>111</v>
      </c>
      <c r="F754">
        <v>10.69</v>
      </c>
      <c r="G754">
        <v>1.37</v>
      </c>
    </row>
    <row r="755" spans="1:7">
      <c r="A755">
        <v>8291</v>
      </c>
      <c r="B755" t="s">
        <v>1987</v>
      </c>
      <c r="C755" t="s">
        <v>1259</v>
      </c>
      <c r="D755">
        <v>0</v>
      </c>
      <c r="E755">
        <v>111</v>
      </c>
      <c r="F755">
        <v>0</v>
      </c>
      <c r="G755">
        <v>5.48</v>
      </c>
    </row>
    <row r="756" spans="1:7">
      <c r="A756">
        <v>8299</v>
      </c>
      <c r="B756" t="s">
        <v>1988</v>
      </c>
      <c r="C756">
        <v>59.56</v>
      </c>
      <c r="D756">
        <v>14.72837369</v>
      </c>
      <c r="E756">
        <v>111</v>
      </c>
      <c r="F756">
        <v>2.83</v>
      </c>
      <c r="G756">
        <v>2.56</v>
      </c>
    </row>
    <row r="757" spans="1:7">
      <c r="A757">
        <v>8342</v>
      </c>
      <c r="B757" t="s">
        <v>1989</v>
      </c>
      <c r="C757">
        <v>16.52</v>
      </c>
      <c r="D757">
        <v>4.5</v>
      </c>
      <c r="E757">
        <v>111</v>
      </c>
      <c r="F757">
        <v>6.53</v>
      </c>
      <c r="G757">
        <v>2.69</v>
      </c>
    </row>
    <row r="758" spans="1:7">
      <c r="A758">
        <v>8349</v>
      </c>
      <c r="B758" t="s">
        <v>1990</v>
      </c>
      <c r="C758">
        <v>22.92</v>
      </c>
      <c r="D758">
        <v>2.9882751700000001</v>
      </c>
      <c r="E758">
        <v>111</v>
      </c>
      <c r="F758">
        <v>4.88</v>
      </c>
      <c r="G758">
        <v>1.82</v>
      </c>
    </row>
    <row r="759" spans="1:7">
      <c r="A759">
        <v>8354</v>
      </c>
      <c r="B759" t="s">
        <v>1991</v>
      </c>
      <c r="C759">
        <v>31.04</v>
      </c>
      <c r="D759">
        <v>0.3</v>
      </c>
      <c r="E759">
        <v>111</v>
      </c>
      <c r="F759">
        <v>1.82</v>
      </c>
      <c r="G759">
        <v>0.63</v>
      </c>
    </row>
    <row r="760" spans="1:7">
      <c r="A760">
        <v>8358</v>
      </c>
      <c r="B760" t="s">
        <v>1992</v>
      </c>
      <c r="C760">
        <v>29.56</v>
      </c>
      <c r="D760">
        <v>2.5</v>
      </c>
      <c r="E760">
        <v>111</v>
      </c>
      <c r="F760">
        <v>4.13</v>
      </c>
      <c r="G760">
        <v>2.63</v>
      </c>
    </row>
    <row r="761" spans="1:7">
      <c r="A761">
        <v>8383</v>
      </c>
      <c r="B761" t="s">
        <v>1993</v>
      </c>
      <c r="C761">
        <v>36.29</v>
      </c>
      <c r="D761">
        <v>2.5</v>
      </c>
      <c r="E761">
        <v>111</v>
      </c>
      <c r="F761">
        <v>6.56</v>
      </c>
      <c r="G761">
        <v>1.27</v>
      </c>
    </row>
    <row r="762" spans="1:7">
      <c r="A762">
        <v>8390</v>
      </c>
      <c r="B762" t="s">
        <v>1994</v>
      </c>
      <c r="C762">
        <v>9.36</v>
      </c>
      <c r="D762">
        <v>1.88</v>
      </c>
      <c r="E762">
        <v>111</v>
      </c>
      <c r="F762">
        <v>3.67</v>
      </c>
      <c r="G762">
        <v>1.68</v>
      </c>
    </row>
    <row r="763" spans="1:7">
      <c r="A763">
        <v>8401</v>
      </c>
      <c r="B763" t="s">
        <v>1995</v>
      </c>
      <c r="C763">
        <v>12.84</v>
      </c>
      <c r="D763">
        <v>1.9986116300000001</v>
      </c>
      <c r="E763">
        <v>111</v>
      </c>
      <c r="F763">
        <v>9.49</v>
      </c>
      <c r="G763">
        <v>1.33</v>
      </c>
    </row>
    <row r="764" spans="1:7">
      <c r="A764">
        <v>8403</v>
      </c>
      <c r="B764" t="s">
        <v>1996</v>
      </c>
      <c r="C764">
        <v>96.76</v>
      </c>
      <c r="D764">
        <v>1.00000007</v>
      </c>
      <c r="E764">
        <v>111</v>
      </c>
      <c r="F764">
        <v>3.04</v>
      </c>
      <c r="G764">
        <v>1.1299999999999999</v>
      </c>
    </row>
    <row r="765" spans="1:7">
      <c r="A765">
        <v>8409</v>
      </c>
      <c r="B765" t="s">
        <v>1997</v>
      </c>
      <c r="C765" t="s">
        <v>1259</v>
      </c>
      <c r="D765">
        <v>0</v>
      </c>
      <c r="E765">
        <v>111</v>
      </c>
      <c r="F765">
        <v>0</v>
      </c>
      <c r="G765">
        <v>2.9</v>
      </c>
    </row>
    <row r="766" spans="1:7">
      <c r="A766">
        <v>8410</v>
      </c>
      <c r="B766" t="s">
        <v>1998</v>
      </c>
      <c r="C766">
        <v>15.91</v>
      </c>
      <c r="D766">
        <v>0.61</v>
      </c>
      <c r="E766">
        <v>111</v>
      </c>
      <c r="F766">
        <v>0.75</v>
      </c>
      <c r="G766">
        <v>1.77</v>
      </c>
    </row>
    <row r="767" spans="1:7">
      <c r="A767">
        <v>8415</v>
      </c>
      <c r="B767" t="s">
        <v>1999</v>
      </c>
      <c r="C767">
        <v>10.86</v>
      </c>
      <c r="D767">
        <v>1.8</v>
      </c>
      <c r="E767">
        <v>111</v>
      </c>
      <c r="F767">
        <v>5.08</v>
      </c>
      <c r="G767">
        <v>1.46</v>
      </c>
    </row>
    <row r="768" spans="1:7">
      <c r="A768">
        <v>8416</v>
      </c>
      <c r="B768" t="s">
        <v>2000</v>
      </c>
      <c r="C768">
        <v>13.25</v>
      </c>
      <c r="D768">
        <v>8</v>
      </c>
      <c r="E768">
        <v>111</v>
      </c>
      <c r="F768">
        <v>5.71</v>
      </c>
      <c r="G768">
        <v>3</v>
      </c>
    </row>
    <row r="769" spans="1:7">
      <c r="A769">
        <v>8418</v>
      </c>
      <c r="B769" t="s">
        <v>2001</v>
      </c>
      <c r="C769" t="s">
        <v>1259</v>
      </c>
      <c r="D769">
        <v>0</v>
      </c>
      <c r="E769">
        <v>111</v>
      </c>
      <c r="F769">
        <v>0</v>
      </c>
      <c r="G769">
        <v>1.01</v>
      </c>
    </row>
    <row r="770" spans="1:7">
      <c r="A770">
        <v>8420</v>
      </c>
      <c r="B770" t="s">
        <v>2002</v>
      </c>
      <c r="C770" t="s">
        <v>1259</v>
      </c>
      <c r="D770">
        <v>5.9729193599999997</v>
      </c>
      <c r="E770">
        <v>111</v>
      </c>
      <c r="F770">
        <v>10.07</v>
      </c>
      <c r="G770">
        <v>3.57</v>
      </c>
    </row>
    <row r="771" spans="1:7">
      <c r="A771">
        <v>8421</v>
      </c>
      <c r="B771" t="s">
        <v>2003</v>
      </c>
      <c r="C771" t="s">
        <v>1259</v>
      </c>
      <c r="D771">
        <v>1.01047021</v>
      </c>
      <c r="E771">
        <v>111</v>
      </c>
      <c r="F771">
        <v>7.38</v>
      </c>
      <c r="G771">
        <v>0.91</v>
      </c>
    </row>
    <row r="772" spans="1:7">
      <c r="A772">
        <v>8423</v>
      </c>
      <c r="B772" t="s">
        <v>2004</v>
      </c>
      <c r="C772">
        <v>21.05</v>
      </c>
      <c r="D772">
        <v>1</v>
      </c>
      <c r="E772">
        <v>111</v>
      </c>
      <c r="F772">
        <v>4.5199999999999996</v>
      </c>
      <c r="G772">
        <v>1.54</v>
      </c>
    </row>
    <row r="773" spans="1:7">
      <c r="A773">
        <v>8424</v>
      </c>
      <c r="B773" t="s">
        <v>2005</v>
      </c>
      <c r="C773">
        <v>15.23</v>
      </c>
      <c r="D773">
        <v>4.7</v>
      </c>
      <c r="E773">
        <v>111</v>
      </c>
      <c r="F773">
        <v>7.01</v>
      </c>
      <c r="G773">
        <v>2.29</v>
      </c>
    </row>
    <row r="774" spans="1:7">
      <c r="A774">
        <v>8426</v>
      </c>
      <c r="B774" t="s">
        <v>2006</v>
      </c>
      <c r="C774">
        <v>15.64</v>
      </c>
      <c r="D774">
        <v>0</v>
      </c>
      <c r="E774">
        <v>111</v>
      </c>
      <c r="F774">
        <v>0</v>
      </c>
      <c r="G774">
        <v>3.94</v>
      </c>
    </row>
    <row r="775" spans="1:7">
      <c r="A775">
        <v>8431</v>
      </c>
      <c r="B775" t="s">
        <v>2007</v>
      </c>
      <c r="C775">
        <v>264.76</v>
      </c>
      <c r="D775">
        <v>0.30169192</v>
      </c>
      <c r="E775">
        <v>111</v>
      </c>
      <c r="F775">
        <v>0.54</v>
      </c>
      <c r="G775">
        <v>2.67</v>
      </c>
    </row>
    <row r="776" spans="1:7">
      <c r="A776">
        <v>8432</v>
      </c>
      <c r="B776" t="s">
        <v>2008</v>
      </c>
      <c r="C776">
        <v>35.93</v>
      </c>
      <c r="D776">
        <v>1.6</v>
      </c>
      <c r="E776">
        <v>111</v>
      </c>
      <c r="F776">
        <v>3.18</v>
      </c>
      <c r="G776">
        <v>1.79</v>
      </c>
    </row>
    <row r="777" spans="1:7">
      <c r="A777">
        <v>8433</v>
      </c>
      <c r="B777" t="s">
        <v>2009</v>
      </c>
      <c r="C777">
        <v>10.72</v>
      </c>
      <c r="D777">
        <v>4.9996270599999999</v>
      </c>
      <c r="E777">
        <v>111</v>
      </c>
      <c r="F777">
        <v>5.47</v>
      </c>
      <c r="G777">
        <v>2.25</v>
      </c>
    </row>
    <row r="778" spans="1:7">
      <c r="A778">
        <v>8435</v>
      </c>
      <c r="B778" t="s">
        <v>2010</v>
      </c>
      <c r="C778">
        <v>14.26</v>
      </c>
      <c r="D778">
        <v>3.8</v>
      </c>
      <c r="E778">
        <v>111</v>
      </c>
      <c r="F778">
        <v>6.1</v>
      </c>
      <c r="G778">
        <v>2.62</v>
      </c>
    </row>
    <row r="779" spans="1:7">
      <c r="A779">
        <v>8436</v>
      </c>
      <c r="B779" t="s">
        <v>2011</v>
      </c>
      <c r="C779">
        <v>20.41</v>
      </c>
      <c r="D779">
        <v>5.0225942899999998</v>
      </c>
      <c r="E779">
        <v>111</v>
      </c>
      <c r="F779">
        <v>2.94</v>
      </c>
      <c r="G779">
        <v>2.44</v>
      </c>
    </row>
    <row r="780" spans="1:7">
      <c r="A780">
        <v>8437</v>
      </c>
      <c r="B780" t="s">
        <v>2012</v>
      </c>
      <c r="C780">
        <v>30.85</v>
      </c>
      <c r="D780">
        <v>2.65</v>
      </c>
      <c r="E780">
        <v>111</v>
      </c>
      <c r="F780">
        <v>5.24</v>
      </c>
      <c r="G780">
        <v>0.95</v>
      </c>
    </row>
    <row r="781" spans="1:7">
      <c r="A781">
        <v>8440</v>
      </c>
      <c r="B781" t="s">
        <v>2013</v>
      </c>
      <c r="C781">
        <v>21.66</v>
      </c>
      <c r="D781">
        <v>0.4</v>
      </c>
      <c r="E781">
        <v>111</v>
      </c>
      <c r="F781">
        <v>1.1100000000000001</v>
      </c>
      <c r="G781">
        <v>2.2400000000000002</v>
      </c>
    </row>
    <row r="782" spans="1:7">
      <c r="A782">
        <v>8444</v>
      </c>
      <c r="B782" t="s">
        <v>2014</v>
      </c>
      <c r="C782" t="s">
        <v>1259</v>
      </c>
      <c r="D782">
        <v>0.30000000999999998</v>
      </c>
      <c r="E782">
        <v>111</v>
      </c>
      <c r="F782">
        <v>0.83</v>
      </c>
      <c r="G782">
        <v>3.38</v>
      </c>
    </row>
    <row r="783" spans="1:7">
      <c r="A783">
        <v>8446</v>
      </c>
      <c r="B783" t="s">
        <v>2015</v>
      </c>
      <c r="C783">
        <v>12.56</v>
      </c>
      <c r="D783">
        <v>5</v>
      </c>
      <c r="E783">
        <v>111</v>
      </c>
      <c r="F783">
        <v>4.6900000000000004</v>
      </c>
      <c r="G783">
        <v>3.25</v>
      </c>
    </row>
    <row r="784" spans="1:7">
      <c r="A784">
        <v>8450</v>
      </c>
      <c r="B784" t="s">
        <v>2016</v>
      </c>
      <c r="C784" t="s">
        <v>1259</v>
      </c>
      <c r="D784">
        <v>0</v>
      </c>
      <c r="E784">
        <v>111</v>
      </c>
      <c r="F784">
        <v>0</v>
      </c>
      <c r="G784">
        <v>1.32</v>
      </c>
    </row>
    <row r="785" spans="1:7">
      <c r="A785">
        <v>8455</v>
      </c>
      <c r="B785" t="s">
        <v>2017</v>
      </c>
      <c r="C785" t="s">
        <v>1259</v>
      </c>
      <c r="D785">
        <v>0.11676939</v>
      </c>
      <c r="E785">
        <v>111</v>
      </c>
      <c r="F785">
        <v>0.55000000000000004</v>
      </c>
      <c r="G785">
        <v>1</v>
      </c>
    </row>
    <row r="786" spans="1:7">
      <c r="A786">
        <v>8472</v>
      </c>
      <c r="B786" t="s">
        <v>2018</v>
      </c>
      <c r="C786" t="s">
        <v>1259</v>
      </c>
      <c r="D786">
        <v>0</v>
      </c>
      <c r="E786">
        <v>111</v>
      </c>
      <c r="F786">
        <v>0</v>
      </c>
      <c r="G786">
        <v>1.85</v>
      </c>
    </row>
    <row r="787" spans="1:7">
      <c r="A787">
        <v>8477</v>
      </c>
      <c r="B787" t="s">
        <v>2020</v>
      </c>
      <c r="C787" t="s">
        <v>1259</v>
      </c>
      <c r="D787">
        <v>0</v>
      </c>
      <c r="E787">
        <v>111</v>
      </c>
      <c r="F787">
        <v>0</v>
      </c>
      <c r="G787">
        <v>2.89</v>
      </c>
    </row>
    <row r="788" spans="1:7">
      <c r="A788">
        <v>8489</v>
      </c>
      <c r="B788" t="s">
        <v>2021</v>
      </c>
      <c r="C788" t="s">
        <v>1259</v>
      </c>
      <c r="D788">
        <v>0</v>
      </c>
      <c r="E788">
        <v>111</v>
      </c>
      <c r="F788">
        <v>0</v>
      </c>
      <c r="G788">
        <v>2.0299999999999998</v>
      </c>
    </row>
    <row r="789" spans="1:7">
      <c r="A789">
        <v>8905</v>
      </c>
      <c r="B789" t="s">
        <v>2022</v>
      </c>
      <c r="C789">
        <v>12.77</v>
      </c>
      <c r="D789">
        <v>1</v>
      </c>
      <c r="E789">
        <v>111</v>
      </c>
      <c r="F789">
        <v>3.33</v>
      </c>
      <c r="G789">
        <v>1.24</v>
      </c>
    </row>
    <row r="790" spans="1:7">
      <c r="A790">
        <v>8906</v>
      </c>
      <c r="B790" t="s">
        <v>2023</v>
      </c>
      <c r="C790" t="s">
        <v>1259</v>
      </c>
      <c r="D790">
        <v>0</v>
      </c>
      <c r="E790">
        <v>111</v>
      </c>
      <c r="F790">
        <v>0</v>
      </c>
      <c r="G790">
        <v>1.59</v>
      </c>
    </row>
    <row r="791" spans="1:7">
      <c r="A791">
        <v>8908</v>
      </c>
      <c r="B791" t="s">
        <v>2024</v>
      </c>
      <c r="C791">
        <v>32.75</v>
      </c>
      <c r="D791">
        <v>1.8</v>
      </c>
      <c r="E791">
        <v>111</v>
      </c>
      <c r="F791">
        <v>3.09</v>
      </c>
      <c r="G791">
        <v>4.42</v>
      </c>
    </row>
    <row r="792" spans="1:7">
      <c r="A792">
        <v>8916</v>
      </c>
      <c r="B792" t="s">
        <v>2025</v>
      </c>
      <c r="C792">
        <v>12.67</v>
      </c>
      <c r="D792">
        <v>3.7860964099999999</v>
      </c>
      <c r="E792">
        <v>111</v>
      </c>
      <c r="F792">
        <v>6.65</v>
      </c>
      <c r="G792">
        <v>1.5</v>
      </c>
    </row>
    <row r="793" spans="1:7">
      <c r="A793">
        <v>8917</v>
      </c>
      <c r="B793" t="s">
        <v>2026</v>
      </c>
      <c r="C793">
        <v>27.59</v>
      </c>
      <c r="D793">
        <v>2</v>
      </c>
      <c r="E793">
        <v>111</v>
      </c>
      <c r="F793">
        <v>3.06</v>
      </c>
      <c r="G793">
        <v>4.0199999999999996</v>
      </c>
    </row>
    <row r="794" spans="1:7">
      <c r="A794">
        <v>8921</v>
      </c>
      <c r="B794" t="s">
        <v>2027</v>
      </c>
      <c r="C794" t="s">
        <v>1259</v>
      </c>
      <c r="D794">
        <v>0.504</v>
      </c>
      <c r="E794">
        <v>111</v>
      </c>
      <c r="F794">
        <v>3.54</v>
      </c>
      <c r="G794">
        <v>0.72</v>
      </c>
    </row>
    <row r="795" spans="1:7">
      <c r="A795">
        <v>8923</v>
      </c>
      <c r="B795" t="s">
        <v>2028</v>
      </c>
      <c r="C795">
        <v>26.69</v>
      </c>
      <c r="D795">
        <v>1</v>
      </c>
      <c r="E795">
        <v>111</v>
      </c>
      <c r="F795">
        <v>5.0599999999999996</v>
      </c>
      <c r="G795">
        <v>1.37</v>
      </c>
    </row>
    <row r="796" spans="1:7">
      <c r="A796">
        <v>8924</v>
      </c>
      <c r="B796" t="s">
        <v>2029</v>
      </c>
      <c r="C796">
        <v>8.98</v>
      </c>
      <c r="D796">
        <v>12.85</v>
      </c>
      <c r="E796">
        <v>111</v>
      </c>
      <c r="F796">
        <v>14.25</v>
      </c>
      <c r="G796">
        <v>1.93</v>
      </c>
    </row>
    <row r="797" spans="1:7">
      <c r="A797">
        <v>8927</v>
      </c>
      <c r="B797" t="s">
        <v>2030</v>
      </c>
      <c r="C797">
        <v>180.34</v>
      </c>
      <c r="D797">
        <v>1.6078005799999999</v>
      </c>
      <c r="E797">
        <v>111</v>
      </c>
      <c r="F797">
        <v>3.07</v>
      </c>
      <c r="G797">
        <v>3.2</v>
      </c>
    </row>
    <row r="798" spans="1:7">
      <c r="A798">
        <v>8928</v>
      </c>
      <c r="B798" t="s">
        <v>2031</v>
      </c>
      <c r="C798">
        <v>26.02</v>
      </c>
      <c r="D798">
        <v>2.6</v>
      </c>
      <c r="E798">
        <v>111</v>
      </c>
      <c r="F798">
        <v>8.1300000000000008</v>
      </c>
      <c r="G798">
        <v>1.6</v>
      </c>
    </row>
    <row r="799" spans="1:7">
      <c r="A799">
        <v>8929</v>
      </c>
      <c r="B799" t="s">
        <v>2032</v>
      </c>
      <c r="C799" t="s">
        <v>1259</v>
      </c>
      <c r="D799">
        <v>0</v>
      </c>
      <c r="E799">
        <v>111</v>
      </c>
      <c r="F799">
        <v>0</v>
      </c>
      <c r="G799">
        <v>1.3</v>
      </c>
    </row>
    <row r="800" spans="1:7">
      <c r="A800">
        <v>8930</v>
      </c>
      <c r="B800" t="s">
        <v>2033</v>
      </c>
      <c r="C800">
        <v>12.97</v>
      </c>
      <c r="D800">
        <v>1</v>
      </c>
      <c r="E800">
        <v>111</v>
      </c>
      <c r="F800">
        <v>2.61</v>
      </c>
      <c r="G800">
        <v>2.15</v>
      </c>
    </row>
    <row r="801" spans="1:7">
      <c r="A801">
        <v>8931</v>
      </c>
      <c r="B801" t="s">
        <v>2034</v>
      </c>
      <c r="C801">
        <v>15.59</v>
      </c>
      <c r="D801">
        <v>2.5</v>
      </c>
      <c r="E801">
        <v>111</v>
      </c>
      <c r="F801">
        <v>5.29</v>
      </c>
      <c r="G801">
        <v>2.74</v>
      </c>
    </row>
    <row r="802" spans="1:7">
      <c r="A802">
        <v>8932</v>
      </c>
      <c r="B802" t="s">
        <v>2035</v>
      </c>
      <c r="C802">
        <v>294.87</v>
      </c>
      <c r="D802">
        <v>0</v>
      </c>
      <c r="E802">
        <v>111</v>
      </c>
      <c r="F802">
        <v>0</v>
      </c>
      <c r="G802">
        <v>8.77</v>
      </c>
    </row>
    <row r="803" spans="1:7">
      <c r="A803">
        <v>8933</v>
      </c>
      <c r="B803" t="s">
        <v>2036</v>
      </c>
      <c r="C803" t="s">
        <v>1259</v>
      </c>
      <c r="D803">
        <v>0</v>
      </c>
      <c r="E803">
        <v>111</v>
      </c>
      <c r="F803">
        <v>0</v>
      </c>
      <c r="G803">
        <v>1.31</v>
      </c>
    </row>
    <row r="804" spans="1:7">
      <c r="A804">
        <v>8935</v>
      </c>
      <c r="B804" t="s">
        <v>2037</v>
      </c>
      <c r="C804" t="s">
        <v>1259</v>
      </c>
      <c r="D804">
        <v>0.26491107000000003</v>
      </c>
      <c r="E804">
        <v>111</v>
      </c>
      <c r="F804">
        <v>2.25</v>
      </c>
      <c r="G804">
        <v>1.23</v>
      </c>
    </row>
    <row r="805" spans="1:7">
      <c r="A805">
        <v>8936</v>
      </c>
      <c r="B805" t="s">
        <v>2038</v>
      </c>
      <c r="C805">
        <v>16.440000000000001</v>
      </c>
      <c r="D805">
        <v>1</v>
      </c>
      <c r="E805">
        <v>111</v>
      </c>
      <c r="F805">
        <v>2.19</v>
      </c>
      <c r="G805">
        <v>2.0699999999999998</v>
      </c>
    </row>
    <row r="806" spans="1:7">
      <c r="A806">
        <v>8937</v>
      </c>
      <c r="B806" t="s">
        <v>2039</v>
      </c>
      <c r="C806">
        <v>35.17</v>
      </c>
      <c r="D806">
        <v>0</v>
      </c>
      <c r="E806">
        <v>111</v>
      </c>
      <c r="F806">
        <v>0</v>
      </c>
      <c r="G806">
        <v>2.06</v>
      </c>
    </row>
    <row r="807" spans="1:7">
      <c r="A807">
        <v>8938</v>
      </c>
      <c r="B807" t="s">
        <v>2040</v>
      </c>
      <c r="C807">
        <v>18.57</v>
      </c>
      <c r="D807">
        <v>8.9748120300000007</v>
      </c>
      <c r="E807">
        <v>111</v>
      </c>
      <c r="F807">
        <v>12.33</v>
      </c>
      <c r="G807">
        <v>1.62</v>
      </c>
    </row>
    <row r="808" spans="1:7">
      <c r="A808">
        <v>8941</v>
      </c>
      <c r="B808" t="s">
        <v>2041</v>
      </c>
      <c r="C808">
        <v>13.66</v>
      </c>
      <c r="D808">
        <v>6</v>
      </c>
      <c r="E808">
        <v>111</v>
      </c>
      <c r="F808">
        <v>10.17</v>
      </c>
      <c r="G808">
        <v>2.02</v>
      </c>
    </row>
    <row r="809" spans="1:7">
      <c r="A809">
        <v>8942</v>
      </c>
      <c r="B809" t="s">
        <v>2042</v>
      </c>
      <c r="C809">
        <v>8.8000000000000007</v>
      </c>
      <c r="D809">
        <v>4.5</v>
      </c>
      <c r="E809">
        <v>111</v>
      </c>
      <c r="F809">
        <v>6.23</v>
      </c>
      <c r="G809">
        <v>1.39</v>
      </c>
    </row>
    <row r="810" spans="1:7">
      <c r="A810">
        <v>9949</v>
      </c>
      <c r="B810" t="s">
        <v>2043</v>
      </c>
      <c r="C810" t="s">
        <v>1259</v>
      </c>
      <c r="D810">
        <v>0</v>
      </c>
      <c r="E810">
        <v>111</v>
      </c>
      <c r="F810">
        <v>0</v>
      </c>
      <c r="G810">
        <v>2.1800000000000002</v>
      </c>
    </row>
    <row r="811" spans="1:7">
      <c r="A811">
        <v>9950</v>
      </c>
      <c r="B811" t="s">
        <v>2044</v>
      </c>
      <c r="C811">
        <v>3.79</v>
      </c>
      <c r="D811">
        <v>0</v>
      </c>
      <c r="E811">
        <v>111</v>
      </c>
      <c r="F811">
        <v>0</v>
      </c>
      <c r="G811">
        <v>2.87</v>
      </c>
    </row>
    <row r="812" spans="1:7">
      <c r="A812">
        <v>9951</v>
      </c>
      <c r="B812" t="s">
        <v>2045</v>
      </c>
      <c r="C812">
        <v>12.33</v>
      </c>
      <c r="D812">
        <v>3.3</v>
      </c>
      <c r="E812">
        <v>111</v>
      </c>
      <c r="F812">
        <v>4.3600000000000003</v>
      </c>
      <c r="G812">
        <v>1.6</v>
      </c>
    </row>
    <row r="813" spans="1:7">
      <c r="A813">
        <v>9960</v>
      </c>
      <c r="B813" t="s">
        <v>2046</v>
      </c>
      <c r="C813">
        <v>9.8000000000000007</v>
      </c>
      <c r="D813">
        <v>2.2000000000000002</v>
      </c>
      <c r="E813">
        <v>111</v>
      </c>
      <c r="F813">
        <v>8.01</v>
      </c>
      <c r="G813">
        <v>1.51</v>
      </c>
    </row>
    <row r="814" spans="1:7">
      <c r="A814">
        <v>9962</v>
      </c>
      <c r="B814" t="s">
        <v>2047</v>
      </c>
      <c r="C814">
        <v>10.74</v>
      </c>
      <c r="D814">
        <v>1.8</v>
      </c>
      <c r="E814">
        <v>111</v>
      </c>
      <c r="F814">
        <v>9.86</v>
      </c>
      <c r="G814">
        <v>1.44</v>
      </c>
    </row>
    <row r="815" spans="1:7">
      <c r="A815" t="s">
        <v>2115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3BF0A-AE11-4652-944C-580C1145A010}">
  <sheetPr codeName="工作表22"/>
  <dimension ref="A1:D89"/>
  <sheetViews>
    <sheetView workbookViewId="0"/>
  </sheetViews>
  <sheetFormatPr baseColWidth="10" defaultColWidth="8.83203125" defaultRowHeight="15"/>
  <sheetData>
    <row r="1" spans="1:4">
      <c r="A1" t="s">
        <v>203</v>
      </c>
      <c r="B1" t="s">
        <v>204</v>
      </c>
      <c r="C1" t="s">
        <v>205</v>
      </c>
      <c r="D1" t="s">
        <v>206</v>
      </c>
    </row>
    <row r="2" spans="1:4">
      <c r="A2" t="s">
        <v>10</v>
      </c>
      <c r="B2">
        <v>21803.77</v>
      </c>
      <c r="C2">
        <v>238.43</v>
      </c>
      <c r="D2" s="5">
        <v>1.11E-2</v>
      </c>
    </row>
    <row r="3" spans="1:4">
      <c r="A3" t="s">
        <v>207</v>
      </c>
      <c r="B3">
        <v>47155.74</v>
      </c>
      <c r="C3">
        <v>515.77</v>
      </c>
      <c r="D3" s="5">
        <v>1.11E-2</v>
      </c>
    </row>
    <row r="4" spans="1:4">
      <c r="A4" t="s">
        <v>11</v>
      </c>
      <c r="B4">
        <v>111.57</v>
      </c>
      <c r="C4">
        <v>1.58</v>
      </c>
      <c r="D4" s="5">
        <v>1.44E-2</v>
      </c>
    </row>
    <row r="5" spans="1:4">
      <c r="A5" t="s">
        <v>12</v>
      </c>
      <c r="B5">
        <v>70.849999999999994</v>
      </c>
      <c r="C5">
        <v>0.36</v>
      </c>
      <c r="D5" s="5">
        <v>5.1000000000000004E-3</v>
      </c>
    </row>
    <row r="6" spans="1:4">
      <c r="A6" t="s">
        <v>13</v>
      </c>
      <c r="B6">
        <v>98.73</v>
      </c>
      <c r="C6">
        <v>0.15</v>
      </c>
      <c r="D6" s="5">
        <v>1.5E-3</v>
      </c>
    </row>
    <row r="7" spans="1:4">
      <c r="A7" t="s">
        <v>14</v>
      </c>
      <c r="B7">
        <v>110.8</v>
      </c>
      <c r="C7">
        <v>-1.62</v>
      </c>
      <c r="D7" s="5">
        <v>-1.44E-2</v>
      </c>
    </row>
    <row r="8" spans="1:4">
      <c r="A8" t="s">
        <v>208</v>
      </c>
      <c r="B8">
        <v>15566.93</v>
      </c>
      <c r="C8">
        <v>263.38</v>
      </c>
      <c r="D8" s="5">
        <v>1.72E-2</v>
      </c>
    </row>
    <row r="9" spans="1:4">
      <c r="A9" t="s">
        <v>209</v>
      </c>
      <c r="B9">
        <v>11781.31</v>
      </c>
      <c r="C9">
        <v>95.63</v>
      </c>
      <c r="D9" s="5">
        <v>8.2000000000000007E-3</v>
      </c>
    </row>
    <row r="10" spans="1:4">
      <c r="A10" t="s">
        <v>210</v>
      </c>
      <c r="B10">
        <v>3057.37</v>
      </c>
      <c r="C10">
        <v>-34.18</v>
      </c>
      <c r="D10" s="5">
        <v>-1.11E-2</v>
      </c>
    </row>
    <row r="11" spans="1:4">
      <c r="A11" t="s">
        <v>211</v>
      </c>
      <c r="B11">
        <v>58071.34</v>
      </c>
      <c r="C11">
        <v>1256.31</v>
      </c>
      <c r="D11" s="5">
        <v>2.2100000000000002E-2</v>
      </c>
    </row>
    <row r="12" spans="1:4">
      <c r="A12" t="s">
        <v>212</v>
      </c>
      <c r="B12">
        <v>12635.7</v>
      </c>
      <c r="C12">
        <v>143.88</v>
      </c>
      <c r="D12" s="5">
        <v>1.15E-2</v>
      </c>
    </row>
    <row r="13" spans="1:4">
      <c r="A13" t="s">
        <v>213</v>
      </c>
      <c r="B13">
        <v>70232.639999999999</v>
      </c>
      <c r="C13">
        <v>1803.04</v>
      </c>
      <c r="D13" s="5">
        <v>2.63E-2</v>
      </c>
    </row>
    <row r="14" spans="1:4">
      <c r="A14" t="s">
        <v>214</v>
      </c>
      <c r="B14">
        <v>2376.6</v>
      </c>
      <c r="C14">
        <v>-31.73</v>
      </c>
      <c r="D14" s="5">
        <v>-1.32E-2</v>
      </c>
    </row>
    <row r="15" spans="1:4">
      <c r="A15" t="s">
        <v>215</v>
      </c>
      <c r="B15">
        <v>11949.53</v>
      </c>
      <c r="C15">
        <v>232.22</v>
      </c>
      <c r="D15" s="5">
        <v>1.9800000000000002E-2</v>
      </c>
    </row>
    <row r="16" spans="1:4">
      <c r="A16" t="s">
        <v>216</v>
      </c>
      <c r="B16">
        <v>24758.16</v>
      </c>
      <c r="C16">
        <v>266.02999999999997</v>
      </c>
      <c r="D16" s="5">
        <v>1.09E-2</v>
      </c>
    </row>
    <row r="17" spans="1:4">
      <c r="A17" t="s">
        <v>217</v>
      </c>
      <c r="B17">
        <v>13304.7</v>
      </c>
      <c r="C17">
        <v>161.82</v>
      </c>
      <c r="D17" s="5">
        <v>1.23E-2</v>
      </c>
    </row>
    <row r="18" spans="1:4">
      <c r="A18" t="s">
        <v>218</v>
      </c>
      <c r="B18">
        <v>562.48</v>
      </c>
      <c r="C18">
        <v>5.36</v>
      </c>
      <c r="D18" s="5">
        <v>9.5999999999999992E-3</v>
      </c>
    </row>
    <row r="19" spans="1:4">
      <c r="A19" t="s">
        <v>219</v>
      </c>
      <c r="B19">
        <v>1031.3699999999999</v>
      </c>
      <c r="C19">
        <v>9.83</v>
      </c>
      <c r="D19" s="5">
        <v>9.5999999999999992E-3</v>
      </c>
    </row>
    <row r="20" spans="1:4">
      <c r="A20" t="s">
        <v>15</v>
      </c>
      <c r="B20">
        <v>294.72000000000003</v>
      </c>
      <c r="C20">
        <v>6.59</v>
      </c>
      <c r="D20" s="5">
        <v>2.29E-2</v>
      </c>
    </row>
    <row r="21" spans="1:4">
      <c r="A21" t="s">
        <v>220</v>
      </c>
      <c r="B21">
        <v>684.18</v>
      </c>
      <c r="C21">
        <v>15.3</v>
      </c>
      <c r="D21" s="5">
        <v>2.29E-2</v>
      </c>
    </row>
    <row r="22" spans="1:4">
      <c r="A22" t="s">
        <v>16</v>
      </c>
      <c r="B22">
        <v>39.090000000000003</v>
      </c>
      <c r="C22">
        <v>0.48</v>
      </c>
      <c r="D22" s="5">
        <v>1.24E-2</v>
      </c>
    </row>
    <row r="23" spans="1:4">
      <c r="A23" t="s">
        <v>221</v>
      </c>
      <c r="B23">
        <v>59.64</v>
      </c>
      <c r="C23">
        <v>0.72</v>
      </c>
      <c r="D23" s="5">
        <v>1.2200000000000001E-2</v>
      </c>
    </row>
    <row r="24" spans="1:4">
      <c r="A24" t="s">
        <v>17</v>
      </c>
      <c r="B24">
        <v>154.79</v>
      </c>
      <c r="C24">
        <v>-0.99</v>
      </c>
      <c r="D24" s="5">
        <v>-6.4000000000000003E-3</v>
      </c>
    </row>
    <row r="25" spans="1:4">
      <c r="A25" t="s">
        <v>222</v>
      </c>
      <c r="B25">
        <v>336.81</v>
      </c>
      <c r="C25">
        <v>-2.17</v>
      </c>
      <c r="D25" s="5">
        <v>-6.4000000000000003E-3</v>
      </c>
    </row>
    <row r="26" spans="1:4">
      <c r="A26" t="s">
        <v>18</v>
      </c>
      <c r="B26">
        <v>230.77</v>
      </c>
      <c r="C26">
        <v>3.62</v>
      </c>
      <c r="D26" s="5">
        <v>1.5900000000000001E-2</v>
      </c>
    </row>
    <row r="27" spans="1:4">
      <c r="A27" t="s">
        <v>223</v>
      </c>
      <c r="B27">
        <v>445.1</v>
      </c>
      <c r="C27">
        <v>6.98</v>
      </c>
      <c r="D27" s="5">
        <v>1.5900000000000001E-2</v>
      </c>
    </row>
    <row r="28" spans="1:4">
      <c r="A28" t="s">
        <v>19</v>
      </c>
      <c r="B28">
        <v>280.51</v>
      </c>
      <c r="C28">
        <v>3.75</v>
      </c>
      <c r="D28" s="5">
        <v>1.35E-2</v>
      </c>
    </row>
    <row r="29" spans="1:4">
      <c r="A29" t="s">
        <v>224</v>
      </c>
      <c r="B29">
        <v>722.75</v>
      </c>
      <c r="C29">
        <v>9.66</v>
      </c>
      <c r="D29" s="5">
        <v>1.35E-2</v>
      </c>
    </row>
    <row r="30" spans="1:4">
      <c r="A30" t="s">
        <v>20</v>
      </c>
      <c r="B30">
        <v>195.91</v>
      </c>
      <c r="C30">
        <v>1</v>
      </c>
      <c r="D30" s="5">
        <v>5.1000000000000004E-3</v>
      </c>
    </row>
    <row r="31" spans="1:4">
      <c r="A31" t="s">
        <v>225</v>
      </c>
      <c r="B31">
        <v>478.52</v>
      </c>
      <c r="C31">
        <v>2.44</v>
      </c>
      <c r="D31" s="5">
        <v>5.1000000000000004E-3</v>
      </c>
    </row>
    <row r="32" spans="1:4">
      <c r="A32" t="s">
        <v>21</v>
      </c>
      <c r="B32">
        <v>163.63999999999999</v>
      </c>
      <c r="C32">
        <v>6.33</v>
      </c>
      <c r="D32" s="5">
        <v>4.02E-2</v>
      </c>
    </row>
    <row r="33" spans="1:4">
      <c r="A33" t="s">
        <v>226</v>
      </c>
      <c r="B33">
        <v>277.26</v>
      </c>
      <c r="C33">
        <v>10.72</v>
      </c>
      <c r="D33" s="5">
        <v>4.02E-2</v>
      </c>
    </row>
    <row r="34" spans="1:4">
      <c r="A34" t="s">
        <v>22</v>
      </c>
      <c r="B34">
        <v>168.43</v>
      </c>
      <c r="C34">
        <v>0.77</v>
      </c>
      <c r="D34" s="5">
        <v>4.5999999999999999E-3</v>
      </c>
    </row>
    <row r="35" spans="1:4">
      <c r="A35" t="s">
        <v>227</v>
      </c>
      <c r="B35">
        <v>296.29000000000002</v>
      </c>
      <c r="C35">
        <v>1.35</v>
      </c>
      <c r="D35" s="5">
        <v>4.5999999999999999E-3</v>
      </c>
    </row>
    <row r="36" spans="1:4">
      <c r="A36" t="s">
        <v>23</v>
      </c>
      <c r="B36">
        <v>73.33</v>
      </c>
      <c r="C36">
        <v>0.19</v>
      </c>
      <c r="D36" s="5">
        <v>2.5999999999999999E-3</v>
      </c>
    </row>
    <row r="37" spans="1:4">
      <c r="A37" t="s">
        <v>228</v>
      </c>
      <c r="B37">
        <v>106.04</v>
      </c>
      <c r="C37">
        <v>0.28000000000000003</v>
      </c>
      <c r="D37" s="5">
        <v>2.5999999999999999E-3</v>
      </c>
    </row>
    <row r="38" spans="1:4">
      <c r="A38" t="s">
        <v>24</v>
      </c>
      <c r="B38">
        <v>92.91</v>
      </c>
      <c r="C38">
        <v>-0.59</v>
      </c>
      <c r="D38" s="5">
        <v>-6.3E-3</v>
      </c>
    </row>
    <row r="39" spans="1:4">
      <c r="A39" t="s">
        <v>229</v>
      </c>
      <c r="B39">
        <v>149.18</v>
      </c>
      <c r="C39">
        <v>-0.94</v>
      </c>
      <c r="D39" s="5">
        <v>-6.3E-3</v>
      </c>
    </row>
    <row r="40" spans="1:4">
      <c r="A40" t="s">
        <v>230</v>
      </c>
      <c r="B40">
        <v>10307.799999999999</v>
      </c>
      <c r="C40">
        <v>110.17</v>
      </c>
      <c r="D40" s="5">
        <v>1.0800000000000001E-2</v>
      </c>
    </row>
    <row r="41" spans="1:4">
      <c r="A41" t="s">
        <v>231</v>
      </c>
      <c r="B41">
        <v>10126.620000000001</v>
      </c>
      <c r="C41">
        <v>156.80000000000001</v>
      </c>
      <c r="D41" s="5">
        <v>1.5699999999999999E-2</v>
      </c>
    </row>
    <row r="42" spans="1:4">
      <c r="A42" t="s">
        <v>25</v>
      </c>
      <c r="B42">
        <v>16121.66</v>
      </c>
      <c r="C42">
        <v>120.26</v>
      </c>
      <c r="D42" s="5">
        <v>7.4999999999999997E-3</v>
      </c>
    </row>
    <row r="43" spans="1:4">
      <c r="A43" t="s">
        <v>232</v>
      </c>
      <c r="B43">
        <v>35974.81</v>
      </c>
      <c r="C43">
        <v>268.68</v>
      </c>
      <c r="D43" s="5">
        <v>7.4999999999999997E-3</v>
      </c>
    </row>
    <row r="44" spans="1:4">
      <c r="A44" t="s">
        <v>233</v>
      </c>
      <c r="B44">
        <v>20359.23</v>
      </c>
      <c r="C44">
        <v>226.2</v>
      </c>
      <c r="D44" s="5">
        <v>1.12E-2</v>
      </c>
    </row>
    <row r="45" spans="1:4">
      <c r="A45" t="s">
        <v>234</v>
      </c>
      <c r="B45">
        <v>34494.19</v>
      </c>
      <c r="C45">
        <v>458.74</v>
      </c>
      <c r="D45" s="5">
        <v>1.35E-2</v>
      </c>
    </row>
    <row r="46" spans="1:4">
      <c r="A46" t="s">
        <v>235</v>
      </c>
      <c r="B46">
        <v>17331.39</v>
      </c>
      <c r="C46">
        <v>210.63</v>
      </c>
      <c r="D46" s="5">
        <v>1.23E-2</v>
      </c>
    </row>
    <row r="47" spans="1:4">
      <c r="A47" t="s">
        <v>26</v>
      </c>
      <c r="B47">
        <v>20164.240000000002</v>
      </c>
      <c r="C47">
        <v>131.74</v>
      </c>
      <c r="D47" s="5">
        <v>6.6E-3</v>
      </c>
    </row>
    <row r="48" spans="1:4">
      <c r="A48" t="s">
        <v>27</v>
      </c>
      <c r="B48">
        <v>1155.1099999999999</v>
      </c>
      <c r="C48">
        <v>15.02</v>
      </c>
      <c r="D48" s="5">
        <v>1.32E-2</v>
      </c>
    </row>
    <row r="49" spans="1:4">
      <c r="A49" t="s">
        <v>236</v>
      </c>
      <c r="B49">
        <v>2260.81</v>
      </c>
      <c r="C49">
        <v>29.4</v>
      </c>
      <c r="D49" s="5">
        <v>1.32E-2</v>
      </c>
    </row>
    <row r="50" spans="1:4">
      <c r="A50" t="s">
        <v>28</v>
      </c>
      <c r="B50">
        <v>161.84</v>
      </c>
      <c r="C50">
        <v>-1.1000000000000001</v>
      </c>
      <c r="D50" s="5">
        <v>-6.7999999999999996E-3</v>
      </c>
    </row>
    <row r="51" spans="1:4">
      <c r="A51" t="s">
        <v>237</v>
      </c>
      <c r="B51">
        <v>330.94</v>
      </c>
      <c r="C51">
        <v>-2.2400000000000002</v>
      </c>
      <c r="D51" s="5">
        <v>-6.7000000000000002E-3</v>
      </c>
    </row>
    <row r="52" spans="1:4">
      <c r="A52" t="s">
        <v>29</v>
      </c>
      <c r="B52">
        <v>186.46</v>
      </c>
      <c r="C52">
        <v>1.99</v>
      </c>
      <c r="D52" s="5">
        <v>1.0800000000000001E-2</v>
      </c>
    </row>
    <row r="53" spans="1:4">
      <c r="A53" t="s">
        <v>238</v>
      </c>
      <c r="B53">
        <v>354.4</v>
      </c>
      <c r="C53">
        <v>3.78</v>
      </c>
      <c r="D53" s="5">
        <v>1.0800000000000001E-2</v>
      </c>
    </row>
    <row r="54" spans="1:4">
      <c r="A54" t="s">
        <v>30</v>
      </c>
      <c r="B54">
        <v>424.49</v>
      </c>
      <c r="C54">
        <v>9.36</v>
      </c>
      <c r="D54" s="5">
        <v>2.2499999999999999E-2</v>
      </c>
    </row>
    <row r="55" spans="1:4">
      <c r="A55" t="s">
        <v>239</v>
      </c>
      <c r="B55">
        <v>655.61</v>
      </c>
      <c r="C55">
        <v>14.45</v>
      </c>
      <c r="D55" s="5">
        <v>2.2499999999999999E-2</v>
      </c>
    </row>
    <row r="56" spans="1:4">
      <c r="A56" t="s">
        <v>31</v>
      </c>
      <c r="B56">
        <v>119.74</v>
      </c>
      <c r="C56">
        <v>2.15</v>
      </c>
      <c r="D56" s="5">
        <v>1.83E-2</v>
      </c>
    </row>
    <row r="57" spans="1:4">
      <c r="A57" t="s">
        <v>240</v>
      </c>
      <c r="B57">
        <v>192.27</v>
      </c>
      <c r="C57">
        <v>3.46</v>
      </c>
      <c r="D57" s="5">
        <v>1.83E-2</v>
      </c>
    </row>
    <row r="58" spans="1:4">
      <c r="A58" t="s">
        <v>32</v>
      </c>
      <c r="B58">
        <v>135.11000000000001</v>
      </c>
      <c r="C58">
        <v>0.47</v>
      </c>
      <c r="D58" s="5">
        <v>3.5000000000000001E-3</v>
      </c>
    </row>
    <row r="59" spans="1:4">
      <c r="A59" t="s">
        <v>241</v>
      </c>
      <c r="B59">
        <v>219.08</v>
      </c>
      <c r="C59">
        <v>0.76</v>
      </c>
      <c r="D59" s="5">
        <v>3.5000000000000001E-3</v>
      </c>
    </row>
    <row r="60" spans="1:4">
      <c r="A60" t="s">
        <v>33</v>
      </c>
      <c r="B60">
        <v>49.1</v>
      </c>
      <c r="C60">
        <v>-0.51</v>
      </c>
      <c r="D60" s="5">
        <v>-1.03E-2</v>
      </c>
    </row>
    <row r="61" spans="1:4">
      <c r="A61" t="s">
        <v>242</v>
      </c>
      <c r="B61">
        <v>62.3</v>
      </c>
      <c r="C61">
        <v>-0.64</v>
      </c>
      <c r="D61" s="5">
        <v>-1.0200000000000001E-2</v>
      </c>
    </row>
    <row r="62" spans="1:4">
      <c r="A62" t="s">
        <v>34</v>
      </c>
      <c r="B62">
        <v>145.22999999999999</v>
      </c>
      <c r="C62">
        <v>-0.32</v>
      </c>
      <c r="D62" s="5">
        <v>-2.2000000000000001E-3</v>
      </c>
    </row>
    <row r="63" spans="1:4">
      <c r="A63" t="s">
        <v>243</v>
      </c>
      <c r="B63">
        <v>256.60000000000002</v>
      </c>
      <c r="C63">
        <v>-0.57999999999999996</v>
      </c>
      <c r="D63" s="5">
        <v>-2.3E-3</v>
      </c>
    </row>
    <row r="64" spans="1:4">
      <c r="A64" t="s">
        <v>35</v>
      </c>
      <c r="B64">
        <v>316.19</v>
      </c>
      <c r="C64">
        <v>-2.16</v>
      </c>
      <c r="D64" s="5">
        <v>-6.7999999999999996E-3</v>
      </c>
    </row>
    <row r="65" spans="1:4">
      <c r="A65" t="s">
        <v>244</v>
      </c>
      <c r="B65">
        <v>524.13</v>
      </c>
      <c r="C65">
        <v>-3.58</v>
      </c>
      <c r="D65" s="5">
        <v>-6.7999999999999996E-3</v>
      </c>
    </row>
    <row r="66" spans="1:4">
      <c r="A66" t="s">
        <v>36</v>
      </c>
      <c r="B66">
        <v>409.17</v>
      </c>
      <c r="C66">
        <v>3.52</v>
      </c>
      <c r="D66" s="5">
        <v>8.6999999999999994E-3</v>
      </c>
    </row>
    <row r="67" spans="1:4">
      <c r="A67" t="s">
        <v>245</v>
      </c>
      <c r="B67">
        <v>668.51</v>
      </c>
      <c r="C67">
        <v>5.85</v>
      </c>
      <c r="D67" s="5">
        <v>8.8000000000000005E-3</v>
      </c>
    </row>
    <row r="68" spans="1:4">
      <c r="A68" t="s">
        <v>37</v>
      </c>
      <c r="B68">
        <v>199.62</v>
      </c>
      <c r="C68">
        <v>5.44</v>
      </c>
      <c r="D68" s="5">
        <v>2.8000000000000001E-2</v>
      </c>
    </row>
    <row r="69" spans="1:4">
      <c r="A69" t="s">
        <v>246</v>
      </c>
      <c r="B69">
        <v>383.26</v>
      </c>
      <c r="C69">
        <v>10.43</v>
      </c>
      <c r="D69" s="5">
        <v>2.8000000000000001E-2</v>
      </c>
    </row>
    <row r="70" spans="1:4">
      <c r="A70" t="s">
        <v>38</v>
      </c>
      <c r="B70">
        <v>135.88999999999999</v>
      </c>
      <c r="C70">
        <v>0.81</v>
      </c>
      <c r="D70" s="5">
        <v>6.0000000000000001E-3</v>
      </c>
    </row>
    <row r="71" spans="1:4">
      <c r="A71" t="s">
        <v>247</v>
      </c>
      <c r="B71">
        <v>192.19</v>
      </c>
      <c r="C71">
        <v>1.1499999999999999</v>
      </c>
      <c r="D71" s="5">
        <v>6.0000000000000001E-3</v>
      </c>
    </row>
    <row r="72" spans="1:4">
      <c r="A72" t="s">
        <v>39</v>
      </c>
      <c r="B72">
        <v>294.23</v>
      </c>
      <c r="C72">
        <v>0.34</v>
      </c>
      <c r="D72" s="5">
        <v>1.1999999999999999E-3</v>
      </c>
    </row>
    <row r="73" spans="1:4">
      <c r="A73" t="s">
        <v>248</v>
      </c>
      <c r="B73">
        <v>473.51</v>
      </c>
      <c r="C73">
        <v>0.55000000000000004</v>
      </c>
      <c r="D73" s="5">
        <v>1.1999999999999999E-3</v>
      </c>
    </row>
    <row r="74" spans="1:4">
      <c r="A74" t="s">
        <v>40</v>
      </c>
      <c r="B74">
        <v>361.61</v>
      </c>
      <c r="C74">
        <v>2.27</v>
      </c>
      <c r="D74" s="5">
        <v>6.3E-3</v>
      </c>
    </row>
    <row r="75" spans="1:4">
      <c r="A75" t="s">
        <v>249</v>
      </c>
      <c r="B75">
        <v>634.88</v>
      </c>
      <c r="C75">
        <v>3.97</v>
      </c>
      <c r="D75" s="5">
        <v>6.3E-3</v>
      </c>
    </row>
    <row r="76" spans="1:4">
      <c r="A76" t="s">
        <v>41</v>
      </c>
      <c r="B76">
        <v>2187.89</v>
      </c>
      <c r="C76">
        <v>5.86</v>
      </c>
      <c r="D76" s="5">
        <v>2.7000000000000001E-3</v>
      </c>
    </row>
    <row r="77" spans="1:4">
      <c r="A77" t="s">
        <v>250</v>
      </c>
      <c r="B77">
        <v>3542.49</v>
      </c>
      <c r="C77">
        <v>9.49</v>
      </c>
      <c r="D77" s="5">
        <v>2.7000000000000001E-3</v>
      </c>
    </row>
    <row r="78" spans="1:4">
      <c r="A78" t="s">
        <v>42</v>
      </c>
      <c r="B78">
        <v>629.02</v>
      </c>
      <c r="C78">
        <v>-2.2000000000000002</v>
      </c>
      <c r="D78" s="5">
        <v>-3.5000000000000001E-3</v>
      </c>
    </row>
    <row r="79" spans="1:4">
      <c r="A79" t="s">
        <v>251</v>
      </c>
      <c r="B79">
        <v>1083.3599999999999</v>
      </c>
      <c r="C79">
        <v>-3.8</v>
      </c>
      <c r="D79" s="5">
        <v>-3.5000000000000001E-3</v>
      </c>
    </row>
    <row r="80" spans="1:4">
      <c r="A80" t="s">
        <v>43</v>
      </c>
      <c r="B80">
        <v>343.27</v>
      </c>
      <c r="C80">
        <v>2.09</v>
      </c>
      <c r="D80" s="5">
        <v>6.1000000000000004E-3</v>
      </c>
    </row>
    <row r="81" spans="1:4">
      <c r="A81" t="s">
        <v>252</v>
      </c>
      <c r="B81">
        <v>546.41</v>
      </c>
      <c r="C81">
        <v>3.33</v>
      </c>
      <c r="D81" s="5">
        <v>6.1000000000000004E-3</v>
      </c>
    </row>
    <row r="82" spans="1:4">
      <c r="A82" t="s">
        <v>44</v>
      </c>
      <c r="B82">
        <v>575.89</v>
      </c>
      <c r="C82">
        <v>2.08</v>
      </c>
      <c r="D82" s="5">
        <v>3.5999999999999999E-3</v>
      </c>
    </row>
    <row r="83" spans="1:4">
      <c r="A83" t="s">
        <v>253</v>
      </c>
      <c r="B83">
        <v>1212.76</v>
      </c>
      <c r="C83">
        <v>4.37</v>
      </c>
      <c r="D83" s="5">
        <v>3.5999999999999999E-3</v>
      </c>
    </row>
    <row r="84" spans="1:4">
      <c r="A84" t="s">
        <v>45</v>
      </c>
      <c r="B84">
        <v>1950.67</v>
      </c>
      <c r="C84">
        <v>9.01</v>
      </c>
      <c r="D84" s="5">
        <v>4.5999999999999999E-3</v>
      </c>
    </row>
    <row r="85" spans="1:4">
      <c r="A85" t="s">
        <v>254</v>
      </c>
      <c r="B85">
        <v>3469.63</v>
      </c>
      <c r="C85">
        <v>16.010000000000002</v>
      </c>
      <c r="D85" s="5">
        <v>4.5999999999999999E-3</v>
      </c>
    </row>
    <row r="86" spans="1:4">
      <c r="A86" t="s">
        <v>46</v>
      </c>
      <c r="B86">
        <v>615.71</v>
      </c>
      <c r="C86">
        <v>-4.46</v>
      </c>
      <c r="D86" s="5">
        <v>-7.1999999999999998E-3</v>
      </c>
    </row>
    <row r="87" spans="1:4">
      <c r="A87" t="s">
        <v>47</v>
      </c>
      <c r="B87">
        <v>774.01</v>
      </c>
      <c r="C87">
        <v>4.3499999999999996</v>
      </c>
      <c r="D87" s="5">
        <v>5.7000000000000002E-3</v>
      </c>
    </row>
    <row r="88" spans="1:4">
      <c r="A88" t="s">
        <v>48</v>
      </c>
      <c r="B88">
        <v>6470.24</v>
      </c>
      <c r="C88">
        <v>85.9</v>
      </c>
      <c r="D88" s="5">
        <v>1.35E-2</v>
      </c>
    </row>
    <row r="89" spans="1:4">
      <c r="A89" t="s">
        <v>49</v>
      </c>
      <c r="B89">
        <v>19095.09</v>
      </c>
      <c r="C89">
        <v>222.82</v>
      </c>
      <c r="D89" s="5">
        <v>1.18E-2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3C28A-F957-40F5-A0B1-38C7292A8F08}">
  <sheetPr codeName="工作表23"/>
  <dimension ref="A1:F28"/>
  <sheetViews>
    <sheetView workbookViewId="0"/>
  </sheetViews>
  <sheetFormatPr baseColWidth="10" defaultColWidth="8.83203125" defaultRowHeight="15"/>
  <cols>
    <col min="1" max="1" width="56.83203125" bestFit="1" customWidth="1"/>
    <col min="2" max="2" width="7.5" bestFit="1" customWidth="1"/>
    <col min="3" max="3" width="6.1640625" bestFit="1" customWidth="1"/>
    <col min="4" max="6" width="7.5" bestFit="1" customWidth="1"/>
  </cols>
  <sheetData>
    <row r="1" spans="1:6">
      <c r="A1" t="s">
        <v>50</v>
      </c>
    </row>
    <row r="3" spans="1:6">
      <c r="A3" t="s">
        <v>257</v>
      </c>
    </row>
    <row r="4" spans="1:6">
      <c r="A4" t="s">
        <v>51</v>
      </c>
      <c r="B4" t="s">
        <v>52</v>
      </c>
      <c r="C4" t="s">
        <v>53</v>
      </c>
      <c r="D4" t="s">
        <v>54</v>
      </c>
      <c r="E4" t="s">
        <v>55</v>
      </c>
      <c r="F4" t="s">
        <v>56</v>
      </c>
    </row>
    <row r="5" spans="1:6">
      <c r="A5" t="s">
        <v>142</v>
      </c>
      <c r="B5">
        <v>132.51</v>
      </c>
      <c r="C5">
        <v>2.75</v>
      </c>
      <c r="D5">
        <v>130.03</v>
      </c>
      <c r="E5">
        <v>132.6</v>
      </c>
      <c r="F5">
        <v>129.79</v>
      </c>
    </row>
    <row r="6" spans="1:6">
      <c r="A6" t="s">
        <v>143</v>
      </c>
      <c r="B6">
        <v>218.68</v>
      </c>
      <c r="C6">
        <v>4.1500000000000004</v>
      </c>
      <c r="D6">
        <v>214.59</v>
      </c>
      <c r="E6">
        <v>219.23</v>
      </c>
      <c r="F6">
        <v>214.59</v>
      </c>
    </row>
    <row r="7" spans="1:6">
      <c r="A7" t="s">
        <v>144</v>
      </c>
      <c r="B7">
        <v>183.85</v>
      </c>
      <c r="C7">
        <v>0.44</v>
      </c>
      <c r="D7">
        <v>183.42</v>
      </c>
      <c r="E7">
        <v>184.71</v>
      </c>
      <c r="F7">
        <v>183.42</v>
      </c>
    </row>
    <row r="8" spans="1:6">
      <c r="A8" t="s">
        <v>145</v>
      </c>
      <c r="B8">
        <v>417.81</v>
      </c>
      <c r="C8">
        <v>4.83</v>
      </c>
      <c r="D8">
        <v>413.88</v>
      </c>
      <c r="E8">
        <v>419.97</v>
      </c>
      <c r="F8">
        <v>413.88</v>
      </c>
    </row>
    <row r="9" spans="1:6">
      <c r="A9" t="s">
        <v>146</v>
      </c>
      <c r="B9">
        <v>320.64999999999998</v>
      </c>
      <c r="C9">
        <v>0.83</v>
      </c>
      <c r="D9">
        <v>319.75</v>
      </c>
      <c r="E9">
        <v>321.81</v>
      </c>
      <c r="F9">
        <v>318.64</v>
      </c>
    </row>
    <row r="10" spans="1:6">
      <c r="A10" t="s">
        <v>147</v>
      </c>
      <c r="B10">
        <v>211.28</v>
      </c>
      <c r="C10">
        <v>5.0999999999999996</v>
      </c>
      <c r="D10">
        <v>206.94</v>
      </c>
      <c r="E10">
        <v>212.66</v>
      </c>
      <c r="F10">
        <v>206.94</v>
      </c>
    </row>
    <row r="11" spans="1:6">
      <c r="A11" t="s">
        <v>148</v>
      </c>
      <c r="B11">
        <v>100.82</v>
      </c>
      <c r="C11">
        <v>0.64</v>
      </c>
      <c r="D11">
        <v>101.17</v>
      </c>
      <c r="E11">
        <v>101.35</v>
      </c>
      <c r="F11">
        <v>100.09</v>
      </c>
    </row>
    <row r="12" spans="1:6">
      <c r="A12" t="s">
        <v>149</v>
      </c>
      <c r="B12">
        <v>153.91999999999999</v>
      </c>
      <c r="C12">
        <v>1.23</v>
      </c>
      <c r="D12">
        <v>152.86000000000001</v>
      </c>
      <c r="E12">
        <v>154.30000000000001</v>
      </c>
      <c r="F12">
        <v>152.85</v>
      </c>
    </row>
    <row r="13" spans="1:6">
      <c r="A13" t="s">
        <v>150</v>
      </c>
      <c r="B13">
        <v>151.6</v>
      </c>
      <c r="C13">
        <v>1.03</v>
      </c>
      <c r="D13">
        <v>150.57</v>
      </c>
      <c r="E13">
        <v>152.15</v>
      </c>
      <c r="F13">
        <v>150.47999999999999</v>
      </c>
    </row>
    <row r="14" spans="1:6">
      <c r="A14" t="s">
        <v>151</v>
      </c>
      <c r="B14">
        <v>192.56</v>
      </c>
      <c r="C14">
        <v>0.18</v>
      </c>
      <c r="D14">
        <v>192.31</v>
      </c>
      <c r="E14">
        <v>192.85</v>
      </c>
      <c r="F14">
        <v>191.98</v>
      </c>
    </row>
    <row r="15" spans="1:6">
      <c r="A15" t="s">
        <v>152</v>
      </c>
      <c r="B15">
        <v>124.16</v>
      </c>
      <c r="C15">
        <v>1.1100000000000001</v>
      </c>
      <c r="D15">
        <v>123.31</v>
      </c>
      <c r="E15">
        <v>125.25</v>
      </c>
      <c r="F15">
        <v>123.31</v>
      </c>
    </row>
    <row r="16" spans="1:6">
      <c r="A16" t="s">
        <v>153</v>
      </c>
      <c r="B16">
        <v>130.84</v>
      </c>
      <c r="C16">
        <v>2.95</v>
      </c>
      <c r="D16">
        <v>128</v>
      </c>
      <c r="E16">
        <v>131.13</v>
      </c>
      <c r="F16">
        <v>128</v>
      </c>
    </row>
    <row r="17" spans="1:6">
      <c r="A17" t="s">
        <v>154</v>
      </c>
      <c r="B17">
        <v>75.83</v>
      </c>
      <c r="C17">
        <v>1.1100000000000001</v>
      </c>
      <c r="D17">
        <v>74.930000000000007</v>
      </c>
      <c r="E17">
        <v>76.12</v>
      </c>
      <c r="F17">
        <v>74.8</v>
      </c>
    </row>
    <row r="18" spans="1:6">
      <c r="A18" t="s">
        <v>155</v>
      </c>
      <c r="B18">
        <v>132.41999999999999</v>
      </c>
      <c r="C18">
        <v>1.58</v>
      </c>
      <c r="D18">
        <v>131.33000000000001</v>
      </c>
      <c r="E18">
        <v>133.56</v>
      </c>
      <c r="F18">
        <v>131.33000000000001</v>
      </c>
    </row>
    <row r="19" spans="1:6">
      <c r="A19" t="s">
        <v>156</v>
      </c>
      <c r="B19">
        <v>135.99</v>
      </c>
      <c r="C19">
        <v>1</v>
      </c>
      <c r="D19">
        <v>135.29</v>
      </c>
      <c r="E19">
        <v>136.63</v>
      </c>
      <c r="F19">
        <v>135.29</v>
      </c>
    </row>
    <row r="20" spans="1:6">
      <c r="A20" t="s">
        <v>157</v>
      </c>
      <c r="B20">
        <v>117.03</v>
      </c>
      <c r="C20">
        <v>2.65</v>
      </c>
      <c r="D20">
        <v>114.58</v>
      </c>
      <c r="E20">
        <v>117.25</v>
      </c>
      <c r="F20">
        <v>114.58</v>
      </c>
    </row>
    <row r="21" spans="1:6">
      <c r="A21" t="s">
        <v>158</v>
      </c>
      <c r="B21">
        <v>204.25</v>
      </c>
      <c r="C21">
        <v>1.44</v>
      </c>
      <c r="D21">
        <v>202.93</v>
      </c>
      <c r="E21">
        <v>204.85</v>
      </c>
      <c r="F21">
        <v>202.92</v>
      </c>
    </row>
    <row r="22" spans="1:6">
      <c r="A22" t="s">
        <v>159</v>
      </c>
      <c r="B22">
        <v>255.58</v>
      </c>
      <c r="C22">
        <v>4.18</v>
      </c>
      <c r="D22">
        <v>251.92</v>
      </c>
      <c r="E22">
        <v>256.3</v>
      </c>
      <c r="F22">
        <v>251.92</v>
      </c>
    </row>
    <row r="23" spans="1:6">
      <c r="A23" t="s">
        <v>160</v>
      </c>
      <c r="B23">
        <v>202.86</v>
      </c>
      <c r="C23">
        <v>-4.24</v>
      </c>
      <c r="D23">
        <v>207.74</v>
      </c>
      <c r="E23">
        <v>208.55</v>
      </c>
      <c r="F23">
        <v>202.86</v>
      </c>
    </row>
    <row r="24" spans="1:6">
      <c r="A24" t="s">
        <v>57</v>
      </c>
      <c r="B24">
        <v>105.22</v>
      </c>
      <c r="C24">
        <v>0.18</v>
      </c>
      <c r="D24">
        <v>105.16</v>
      </c>
      <c r="E24">
        <v>105.75</v>
      </c>
      <c r="F24">
        <v>105.01</v>
      </c>
    </row>
    <row r="25" spans="1:6">
      <c r="A25" t="s">
        <v>58</v>
      </c>
      <c r="B25">
        <v>91.34</v>
      </c>
      <c r="C25">
        <v>-0.32</v>
      </c>
      <c r="D25">
        <v>91.66</v>
      </c>
      <c r="E25">
        <v>91.91</v>
      </c>
      <c r="F25">
        <v>91.32</v>
      </c>
    </row>
    <row r="26" spans="1:6">
      <c r="A26" t="s">
        <v>59</v>
      </c>
      <c r="B26">
        <v>94.3</v>
      </c>
      <c r="C26">
        <v>1.54</v>
      </c>
      <c r="D26">
        <v>92.76</v>
      </c>
      <c r="E26">
        <v>94.38</v>
      </c>
      <c r="F26">
        <v>92.76</v>
      </c>
    </row>
    <row r="27" spans="1:6">
      <c r="A27" t="s">
        <v>141</v>
      </c>
      <c r="B27">
        <v>256.83999999999997</v>
      </c>
      <c r="C27">
        <v>2.23</v>
      </c>
      <c r="D27">
        <v>255.04</v>
      </c>
      <c r="E27">
        <v>257.72000000000003</v>
      </c>
      <c r="F27">
        <v>255.04</v>
      </c>
    </row>
    <row r="28" spans="1:6">
      <c r="A28" t="s">
        <v>258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F8992-AF35-44A8-9775-7EEFDEFE3448}">
  <sheetPr codeName="工作表12"/>
  <dimension ref="A1:E77"/>
  <sheetViews>
    <sheetView workbookViewId="0"/>
  </sheetViews>
  <sheetFormatPr baseColWidth="10" defaultColWidth="8.83203125" defaultRowHeight="15"/>
  <sheetData>
    <row r="1" spans="1:5">
      <c r="A1" t="s">
        <v>2210</v>
      </c>
    </row>
    <row r="2" spans="1:5">
      <c r="A2" t="s">
        <v>2211</v>
      </c>
    </row>
    <row r="3" spans="1:5">
      <c r="A3" t="s">
        <v>2212</v>
      </c>
      <c r="B3" t="s">
        <v>2213</v>
      </c>
      <c r="D3" t="s">
        <v>2216</v>
      </c>
    </row>
    <row r="4" spans="1:5">
      <c r="B4" t="s">
        <v>2214</v>
      </c>
      <c r="C4" t="s">
        <v>2215</v>
      </c>
      <c r="D4" t="s">
        <v>2217</v>
      </c>
      <c r="E4" t="s">
        <v>2215</v>
      </c>
    </row>
    <row r="5" spans="1:5">
      <c r="A5" t="s">
        <v>2218</v>
      </c>
    </row>
    <row r="6" spans="1:5">
      <c r="A6" t="s">
        <v>2219</v>
      </c>
      <c r="B6" s="58">
        <v>173535679</v>
      </c>
      <c r="C6">
        <v>22.2</v>
      </c>
      <c r="D6" s="58">
        <v>170229777</v>
      </c>
      <c r="E6">
        <v>23.26</v>
      </c>
    </row>
    <row r="7" spans="1:5">
      <c r="A7" t="s">
        <v>2220</v>
      </c>
      <c r="B7" s="58">
        <v>4636</v>
      </c>
      <c r="C7">
        <v>0</v>
      </c>
      <c r="D7" s="58">
        <v>460271</v>
      </c>
      <c r="E7">
        <v>0.06</v>
      </c>
    </row>
    <row r="8" spans="1:5">
      <c r="A8" t="s">
        <v>2221</v>
      </c>
      <c r="B8" s="58">
        <v>19322565</v>
      </c>
      <c r="C8">
        <v>2.4700000000000002</v>
      </c>
      <c r="D8" s="58">
        <v>21167072</v>
      </c>
      <c r="E8">
        <v>2.89</v>
      </c>
    </row>
    <row r="9" spans="1:5">
      <c r="A9" t="s">
        <v>2222</v>
      </c>
      <c r="B9" s="58">
        <v>3242117</v>
      </c>
      <c r="C9">
        <v>0.41</v>
      </c>
      <c r="D9" s="58">
        <v>4526758</v>
      </c>
      <c r="E9">
        <v>0.62</v>
      </c>
    </row>
    <row r="10" spans="1:5">
      <c r="A10" t="s">
        <v>2223</v>
      </c>
      <c r="B10" s="58">
        <v>2780607</v>
      </c>
      <c r="C10">
        <v>0.36</v>
      </c>
      <c r="D10" s="58">
        <v>1437585</v>
      </c>
      <c r="E10">
        <v>0.2</v>
      </c>
    </row>
    <row r="11" spans="1:5">
      <c r="A11" t="s">
        <v>2224</v>
      </c>
      <c r="B11" s="58">
        <v>162135</v>
      </c>
      <c r="C11">
        <v>0.02</v>
      </c>
      <c r="D11" s="58">
        <v>74003</v>
      </c>
      <c r="E11">
        <v>0.01</v>
      </c>
    </row>
    <row r="12" spans="1:5">
      <c r="A12" t="s">
        <v>2225</v>
      </c>
      <c r="B12" s="58">
        <v>24259743</v>
      </c>
      <c r="C12">
        <v>3.1</v>
      </c>
      <c r="D12" s="58">
        <v>19051354</v>
      </c>
      <c r="E12">
        <v>2.6</v>
      </c>
    </row>
    <row r="13" spans="1:5">
      <c r="A13" t="s">
        <v>2226</v>
      </c>
      <c r="B13" s="58">
        <v>1597986</v>
      </c>
      <c r="C13">
        <v>0.2</v>
      </c>
      <c r="D13" s="58">
        <v>1574429</v>
      </c>
      <c r="E13">
        <v>0.22</v>
      </c>
    </row>
    <row r="14" spans="1:5">
      <c r="A14" t="s">
        <v>2227</v>
      </c>
      <c r="B14" s="58">
        <v>4429</v>
      </c>
      <c r="C14">
        <v>0</v>
      </c>
      <c r="D14" s="58">
        <v>6783</v>
      </c>
      <c r="E14">
        <v>0</v>
      </c>
    </row>
    <row r="15" spans="1:5">
      <c r="A15" t="s">
        <v>2228</v>
      </c>
      <c r="B15" s="58">
        <v>1123180</v>
      </c>
      <c r="C15">
        <v>0.14000000000000001</v>
      </c>
      <c r="D15" s="58">
        <v>1030435</v>
      </c>
      <c r="E15">
        <v>0.14000000000000001</v>
      </c>
    </row>
    <row r="16" spans="1:5">
      <c r="A16" t="s">
        <v>2229</v>
      </c>
      <c r="B16" s="58">
        <v>850413</v>
      </c>
      <c r="C16">
        <v>0.11</v>
      </c>
      <c r="D16" s="58">
        <v>22073</v>
      </c>
      <c r="E16">
        <v>0</v>
      </c>
    </row>
    <row r="17" spans="1:5">
      <c r="A17" t="s">
        <v>2230</v>
      </c>
      <c r="B17" s="58">
        <v>2943379</v>
      </c>
      <c r="C17">
        <v>0.38</v>
      </c>
      <c r="D17" s="58">
        <v>2960306</v>
      </c>
      <c r="E17">
        <v>0.4</v>
      </c>
    </row>
    <row r="18" spans="1:5">
      <c r="A18" t="s">
        <v>2231</v>
      </c>
      <c r="B18" s="58">
        <v>10839101</v>
      </c>
      <c r="C18">
        <v>1.39</v>
      </c>
      <c r="D18" s="58">
        <v>10116932</v>
      </c>
      <c r="E18">
        <v>1.38</v>
      </c>
    </row>
    <row r="19" spans="1:5">
      <c r="A19" t="s">
        <v>2232</v>
      </c>
      <c r="B19" s="58">
        <v>2703388</v>
      </c>
      <c r="C19">
        <v>0.35</v>
      </c>
      <c r="D19" s="58">
        <v>2293367</v>
      </c>
      <c r="E19">
        <v>0.31</v>
      </c>
    </row>
    <row r="20" spans="1:5">
      <c r="A20" t="s">
        <v>2233</v>
      </c>
      <c r="B20" s="58">
        <v>3347347</v>
      </c>
      <c r="C20">
        <v>0.43</v>
      </c>
      <c r="D20" s="58">
        <v>3189148</v>
      </c>
      <c r="E20">
        <v>0.44</v>
      </c>
    </row>
    <row r="21" spans="1:5">
      <c r="A21" t="s">
        <v>2234</v>
      </c>
      <c r="B21" s="58">
        <v>246716705</v>
      </c>
      <c r="C21">
        <v>31.56</v>
      </c>
      <c r="D21" s="58">
        <v>238140293</v>
      </c>
      <c r="E21">
        <v>32.54</v>
      </c>
    </row>
    <row r="22" spans="1:5">
      <c r="A22" t="s">
        <v>2235</v>
      </c>
    </row>
    <row r="23" spans="1:5">
      <c r="A23" t="s">
        <v>2236</v>
      </c>
      <c r="B23" s="58">
        <v>2900462</v>
      </c>
      <c r="C23">
        <v>0.37</v>
      </c>
      <c r="D23" s="58">
        <v>2050788</v>
      </c>
      <c r="E23">
        <v>0.28000000000000003</v>
      </c>
    </row>
    <row r="24" spans="1:5">
      <c r="A24" t="s">
        <v>2237</v>
      </c>
      <c r="B24" s="58">
        <v>882129</v>
      </c>
      <c r="C24">
        <v>0.11</v>
      </c>
      <c r="D24" s="58">
        <v>284125</v>
      </c>
      <c r="E24">
        <v>0.04</v>
      </c>
    </row>
    <row r="25" spans="1:5">
      <c r="A25" t="s">
        <v>2238</v>
      </c>
      <c r="B25">
        <v>0</v>
      </c>
      <c r="C25">
        <v>0</v>
      </c>
      <c r="D25">
        <v>0</v>
      </c>
      <c r="E25">
        <v>0</v>
      </c>
    </row>
    <row r="26" spans="1:5">
      <c r="A26" t="s">
        <v>2239</v>
      </c>
      <c r="B26" s="58">
        <v>33666325</v>
      </c>
      <c r="C26">
        <v>4.3099999999999996</v>
      </c>
      <c r="D26" s="58">
        <v>38321546</v>
      </c>
      <c r="E26">
        <v>5.24</v>
      </c>
    </row>
    <row r="27" spans="1:5">
      <c r="A27" t="s">
        <v>2240</v>
      </c>
      <c r="B27" s="58">
        <v>282866465</v>
      </c>
      <c r="C27">
        <v>36.19</v>
      </c>
      <c r="D27" s="58">
        <v>260243943</v>
      </c>
      <c r="E27">
        <v>35.56</v>
      </c>
    </row>
    <row r="28" spans="1:5">
      <c r="A28" t="s">
        <v>2241</v>
      </c>
      <c r="B28" s="58">
        <v>123080688</v>
      </c>
      <c r="C28">
        <v>15.75</v>
      </c>
      <c r="D28" s="58">
        <v>122301573</v>
      </c>
      <c r="E28">
        <v>16.71</v>
      </c>
    </row>
    <row r="29" spans="1:5">
      <c r="A29" t="s">
        <v>2242</v>
      </c>
      <c r="B29" s="58">
        <v>9127167</v>
      </c>
      <c r="C29">
        <v>1.17</v>
      </c>
      <c r="D29" s="58">
        <v>7196886</v>
      </c>
      <c r="E29">
        <v>0.98</v>
      </c>
    </row>
    <row r="30" spans="1:5">
      <c r="A30" t="s">
        <v>2243</v>
      </c>
      <c r="B30" s="58">
        <v>1096409</v>
      </c>
      <c r="C30">
        <v>0.14000000000000001</v>
      </c>
      <c r="D30" s="58">
        <v>1129660</v>
      </c>
      <c r="E30">
        <v>0.15</v>
      </c>
    </row>
    <row r="31" spans="1:5">
      <c r="A31" t="s">
        <v>2244</v>
      </c>
      <c r="B31" s="58">
        <v>1005375</v>
      </c>
      <c r="C31">
        <v>0.13</v>
      </c>
      <c r="D31" s="58">
        <v>939017</v>
      </c>
      <c r="E31">
        <v>0.13</v>
      </c>
    </row>
    <row r="32" spans="1:5">
      <c r="A32" t="s">
        <v>2245</v>
      </c>
      <c r="B32" s="58">
        <v>80357936</v>
      </c>
      <c r="C32">
        <v>10.28</v>
      </c>
      <c r="D32" s="58">
        <v>61222927</v>
      </c>
      <c r="E32">
        <v>8.3699999999999992</v>
      </c>
    </row>
    <row r="33" spans="1:5">
      <c r="A33" t="s">
        <v>2246</v>
      </c>
      <c r="B33" s="58">
        <v>534982956</v>
      </c>
      <c r="C33">
        <v>68.44</v>
      </c>
      <c r="D33" s="58">
        <v>493690465</v>
      </c>
      <c r="E33">
        <v>67.459999999999994</v>
      </c>
    </row>
    <row r="34" spans="1:5">
      <c r="A34" t="s">
        <v>2247</v>
      </c>
      <c r="B34" s="58">
        <v>781699661</v>
      </c>
      <c r="C34">
        <v>100</v>
      </c>
      <c r="D34" s="58">
        <v>731830758</v>
      </c>
      <c r="E34">
        <v>100</v>
      </c>
    </row>
    <row r="35" spans="1:5">
      <c r="A35" t="s">
        <v>2248</v>
      </c>
    </row>
    <row r="36" spans="1:5">
      <c r="A36" t="s">
        <v>2249</v>
      </c>
      <c r="B36">
        <v>0</v>
      </c>
      <c r="C36">
        <v>0</v>
      </c>
      <c r="D36">
        <v>0</v>
      </c>
      <c r="E36">
        <v>0</v>
      </c>
    </row>
    <row r="37" spans="1:5">
      <c r="A37" t="s">
        <v>2250</v>
      </c>
      <c r="B37" s="58">
        <v>2129180</v>
      </c>
      <c r="C37">
        <v>0.27</v>
      </c>
      <c r="D37" s="58">
        <v>1854396</v>
      </c>
      <c r="E37">
        <v>0.25</v>
      </c>
    </row>
    <row r="38" spans="1:5">
      <c r="A38" t="s">
        <v>2251</v>
      </c>
      <c r="B38" s="58">
        <v>10545491</v>
      </c>
      <c r="C38">
        <v>1.35</v>
      </c>
      <c r="D38" s="58">
        <v>7642108</v>
      </c>
      <c r="E38">
        <v>1.04</v>
      </c>
    </row>
    <row r="39" spans="1:5">
      <c r="A39" t="s">
        <v>2252</v>
      </c>
      <c r="B39">
        <v>67</v>
      </c>
      <c r="C39">
        <v>0</v>
      </c>
      <c r="D39">
        <v>64</v>
      </c>
      <c r="E39">
        <v>0</v>
      </c>
    </row>
    <row r="40" spans="1:5">
      <c r="A40" t="s">
        <v>2253</v>
      </c>
      <c r="B40" s="58">
        <v>40169880</v>
      </c>
      <c r="C40">
        <v>5.14</v>
      </c>
      <c r="D40" s="58">
        <v>35256967</v>
      </c>
      <c r="E40">
        <v>4.82</v>
      </c>
    </row>
    <row r="41" spans="1:5">
      <c r="A41" t="s">
        <v>2254</v>
      </c>
      <c r="B41" s="58">
        <v>354327</v>
      </c>
      <c r="C41">
        <v>0.05</v>
      </c>
      <c r="D41" s="58">
        <v>384763</v>
      </c>
      <c r="E41">
        <v>0.05</v>
      </c>
    </row>
    <row r="42" spans="1:5">
      <c r="A42" t="s">
        <v>2255</v>
      </c>
      <c r="B42" s="58">
        <v>12003385</v>
      </c>
      <c r="C42">
        <v>1.54</v>
      </c>
      <c r="D42" s="58">
        <v>8086557</v>
      </c>
      <c r="E42">
        <v>1.1000000000000001</v>
      </c>
    </row>
    <row r="43" spans="1:5">
      <c r="A43" t="s">
        <v>2256</v>
      </c>
      <c r="B43" s="58">
        <v>20778488</v>
      </c>
      <c r="C43">
        <v>2.66</v>
      </c>
      <c r="D43" s="58">
        <v>18127060</v>
      </c>
      <c r="E43">
        <v>2.48</v>
      </c>
    </row>
    <row r="44" spans="1:5">
      <c r="A44" t="s">
        <v>2257</v>
      </c>
      <c r="B44" s="58">
        <v>15695840</v>
      </c>
      <c r="C44">
        <v>2.0099999999999998</v>
      </c>
      <c r="D44" s="58">
        <v>14039032</v>
      </c>
      <c r="E44">
        <v>1.92</v>
      </c>
    </row>
    <row r="45" spans="1:5">
      <c r="A45" t="s">
        <v>2258</v>
      </c>
      <c r="B45" s="58">
        <v>12887271</v>
      </c>
      <c r="C45">
        <v>1.65</v>
      </c>
      <c r="D45" s="58">
        <v>12748540</v>
      </c>
      <c r="E45">
        <v>1.74</v>
      </c>
    </row>
    <row r="46" spans="1:5">
      <c r="A46" t="s">
        <v>2259</v>
      </c>
      <c r="B46" s="58">
        <v>8525393</v>
      </c>
      <c r="C46">
        <v>1.0900000000000001</v>
      </c>
      <c r="D46" s="58">
        <v>13610771</v>
      </c>
      <c r="E46">
        <v>1.86</v>
      </c>
    </row>
    <row r="47" spans="1:5">
      <c r="A47" t="s">
        <v>2260</v>
      </c>
      <c r="B47" s="58">
        <v>123089322</v>
      </c>
      <c r="C47">
        <v>15.75</v>
      </c>
      <c r="D47" s="58">
        <v>111750258</v>
      </c>
      <c r="E47">
        <v>15.27</v>
      </c>
    </row>
    <row r="48" spans="1:5">
      <c r="A48" t="s">
        <v>2261</v>
      </c>
    </row>
    <row r="49" spans="1:5">
      <c r="A49" t="s">
        <v>2262</v>
      </c>
      <c r="B49" s="58">
        <v>13307655</v>
      </c>
      <c r="C49">
        <v>1.7</v>
      </c>
      <c r="D49" s="58">
        <v>13231684</v>
      </c>
      <c r="E49">
        <v>1.81</v>
      </c>
    </row>
    <row r="50" spans="1:5">
      <c r="A50" t="s">
        <v>2263</v>
      </c>
      <c r="B50">
        <v>0</v>
      </c>
      <c r="C50">
        <v>0</v>
      </c>
      <c r="D50">
        <v>0</v>
      </c>
      <c r="E50">
        <v>0</v>
      </c>
    </row>
    <row r="51" spans="1:5">
      <c r="A51" t="s">
        <v>2264</v>
      </c>
      <c r="B51" s="58">
        <v>33631133</v>
      </c>
      <c r="C51">
        <v>4.3</v>
      </c>
      <c r="D51" s="58">
        <v>31665622</v>
      </c>
      <c r="E51">
        <v>4.33</v>
      </c>
    </row>
    <row r="52" spans="1:5">
      <c r="A52" t="s">
        <v>2265</v>
      </c>
      <c r="B52" s="58">
        <v>3721204</v>
      </c>
      <c r="C52">
        <v>0.48</v>
      </c>
      <c r="D52" s="58">
        <v>3118594</v>
      </c>
      <c r="E52">
        <v>0.43</v>
      </c>
    </row>
    <row r="53" spans="1:5">
      <c r="A53" t="s">
        <v>2266</v>
      </c>
      <c r="B53" s="58">
        <v>96338347</v>
      </c>
      <c r="C53">
        <v>12.32</v>
      </c>
      <c r="D53" s="58">
        <v>95470165</v>
      </c>
      <c r="E53">
        <v>13.05</v>
      </c>
    </row>
    <row r="54" spans="1:5">
      <c r="A54" t="s">
        <v>2267</v>
      </c>
      <c r="B54" s="58">
        <v>5843526</v>
      </c>
      <c r="C54">
        <v>0.75</v>
      </c>
      <c r="D54" s="58">
        <v>5799585</v>
      </c>
      <c r="E54">
        <v>0.79</v>
      </c>
    </row>
    <row r="55" spans="1:5">
      <c r="A55" t="s">
        <v>2268</v>
      </c>
      <c r="B55" s="58">
        <v>152841865</v>
      </c>
      <c r="C55">
        <v>19.55</v>
      </c>
      <c r="D55" s="58">
        <v>149285650</v>
      </c>
      <c r="E55">
        <v>20.399999999999999</v>
      </c>
    </row>
    <row r="56" spans="1:5">
      <c r="A56" t="s">
        <v>2269</v>
      </c>
      <c r="B56" s="58">
        <v>275931187</v>
      </c>
      <c r="C56">
        <v>35.299999999999997</v>
      </c>
      <c r="D56" s="58">
        <v>261035908</v>
      </c>
      <c r="E56">
        <v>35.67</v>
      </c>
    </row>
    <row r="57" spans="1:5">
      <c r="A57" t="s">
        <v>2270</v>
      </c>
    </row>
    <row r="58" spans="1:5">
      <c r="A58" t="s">
        <v>2271</v>
      </c>
    </row>
    <row r="59" spans="1:5">
      <c r="A59" t="s">
        <v>2272</v>
      </c>
      <c r="B59" s="58">
        <v>21363053</v>
      </c>
      <c r="C59">
        <v>2.73</v>
      </c>
      <c r="D59" s="58">
        <v>21164201</v>
      </c>
      <c r="E59">
        <v>2.89</v>
      </c>
    </row>
    <row r="60" spans="1:5">
      <c r="A60" t="s">
        <v>2273</v>
      </c>
      <c r="B60" s="58">
        <v>139427</v>
      </c>
      <c r="C60">
        <v>0.02</v>
      </c>
      <c r="D60" s="58">
        <v>108510</v>
      </c>
      <c r="E60">
        <v>0.01</v>
      </c>
    </row>
    <row r="61" spans="1:5">
      <c r="A61" t="s">
        <v>2274</v>
      </c>
      <c r="B61" s="58">
        <v>21502480</v>
      </c>
      <c r="C61">
        <v>2.75</v>
      </c>
      <c r="D61" s="58">
        <v>21272711</v>
      </c>
      <c r="E61">
        <v>2.91</v>
      </c>
    </row>
    <row r="62" spans="1:5">
      <c r="A62" t="s">
        <v>2275</v>
      </c>
    </row>
    <row r="63" spans="1:5">
      <c r="A63" t="s">
        <v>2276</v>
      </c>
      <c r="B63" s="58">
        <v>19198672</v>
      </c>
      <c r="C63">
        <v>2.46</v>
      </c>
      <c r="D63" s="58">
        <v>17092525</v>
      </c>
      <c r="E63">
        <v>2.34</v>
      </c>
    </row>
    <row r="64" spans="1:5">
      <c r="A64" t="s">
        <v>2277</v>
      </c>
    </row>
    <row r="65" spans="1:5">
      <c r="A65" t="s">
        <v>2278</v>
      </c>
      <c r="B65" s="58">
        <v>65489748</v>
      </c>
      <c r="C65">
        <v>8.3800000000000008</v>
      </c>
      <c r="D65" s="58">
        <v>65489748</v>
      </c>
      <c r="E65">
        <v>8.9499999999999993</v>
      </c>
    </row>
    <row r="66" spans="1:5">
      <c r="A66" t="s">
        <v>2279</v>
      </c>
      <c r="B66">
        <v>0</v>
      </c>
      <c r="C66">
        <v>0</v>
      </c>
      <c r="D66">
        <v>0</v>
      </c>
      <c r="E66">
        <v>0</v>
      </c>
    </row>
    <row r="67" spans="1:5">
      <c r="A67" t="s">
        <v>2280</v>
      </c>
      <c r="B67" s="58">
        <v>337841385</v>
      </c>
      <c r="C67">
        <v>43.22</v>
      </c>
      <c r="D67" s="58">
        <v>320433635</v>
      </c>
      <c r="E67">
        <v>43.79</v>
      </c>
    </row>
    <row r="68" spans="1:5">
      <c r="A68" t="s">
        <v>2281</v>
      </c>
      <c r="B68" s="58">
        <v>403331133</v>
      </c>
      <c r="C68">
        <v>51.6</v>
      </c>
      <c r="D68" s="58">
        <v>385923383</v>
      </c>
      <c r="E68">
        <v>52.73</v>
      </c>
    </row>
    <row r="69" spans="1:5">
      <c r="A69" t="s">
        <v>2282</v>
      </c>
    </row>
    <row r="70" spans="1:5">
      <c r="A70" t="s">
        <v>2283</v>
      </c>
      <c r="B70" s="58">
        <v>29397834</v>
      </c>
      <c r="C70">
        <v>3.76</v>
      </c>
      <c r="D70" s="58">
        <v>15610397</v>
      </c>
      <c r="E70">
        <v>2.13</v>
      </c>
    </row>
    <row r="71" spans="1:5">
      <c r="A71" t="s">
        <v>2284</v>
      </c>
      <c r="B71" s="58">
        <v>473430119</v>
      </c>
      <c r="C71">
        <v>60.56</v>
      </c>
      <c r="D71" s="58">
        <v>439899016</v>
      </c>
      <c r="E71">
        <v>60.11</v>
      </c>
    </row>
    <row r="72" spans="1:5">
      <c r="A72" t="s">
        <v>2285</v>
      </c>
      <c r="B72" s="58">
        <v>32338355</v>
      </c>
      <c r="C72">
        <v>4.1399999999999997</v>
      </c>
      <c r="D72" s="58">
        <v>30895834</v>
      </c>
      <c r="E72">
        <v>4.22</v>
      </c>
    </row>
    <row r="73" spans="1:5">
      <c r="A73" t="s">
        <v>2286</v>
      </c>
      <c r="B73" s="58">
        <v>505768474</v>
      </c>
      <c r="C73">
        <v>64.7</v>
      </c>
      <c r="D73" s="58">
        <v>470794850</v>
      </c>
      <c r="E73">
        <v>64.33</v>
      </c>
    </row>
    <row r="74" spans="1:5">
      <c r="A74" t="s">
        <v>2287</v>
      </c>
      <c r="B74" s="58">
        <v>781699661</v>
      </c>
      <c r="C74">
        <v>100</v>
      </c>
      <c r="D74" s="58">
        <v>731830758</v>
      </c>
      <c r="E74">
        <v>100</v>
      </c>
    </row>
    <row r="75" spans="1:5">
      <c r="A75" t="s">
        <v>2288</v>
      </c>
      <c r="B75">
        <v>0</v>
      </c>
      <c r="D75">
        <v>0</v>
      </c>
    </row>
    <row r="76" spans="1:5">
      <c r="A76" t="s">
        <v>2289</v>
      </c>
      <c r="B76">
        <v>0</v>
      </c>
      <c r="D76">
        <v>0</v>
      </c>
    </row>
    <row r="77" spans="1:5">
      <c r="A77" t="s">
        <v>2290</v>
      </c>
      <c r="B77">
        <v>0</v>
      </c>
      <c r="D77">
        <v>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AAFB2-CB48-4A6A-9795-647A56A03086}">
  <sheetPr codeName="工作表14"/>
  <dimension ref="A1:E50"/>
  <sheetViews>
    <sheetView workbookViewId="0"/>
  </sheetViews>
  <sheetFormatPr baseColWidth="10" defaultColWidth="8.83203125" defaultRowHeight="15"/>
  <sheetData>
    <row r="1" spans="1:5">
      <c r="A1" t="s">
        <v>2210</v>
      </c>
    </row>
    <row r="2" spans="1:5">
      <c r="A2" t="s">
        <v>2211</v>
      </c>
    </row>
    <row r="3" spans="1:5">
      <c r="A3" t="s">
        <v>2212</v>
      </c>
      <c r="B3" t="s">
        <v>2291</v>
      </c>
      <c r="D3" t="s">
        <v>2292</v>
      </c>
    </row>
    <row r="4" spans="1:5">
      <c r="B4" t="s">
        <v>2215</v>
      </c>
      <c r="C4" t="s">
        <v>2217</v>
      </c>
      <c r="D4" t="s">
        <v>2215</v>
      </c>
      <c r="E4" t="s">
        <v>2217</v>
      </c>
    </row>
    <row r="5" spans="1:5">
      <c r="A5" t="s">
        <v>2293</v>
      </c>
      <c r="B5" s="58">
        <v>88638659</v>
      </c>
      <c r="C5">
        <v>100</v>
      </c>
      <c r="D5" s="58">
        <v>66826650</v>
      </c>
      <c r="E5">
        <v>100</v>
      </c>
    </row>
    <row r="6" spans="1:5">
      <c r="A6" t="s">
        <v>2294</v>
      </c>
      <c r="B6" s="58">
        <v>69689351</v>
      </c>
      <c r="C6">
        <v>78.62</v>
      </c>
      <c r="D6" s="58">
        <v>52025224</v>
      </c>
      <c r="E6">
        <v>77.849999999999994</v>
      </c>
    </row>
    <row r="7" spans="1:5">
      <c r="A7" t="s">
        <v>2295</v>
      </c>
      <c r="B7" s="58">
        <v>18949308</v>
      </c>
      <c r="C7">
        <v>21.38</v>
      </c>
      <c r="D7" s="58">
        <v>14801426</v>
      </c>
      <c r="E7">
        <v>22.15</v>
      </c>
    </row>
    <row r="8" spans="1:5">
      <c r="A8" t="s">
        <v>2296</v>
      </c>
      <c r="B8">
        <v>0</v>
      </c>
      <c r="C8">
        <v>0</v>
      </c>
      <c r="D8">
        <v>0</v>
      </c>
      <c r="E8">
        <v>0</v>
      </c>
    </row>
    <row r="9" spans="1:5">
      <c r="A9" t="s">
        <v>2297</v>
      </c>
      <c r="B9" s="58">
        <v>5247</v>
      </c>
      <c r="C9">
        <v>0.01</v>
      </c>
      <c r="D9" s="58">
        <v>5248</v>
      </c>
      <c r="E9">
        <v>0.01</v>
      </c>
    </row>
    <row r="10" spans="1:5">
      <c r="A10" t="s">
        <v>2298</v>
      </c>
      <c r="B10" s="58">
        <v>18954555</v>
      </c>
      <c r="C10">
        <v>21.38</v>
      </c>
      <c r="D10" s="58">
        <v>14806674</v>
      </c>
      <c r="E10">
        <v>22.16</v>
      </c>
    </row>
    <row r="11" spans="1:5">
      <c r="A11" t="s">
        <v>2299</v>
      </c>
    </row>
    <row r="12" spans="1:5">
      <c r="A12" t="s">
        <v>2300</v>
      </c>
      <c r="B12" s="58">
        <v>839274</v>
      </c>
      <c r="C12">
        <v>0.95</v>
      </c>
      <c r="D12" s="58">
        <v>766992</v>
      </c>
      <c r="E12">
        <v>1.1499999999999999</v>
      </c>
    </row>
    <row r="13" spans="1:5">
      <c r="A13" t="s">
        <v>2301</v>
      </c>
      <c r="B13" s="58">
        <v>3237903</v>
      </c>
      <c r="C13">
        <v>3.65</v>
      </c>
      <c r="D13" s="58">
        <v>3164611</v>
      </c>
      <c r="E13">
        <v>4.74</v>
      </c>
    </row>
    <row r="14" spans="1:5">
      <c r="A14" t="s">
        <v>2302</v>
      </c>
      <c r="B14" s="58">
        <v>19120</v>
      </c>
      <c r="C14">
        <v>0.02</v>
      </c>
      <c r="D14" s="58">
        <v>6298</v>
      </c>
      <c r="E14">
        <v>0.01</v>
      </c>
    </row>
    <row r="15" spans="1:5">
      <c r="A15" t="s">
        <v>2303</v>
      </c>
      <c r="B15" s="58">
        <v>4096297</v>
      </c>
      <c r="C15">
        <v>4.62</v>
      </c>
      <c r="D15" s="58">
        <v>3937901</v>
      </c>
      <c r="E15">
        <v>5.89</v>
      </c>
    </row>
    <row r="16" spans="1:5">
      <c r="A16" t="s">
        <v>2304</v>
      </c>
    </row>
    <row r="17" spans="1:5">
      <c r="A17" t="s">
        <v>2305</v>
      </c>
      <c r="B17" s="58">
        <v>795980</v>
      </c>
      <c r="C17">
        <v>0.9</v>
      </c>
      <c r="D17" s="58">
        <v>268483</v>
      </c>
      <c r="E17">
        <v>0.4</v>
      </c>
    </row>
    <row r="18" spans="1:5">
      <c r="A18" t="s">
        <v>2306</v>
      </c>
      <c r="B18" s="58">
        <v>15654238</v>
      </c>
      <c r="C18">
        <v>17.66</v>
      </c>
      <c r="D18" s="58">
        <v>11137256</v>
      </c>
      <c r="E18">
        <v>16.670000000000002</v>
      </c>
    </row>
    <row r="19" spans="1:5">
      <c r="A19" t="s">
        <v>2307</v>
      </c>
    </row>
    <row r="20" spans="1:5">
      <c r="A20" t="s">
        <v>2308</v>
      </c>
      <c r="B20" s="58">
        <v>2393787</v>
      </c>
      <c r="C20">
        <v>2.7</v>
      </c>
      <c r="D20" s="58">
        <v>3539436</v>
      </c>
      <c r="E20">
        <v>5.3</v>
      </c>
    </row>
    <row r="21" spans="1:5">
      <c r="A21" t="s">
        <v>2309</v>
      </c>
      <c r="B21" s="58">
        <v>3533750</v>
      </c>
      <c r="C21">
        <v>3.99</v>
      </c>
      <c r="D21" s="58">
        <v>110109</v>
      </c>
      <c r="E21">
        <v>0.16</v>
      </c>
    </row>
    <row r="22" spans="1:5">
      <c r="A22" t="s">
        <v>2310</v>
      </c>
      <c r="B22" s="58">
        <v>317550</v>
      </c>
      <c r="C22">
        <v>0.36</v>
      </c>
      <c r="D22" s="58">
        <v>1085083</v>
      </c>
      <c r="E22">
        <v>1.62</v>
      </c>
    </row>
    <row r="23" spans="1:5">
      <c r="A23" t="s">
        <v>2311</v>
      </c>
      <c r="B23" s="58">
        <v>1214637</v>
      </c>
      <c r="C23">
        <v>1.37</v>
      </c>
      <c r="D23" s="58">
        <v>942418</v>
      </c>
      <c r="E23">
        <v>1.41</v>
      </c>
    </row>
    <row r="24" spans="1:5">
      <c r="A24" t="s">
        <v>2312</v>
      </c>
      <c r="B24" s="58">
        <v>362732</v>
      </c>
      <c r="C24">
        <v>0.41</v>
      </c>
      <c r="D24" s="58">
        <v>1299217</v>
      </c>
      <c r="E24">
        <v>1.94</v>
      </c>
    </row>
    <row r="25" spans="1:5">
      <c r="A25" t="s">
        <v>2313</v>
      </c>
      <c r="B25" s="58">
        <v>5393182</v>
      </c>
      <c r="C25">
        <v>6.08</v>
      </c>
      <c r="D25" s="58">
        <v>5091427</v>
      </c>
      <c r="E25">
        <v>7.62</v>
      </c>
    </row>
    <row r="26" spans="1:5">
      <c r="A26" t="s">
        <v>2314</v>
      </c>
      <c r="B26" s="58">
        <v>21047420</v>
      </c>
      <c r="C26">
        <v>23.75</v>
      </c>
      <c r="D26" s="58">
        <v>16228683</v>
      </c>
      <c r="E26">
        <v>24.28</v>
      </c>
    </row>
    <row r="27" spans="1:5">
      <c r="A27" t="s">
        <v>2315</v>
      </c>
      <c r="B27" s="58">
        <v>2824142</v>
      </c>
      <c r="C27">
        <v>3.19</v>
      </c>
      <c r="D27" s="58">
        <v>9894802</v>
      </c>
      <c r="E27">
        <v>14.81</v>
      </c>
    </row>
    <row r="28" spans="1:5">
      <c r="A28" t="s">
        <v>2316</v>
      </c>
      <c r="B28" s="58">
        <v>18223278</v>
      </c>
      <c r="C28">
        <v>20.56</v>
      </c>
      <c r="D28" s="58">
        <v>6333881</v>
      </c>
      <c r="E28">
        <v>9.48</v>
      </c>
    </row>
    <row r="29" spans="1:5">
      <c r="A29" t="s">
        <v>2317</v>
      </c>
      <c r="B29" s="58">
        <v>18223278</v>
      </c>
      <c r="C29">
        <v>20.56</v>
      </c>
      <c r="D29" s="58">
        <v>6333881</v>
      </c>
      <c r="E29">
        <v>9.48</v>
      </c>
    </row>
    <row r="30" spans="1:5">
      <c r="A30" t="s">
        <v>2318</v>
      </c>
    </row>
    <row r="31" spans="1:5">
      <c r="A31" t="s">
        <v>2319</v>
      </c>
      <c r="B31" s="58">
        <v>192541</v>
      </c>
      <c r="C31">
        <v>0.22</v>
      </c>
      <c r="D31" s="58">
        <v>12299</v>
      </c>
      <c r="E31">
        <v>0.02</v>
      </c>
    </row>
    <row r="32" spans="1:5">
      <c r="A32" t="s">
        <v>2320</v>
      </c>
      <c r="B32" s="58">
        <v>292988</v>
      </c>
      <c r="C32">
        <v>0.33</v>
      </c>
      <c r="D32" s="58">
        <v>-4455</v>
      </c>
      <c r="E32">
        <v>-0.01</v>
      </c>
    </row>
    <row r="33" spans="1:5">
      <c r="A33" t="s">
        <v>2321</v>
      </c>
      <c r="B33" s="58">
        <v>17980</v>
      </c>
      <c r="C33">
        <v>0.02</v>
      </c>
      <c r="D33" s="58">
        <v>-8792</v>
      </c>
      <c r="E33">
        <v>-0.01</v>
      </c>
    </row>
    <row r="34" spans="1:5">
      <c r="A34" t="s">
        <v>2322</v>
      </c>
      <c r="B34" s="58">
        <v>467549</v>
      </c>
      <c r="C34">
        <v>0.53</v>
      </c>
      <c r="D34" s="58">
        <v>16636</v>
      </c>
      <c r="E34">
        <v>0.02</v>
      </c>
    </row>
    <row r="35" spans="1:5">
      <c r="A35" t="s">
        <v>2323</v>
      </c>
      <c r="B35" s="58">
        <v>15021877</v>
      </c>
      <c r="C35">
        <v>16.95</v>
      </c>
      <c r="D35" s="58">
        <v>-3738254</v>
      </c>
      <c r="E35">
        <v>-5.59</v>
      </c>
    </row>
    <row r="36" spans="1:5">
      <c r="A36" t="s">
        <v>2324</v>
      </c>
      <c r="B36" s="58">
        <v>-570775</v>
      </c>
      <c r="C36">
        <v>-0.64</v>
      </c>
      <c r="D36" s="58">
        <v>-72629</v>
      </c>
      <c r="E36">
        <v>-0.11</v>
      </c>
    </row>
    <row r="37" spans="1:5">
      <c r="A37" t="s">
        <v>2325</v>
      </c>
      <c r="B37" s="58">
        <v>87403</v>
      </c>
      <c r="C37">
        <v>0.1</v>
      </c>
      <c r="D37" s="58">
        <v>67947</v>
      </c>
      <c r="E37">
        <v>0.1</v>
      </c>
    </row>
    <row r="38" spans="1:5">
      <c r="A38" t="s">
        <v>2326</v>
      </c>
      <c r="B38" s="58">
        <v>-114525</v>
      </c>
      <c r="C38">
        <v>-0.13</v>
      </c>
      <c r="D38" s="58">
        <v>-5889</v>
      </c>
      <c r="E38">
        <v>-0.01</v>
      </c>
    </row>
    <row r="39" spans="1:5">
      <c r="A39" t="s">
        <v>2327</v>
      </c>
      <c r="B39" s="58">
        <v>14653030</v>
      </c>
      <c r="C39">
        <v>16.53</v>
      </c>
      <c r="D39" s="58">
        <v>-3737047</v>
      </c>
      <c r="E39">
        <v>-5.59</v>
      </c>
    </row>
    <row r="40" spans="1:5">
      <c r="A40" t="s">
        <v>2328</v>
      </c>
      <c r="B40" s="58">
        <v>15120579</v>
      </c>
      <c r="C40">
        <v>17.059999999999999</v>
      </c>
      <c r="D40" s="58">
        <v>-3720411</v>
      </c>
      <c r="E40">
        <v>-5.57</v>
      </c>
    </row>
    <row r="41" spans="1:5">
      <c r="A41" t="s">
        <v>2329</v>
      </c>
      <c r="B41" s="58">
        <v>33343857</v>
      </c>
      <c r="C41">
        <v>37.619999999999997</v>
      </c>
      <c r="D41" s="58">
        <v>2613470</v>
      </c>
      <c r="E41">
        <v>3.91</v>
      </c>
    </row>
    <row r="42" spans="1:5">
      <c r="A42" t="s">
        <v>2330</v>
      </c>
    </row>
    <row r="43" spans="1:5">
      <c r="A43" t="s">
        <v>2331</v>
      </c>
      <c r="B43" s="58">
        <v>17382249</v>
      </c>
      <c r="C43">
        <v>19.61</v>
      </c>
      <c r="D43" s="58">
        <v>5042719</v>
      </c>
      <c r="E43">
        <v>7.55</v>
      </c>
    </row>
    <row r="44" spans="1:5">
      <c r="A44" t="s">
        <v>2332</v>
      </c>
      <c r="B44" s="58">
        <v>841029</v>
      </c>
      <c r="C44">
        <v>0.95</v>
      </c>
      <c r="D44" s="58">
        <v>1291162</v>
      </c>
      <c r="E44">
        <v>1.93</v>
      </c>
    </row>
    <row r="45" spans="1:5">
      <c r="A45" t="s">
        <v>2333</v>
      </c>
      <c r="B45" s="58">
        <v>31195187</v>
      </c>
      <c r="C45">
        <v>35.19</v>
      </c>
      <c r="D45" s="58">
        <v>1473723</v>
      </c>
      <c r="E45">
        <v>2.21</v>
      </c>
    </row>
    <row r="46" spans="1:5">
      <c r="A46" t="s">
        <v>2334</v>
      </c>
      <c r="B46" s="58">
        <v>2148670</v>
      </c>
      <c r="C46">
        <v>2.42</v>
      </c>
      <c r="D46" s="58">
        <v>1139747</v>
      </c>
      <c r="E46">
        <v>1.71</v>
      </c>
    </row>
    <row r="47" spans="1:5">
      <c r="A47" t="s">
        <v>2335</v>
      </c>
    </row>
    <row r="48" spans="1:5">
      <c r="A48" t="s">
        <v>2336</v>
      </c>
      <c r="B48">
        <v>8.14</v>
      </c>
      <c r="D48">
        <v>2.38</v>
      </c>
    </row>
    <row r="49" spans="1:4">
      <c r="A49" t="s">
        <v>2337</v>
      </c>
    </row>
    <row r="50" spans="1:4">
      <c r="A50" t="s">
        <v>2338</v>
      </c>
      <c r="B50">
        <v>8.09</v>
      </c>
      <c r="D50">
        <v>2.36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2C3A2-5121-4EFE-BF8B-F5EA5CA28F1C}">
  <sheetPr codeName="工作表15"/>
  <dimension ref="A1:E61"/>
  <sheetViews>
    <sheetView workbookViewId="0"/>
  </sheetViews>
  <sheetFormatPr baseColWidth="10" defaultColWidth="8.83203125" defaultRowHeight="15"/>
  <sheetData>
    <row r="1" spans="1:5">
      <c r="A1" t="s">
        <v>2210</v>
      </c>
    </row>
    <row r="2" spans="1:5">
      <c r="A2" t="s">
        <v>2211</v>
      </c>
    </row>
    <row r="3" spans="1:5">
      <c r="A3" t="s">
        <v>2212</v>
      </c>
      <c r="B3" t="s">
        <v>2213</v>
      </c>
      <c r="D3" t="s">
        <v>2216</v>
      </c>
    </row>
    <row r="4" spans="1:5">
      <c r="B4" t="s">
        <v>2214</v>
      </c>
      <c r="C4" t="s">
        <v>2215</v>
      </c>
      <c r="D4" t="s">
        <v>2217</v>
      </c>
      <c r="E4" t="s">
        <v>2215</v>
      </c>
    </row>
    <row r="5" spans="1:5">
      <c r="A5" t="s">
        <v>2218</v>
      </c>
    </row>
    <row r="6" spans="1:5">
      <c r="A6" t="s">
        <v>2219</v>
      </c>
      <c r="B6" s="58">
        <v>1366750</v>
      </c>
      <c r="C6">
        <v>3.07</v>
      </c>
      <c r="D6" s="58">
        <v>3367456</v>
      </c>
      <c r="E6">
        <v>7.68</v>
      </c>
    </row>
    <row r="7" spans="1:5">
      <c r="A7" t="s">
        <v>2223</v>
      </c>
      <c r="B7" s="58">
        <v>2232270</v>
      </c>
      <c r="C7">
        <v>5.0199999999999996</v>
      </c>
      <c r="D7" s="58">
        <v>1385123</v>
      </c>
      <c r="E7">
        <v>3.16</v>
      </c>
    </row>
    <row r="8" spans="1:5">
      <c r="A8" t="s">
        <v>2224</v>
      </c>
      <c r="B8" s="58">
        <v>1680</v>
      </c>
      <c r="C8">
        <v>0</v>
      </c>
      <c r="D8" s="58">
        <v>11595</v>
      </c>
      <c r="E8">
        <v>0.03</v>
      </c>
    </row>
    <row r="9" spans="1:5">
      <c r="A9" t="s">
        <v>2225</v>
      </c>
      <c r="B9" s="58">
        <v>9685077</v>
      </c>
      <c r="C9">
        <v>21.79</v>
      </c>
      <c r="D9" s="58">
        <v>7396361</v>
      </c>
      <c r="E9">
        <v>16.86</v>
      </c>
    </row>
    <row r="10" spans="1:5">
      <c r="A10" t="s">
        <v>2226</v>
      </c>
      <c r="B10" s="58">
        <v>386343</v>
      </c>
      <c r="C10">
        <v>0.87</v>
      </c>
      <c r="D10" s="58">
        <v>259722</v>
      </c>
      <c r="E10">
        <v>0.59</v>
      </c>
    </row>
    <row r="11" spans="1:5">
      <c r="A11" t="s">
        <v>2228</v>
      </c>
      <c r="B11" s="58">
        <v>23222</v>
      </c>
      <c r="C11">
        <v>0.05</v>
      </c>
      <c r="D11" s="58">
        <v>41708</v>
      </c>
      <c r="E11">
        <v>0.1</v>
      </c>
    </row>
    <row r="12" spans="1:5">
      <c r="A12" t="s">
        <v>2231</v>
      </c>
      <c r="B12" s="58">
        <v>15207965</v>
      </c>
      <c r="C12">
        <v>34.22</v>
      </c>
      <c r="D12" s="58">
        <v>15515727</v>
      </c>
      <c r="E12">
        <v>35.369999999999997</v>
      </c>
    </row>
    <row r="13" spans="1:5">
      <c r="A13" t="s">
        <v>2233</v>
      </c>
      <c r="B13" s="58">
        <v>2092860</v>
      </c>
      <c r="C13">
        <v>4.71</v>
      </c>
      <c r="D13" s="58">
        <v>2460925</v>
      </c>
      <c r="E13">
        <v>5.61</v>
      </c>
    </row>
    <row r="14" spans="1:5">
      <c r="A14" t="s">
        <v>2234</v>
      </c>
      <c r="B14" s="58">
        <v>30996167</v>
      </c>
      <c r="C14">
        <v>69.739999999999995</v>
      </c>
      <c r="D14" s="58">
        <v>30438617</v>
      </c>
      <c r="E14">
        <v>69.400000000000006</v>
      </c>
    </row>
    <row r="15" spans="1:5">
      <c r="A15" t="s">
        <v>2235</v>
      </c>
    </row>
    <row r="16" spans="1:5">
      <c r="A16" t="s">
        <v>2236</v>
      </c>
      <c r="B16" s="58">
        <v>45347</v>
      </c>
      <c r="C16">
        <v>0.1</v>
      </c>
      <c r="D16" s="58">
        <v>49719</v>
      </c>
      <c r="E16">
        <v>0.11</v>
      </c>
    </row>
    <row r="17" spans="1:5">
      <c r="A17" t="s">
        <v>2239</v>
      </c>
      <c r="B17" s="58">
        <v>1206879</v>
      </c>
      <c r="C17">
        <v>2.72</v>
      </c>
      <c r="D17" s="58">
        <v>1069500</v>
      </c>
      <c r="E17">
        <v>2.44</v>
      </c>
    </row>
    <row r="18" spans="1:5">
      <c r="A18" t="s">
        <v>2240</v>
      </c>
      <c r="B18" s="58">
        <v>8771163</v>
      </c>
      <c r="C18">
        <v>19.73</v>
      </c>
      <c r="D18" s="58">
        <v>8928023</v>
      </c>
      <c r="E18">
        <v>20.350000000000001</v>
      </c>
    </row>
    <row r="19" spans="1:5">
      <c r="A19" t="s">
        <v>2241</v>
      </c>
      <c r="B19" s="58">
        <v>1518672</v>
      </c>
      <c r="C19">
        <v>3.42</v>
      </c>
      <c r="D19" s="58">
        <v>1496517</v>
      </c>
      <c r="E19">
        <v>3.41</v>
      </c>
    </row>
    <row r="20" spans="1:5">
      <c r="A20" t="s">
        <v>2243</v>
      </c>
      <c r="B20" s="58">
        <v>747839</v>
      </c>
      <c r="C20">
        <v>1.68</v>
      </c>
      <c r="D20" s="58">
        <v>770080</v>
      </c>
      <c r="E20">
        <v>1.76</v>
      </c>
    </row>
    <row r="21" spans="1:5">
      <c r="A21" t="s">
        <v>2244</v>
      </c>
      <c r="B21" s="58">
        <v>401792</v>
      </c>
      <c r="C21">
        <v>0.9</v>
      </c>
      <c r="D21" s="58">
        <v>396447</v>
      </c>
      <c r="E21">
        <v>0.9</v>
      </c>
    </row>
    <row r="22" spans="1:5">
      <c r="A22" t="s">
        <v>2245</v>
      </c>
      <c r="B22" s="58">
        <v>760204</v>
      </c>
      <c r="C22">
        <v>1.71</v>
      </c>
      <c r="D22" s="58">
        <v>713678</v>
      </c>
      <c r="E22">
        <v>1.63</v>
      </c>
    </row>
    <row r="23" spans="1:5">
      <c r="A23" t="s">
        <v>2246</v>
      </c>
      <c r="B23" s="58">
        <v>13451896</v>
      </c>
      <c r="C23">
        <v>30.26</v>
      </c>
      <c r="D23" s="58">
        <v>13423964</v>
      </c>
      <c r="E23">
        <v>30.6</v>
      </c>
    </row>
    <row r="24" spans="1:5">
      <c r="A24" t="s">
        <v>2247</v>
      </c>
      <c r="B24" s="58">
        <v>44448063</v>
      </c>
      <c r="C24">
        <v>100</v>
      </c>
      <c r="D24" s="58">
        <v>43862581</v>
      </c>
      <c r="E24">
        <v>100</v>
      </c>
    </row>
    <row r="25" spans="1:5">
      <c r="A25" t="s">
        <v>2248</v>
      </c>
    </row>
    <row r="26" spans="1:5">
      <c r="A26" t="s">
        <v>2339</v>
      </c>
      <c r="B26" s="58">
        <v>2880000</v>
      </c>
      <c r="C26">
        <v>6.48</v>
      </c>
      <c r="D26" s="58">
        <v>500000</v>
      </c>
      <c r="E26">
        <v>1.1399999999999999</v>
      </c>
    </row>
    <row r="27" spans="1:5">
      <c r="A27" t="s">
        <v>2340</v>
      </c>
      <c r="B27" s="58">
        <v>5245231</v>
      </c>
      <c r="C27">
        <v>11.8</v>
      </c>
      <c r="D27" s="58">
        <v>7444470</v>
      </c>
      <c r="E27">
        <v>16.97</v>
      </c>
    </row>
    <row r="28" spans="1:5">
      <c r="A28" t="s">
        <v>2251</v>
      </c>
      <c r="B28" s="58">
        <v>57861</v>
      </c>
      <c r="C28">
        <v>0.13</v>
      </c>
      <c r="D28" s="58">
        <v>1126421</v>
      </c>
      <c r="E28">
        <v>2.57</v>
      </c>
    </row>
    <row r="29" spans="1:5">
      <c r="A29" t="s">
        <v>2253</v>
      </c>
      <c r="B29" s="58">
        <v>3010161</v>
      </c>
      <c r="C29">
        <v>6.77</v>
      </c>
      <c r="D29" s="58">
        <v>2748132</v>
      </c>
      <c r="E29">
        <v>6.27</v>
      </c>
    </row>
    <row r="30" spans="1:5">
      <c r="A30" t="s">
        <v>2254</v>
      </c>
      <c r="B30" s="58">
        <v>96685</v>
      </c>
      <c r="C30">
        <v>0.22</v>
      </c>
      <c r="D30" s="58">
        <v>27891</v>
      </c>
      <c r="E30">
        <v>0.06</v>
      </c>
    </row>
    <row r="31" spans="1:5">
      <c r="A31" t="s">
        <v>2255</v>
      </c>
      <c r="B31" s="58">
        <v>3966234</v>
      </c>
      <c r="C31">
        <v>8.92</v>
      </c>
      <c r="D31" s="58">
        <v>4052888</v>
      </c>
      <c r="E31">
        <v>9.24</v>
      </c>
    </row>
    <row r="32" spans="1:5">
      <c r="A32" t="s">
        <v>2257</v>
      </c>
      <c r="B32" s="58">
        <v>767701</v>
      </c>
      <c r="C32">
        <v>1.73</v>
      </c>
      <c r="D32" s="58">
        <v>565010</v>
      </c>
      <c r="E32">
        <v>1.29</v>
      </c>
    </row>
    <row r="33" spans="1:5">
      <c r="A33" t="s">
        <v>2341</v>
      </c>
      <c r="B33" s="58">
        <v>843130</v>
      </c>
      <c r="C33">
        <v>1.9</v>
      </c>
      <c r="D33" s="58">
        <v>817072</v>
      </c>
      <c r="E33">
        <v>1.86</v>
      </c>
    </row>
    <row r="34" spans="1:5">
      <c r="A34" t="s">
        <v>2258</v>
      </c>
      <c r="B34" s="58">
        <v>111427</v>
      </c>
      <c r="C34">
        <v>0.25</v>
      </c>
      <c r="D34" s="58">
        <v>103904</v>
      </c>
      <c r="E34">
        <v>0.24</v>
      </c>
    </row>
    <row r="35" spans="1:5">
      <c r="A35" t="s">
        <v>2259</v>
      </c>
      <c r="B35" s="58">
        <v>3911561</v>
      </c>
      <c r="C35">
        <v>8.8000000000000007</v>
      </c>
      <c r="D35" s="58">
        <v>3870551</v>
      </c>
      <c r="E35">
        <v>8.82</v>
      </c>
    </row>
    <row r="36" spans="1:5">
      <c r="A36" t="s">
        <v>2260</v>
      </c>
      <c r="B36" s="58">
        <v>20889991</v>
      </c>
      <c r="C36">
        <v>47</v>
      </c>
      <c r="D36" s="58">
        <v>21256339</v>
      </c>
      <c r="E36">
        <v>48.46</v>
      </c>
    </row>
    <row r="37" spans="1:5">
      <c r="A37" t="s">
        <v>2261</v>
      </c>
    </row>
    <row r="38" spans="1:5">
      <c r="A38" t="s">
        <v>2263</v>
      </c>
      <c r="B38" s="58">
        <v>3447381</v>
      </c>
      <c r="C38">
        <v>7.76</v>
      </c>
      <c r="D38" s="58">
        <v>3447223</v>
      </c>
      <c r="E38">
        <v>7.86</v>
      </c>
    </row>
    <row r="39" spans="1:5">
      <c r="A39" t="s">
        <v>2265</v>
      </c>
      <c r="B39" s="58">
        <v>392889</v>
      </c>
      <c r="C39">
        <v>0.88</v>
      </c>
      <c r="D39" s="58">
        <v>341702</v>
      </c>
      <c r="E39">
        <v>0.78</v>
      </c>
    </row>
    <row r="40" spans="1:5">
      <c r="A40" t="s">
        <v>2266</v>
      </c>
      <c r="B40" s="58">
        <v>1490413</v>
      </c>
      <c r="C40">
        <v>3.35</v>
      </c>
      <c r="D40" s="58">
        <v>1447876</v>
      </c>
      <c r="E40">
        <v>3.3</v>
      </c>
    </row>
    <row r="41" spans="1:5">
      <c r="A41" t="s">
        <v>2267</v>
      </c>
      <c r="B41" s="58">
        <v>263957</v>
      </c>
      <c r="C41">
        <v>0.59</v>
      </c>
      <c r="D41" s="58">
        <v>270101</v>
      </c>
      <c r="E41">
        <v>0.62</v>
      </c>
    </row>
    <row r="42" spans="1:5">
      <c r="A42" t="s">
        <v>2268</v>
      </c>
      <c r="B42" s="58">
        <v>5594640</v>
      </c>
      <c r="C42">
        <v>12.59</v>
      </c>
      <c r="D42" s="58">
        <v>5506902</v>
      </c>
      <c r="E42">
        <v>12.55</v>
      </c>
    </row>
    <row r="43" spans="1:5">
      <c r="A43" t="s">
        <v>2269</v>
      </c>
      <c r="B43" s="58">
        <v>26484631</v>
      </c>
      <c r="C43">
        <v>59.59</v>
      </c>
      <c r="D43" s="58">
        <v>26763241</v>
      </c>
      <c r="E43">
        <v>61.02</v>
      </c>
    </row>
    <row r="44" spans="1:5">
      <c r="A44" t="s">
        <v>2270</v>
      </c>
    </row>
    <row r="45" spans="1:5">
      <c r="A45" t="s">
        <v>2271</v>
      </c>
    </row>
    <row r="46" spans="1:5">
      <c r="A46" t="s">
        <v>2272</v>
      </c>
      <c r="B46" s="58">
        <v>9418671</v>
      </c>
      <c r="C46">
        <v>21.19</v>
      </c>
      <c r="D46" s="58">
        <v>9418671</v>
      </c>
      <c r="E46">
        <v>21.47</v>
      </c>
    </row>
    <row r="47" spans="1:5">
      <c r="A47" t="s">
        <v>2274</v>
      </c>
      <c r="B47" s="58">
        <v>9418671</v>
      </c>
      <c r="C47">
        <v>21.19</v>
      </c>
      <c r="D47" s="58">
        <v>9418671</v>
      </c>
      <c r="E47">
        <v>21.47</v>
      </c>
    </row>
    <row r="48" spans="1:5">
      <c r="A48" t="s">
        <v>2275</v>
      </c>
    </row>
    <row r="49" spans="1:5">
      <c r="A49" t="s">
        <v>2276</v>
      </c>
      <c r="B49" s="58">
        <v>11746</v>
      </c>
      <c r="C49">
        <v>0.03</v>
      </c>
      <c r="D49" s="58">
        <v>11746</v>
      </c>
      <c r="E49">
        <v>0.03</v>
      </c>
    </row>
    <row r="50" spans="1:5">
      <c r="A50" t="s">
        <v>2277</v>
      </c>
    </row>
    <row r="51" spans="1:5">
      <c r="A51" t="s">
        <v>2278</v>
      </c>
      <c r="B51" s="58">
        <v>1374269</v>
      </c>
      <c r="C51">
        <v>3.09</v>
      </c>
      <c r="D51" s="58">
        <v>1374269</v>
      </c>
      <c r="E51">
        <v>3.13</v>
      </c>
    </row>
    <row r="52" spans="1:5">
      <c r="A52" t="s">
        <v>2279</v>
      </c>
      <c r="B52" s="58">
        <v>1946538</v>
      </c>
      <c r="C52">
        <v>4.38</v>
      </c>
      <c r="D52" s="58">
        <v>1946538</v>
      </c>
      <c r="E52">
        <v>4.4400000000000004</v>
      </c>
    </row>
    <row r="53" spans="1:5">
      <c r="A53" t="s">
        <v>2280</v>
      </c>
      <c r="B53" s="58">
        <v>5170519</v>
      </c>
      <c r="C53">
        <v>11.63</v>
      </c>
      <c r="D53" s="58">
        <v>4366362</v>
      </c>
      <c r="E53">
        <v>9.9499999999999993</v>
      </c>
    </row>
    <row r="54" spans="1:5">
      <c r="A54" t="s">
        <v>2281</v>
      </c>
      <c r="B54" s="58">
        <v>8491326</v>
      </c>
      <c r="C54">
        <v>19.100000000000001</v>
      </c>
      <c r="D54" s="58">
        <v>7687169</v>
      </c>
      <c r="E54">
        <v>17.53</v>
      </c>
    </row>
    <row r="55" spans="1:5">
      <c r="A55" t="s">
        <v>2282</v>
      </c>
    </row>
    <row r="56" spans="1:5">
      <c r="A56" t="s">
        <v>2283</v>
      </c>
      <c r="B56" s="58">
        <v>41689</v>
      </c>
      <c r="C56">
        <v>0.09</v>
      </c>
      <c r="D56" s="58">
        <v>-18246</v>
      </c>
      <c r="E56">
        <v>-0.04</v>
      </c>
    </row>
    <row r="57" spans="1:5">
      <c r="A57" t="s">
        <v>2284</v>
      </c>
      <c r="B57" s="58">
        <v>17963432</v>
      </c>
      <c r="C57">
        <v>40.409999999999997</v>
      </c>
      <c r="D57" s="58">
        <v>17099340</v>
      </c>
      <c r="E57">
        <v>38.979999999999997</v>
      </c>
    </row>
    <row r="58" spans="1:5">
      <c r="A58" t="s">
        <v>2286</v>
      </c>
      <c r="B58" s="58">
        <v>17963432</v>
      </c>
      <c r="C58">
        <v>40.409999999999997</v>
      </c>
      <c r="D58" s="58">
        <v>17099340</v>
      </c>
      <c r="E58">
        <v>38.979999999999997</v>
      </c>
    </row>
    <row r="59" spans="1:5">
      <c r="A59" t="s">
        <v>2287</v>
      </c>
      <c r="B59" s="58">
        <v>44448063</v>
      </c>
      <c r="C59">
        <v>100</v>
      </c>
      <c r="D59" s="58">
        <v>43862581</v>
      </c>
      <c r="E59">
        <v>100</v>
      </c>
    </row>
    <row r="60" spans="1:5">
      <c r="A60" t="s">
        <v>2289</v>
      </c>
      <c r="B60">
        <v>0</v>
      </c>
      <c r="D60">
        <v>0</v>
      </c>
    </row>
    <row r="61" spans="1:5">
      <c r="A61" t="s">
        <v>2290</v>
      </c>
      <c r="B61">
        <v>0</v>
      </c>
      <c r="D61">
        <v>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34A9A-A1F6-4383-933C-65E926C22A8D}">
  <sheetPr codeName="工作表16"/>
  <dimension ref="A1:E40"/>
  <sheetViews>
    <sheetView workbookViewId="0"/>
  </sheetViews>
  <sheetFormatPr baseColWidth="10" defaultColWidth="8.83203125" defaultRowHeight="15"/>
  <sheetData>
    <row r="1" spans="1:5">
      <c r="A1" t="s">
        <v>2210</v>
      </c>
    </row>
    <row r="2" spans="1:5">
      <c r="A2" t="s">
        <v>2211</v>
      </c>
    </row>
    <row r="3" spans="1:5">
      <c r="A3" t="s">
        <v>2212</v>
      </c>
      <c r="B3" t="s">
        <v>2291</v>
      </c>
      <c r="D3" t="s">
        <v>2292</v>
      </c>
    </row>
    <row r="4" spans="1:5">
      <c r="B4" t="s">
        <v>2215</v>
      </c>
      <c r="C4" t="s">
        <v>2217</v>
      </c>
      <c r="D4" t="s">
        <v>2215</v>
      </c>
      <c r="E4" t="s">
        <v>2217</v>
      </c>
    </row>
    <row r="5" spans="1:5">
      <c r="A5" t="s">
        <v>2293</v>
      </c>
      <c r="B5" s="58">
        <v>10575585</v>
      </c>
      <c r="C5">
        <v>100</v>
      </c>
      <c r="D5" s="58">
        <v>9940640</v>
      </c>
      <c r="E5">
        <v>100</v>
      </c>
    </row>
    <row r="6" spans="1:5">
      <c r="A6" t="s">
        <v>2294</v>
      </c>
      <c r="B6" s="58">
        <v>9488044</v>
      </c>
      <c r="C6">
        <v>89.72</v>
      </c>
      <c r="D6" s="58">
        <v>9009190</v>
      </c>
      <c r="E6">
        <v>90.63</v>
      </c>
    </row>
    <row r="7" spans="1:5">
      <c r="A7" t="s">
        <v>2295</v>
      </c>
      <c r="B7" s="58">
        <v>1087541</v>
      </c>
      <c r="C7">
        <v>10.28</v>
      </c>
      <c r="D7" s="58">
        <v>931450</v>
      </c>
      <c r="E7">
        <v>9.3699999999999992</v>
      </c>
    </row>
    <row r="8" spans="1:5">
      <c r="A8" t="s">
        <v>2298</v>
      </c>
      <c r="B8" s="58">
        <v>1087541</v>
      </c>
      <c r="C8">
        <v>10.28</v>
      </c>
      <c r="D8" s="58">
        <v>931450</v>
      </c>
      <c r="E8">
        <v>9.3699999999999992</v>
      </c>
    </row>
    <row r="9" spans="1:5">
      <c r="A9" t="s">
        <v>2299</v>
      </c>
    </row>
    <row r="10" spans="1:5">
      <c r="A10" t="s">
        <v>2300</v>
      </c>
      <c r="B10" s="58">
        <v>45336</v>
      </c>
      <c r="C10">
        <v>0.43</v>
      </c>
      <c r="D10" s="58">
        <v>37282</v>
      </c>
      <c r="E10">
        <v>0.38</v>
      </c>
    </row>
    <row r="11" spans="1:5">
      <c r="A11" t="s">
        <v>2301</v>
      </c>
      <c r="B11" s="58">
        <v>175690</v>
      </c>
      <c r="C11">
        <v>1.66</v>
      </c>
      <c r="D11" s="58">
        <v>150357</v>
      </c>
      <c r="E11">
        <v>1.51</v>
      </c>
    </row>
    <row r="12" spans="1:5">
      <c r="A12" t="s">
        <v>2342</v>
      </c>
      <c r="B12" s="58">
        <v>99505</v>
      </c>
      <c r="C12">
        <v>0.94</v>
      </c>
      <c r="D12" s="58">
        <v>97163</v>
      </c>
      <c r="E12">
        <v>0.98</v>
      </c>
    </row>
    <row r="13" spans="1:5">
      <c r="A13" t="s">
        <v>2302</v>
      </c>
      <c r="B13" s="58">
        <v>-1621</v>
      </c>
      <c r="C13">
        <v>-0.02</v>
      </c>
      <c r="D13">
        <v>685</v>
      </c>
      <c r="E13">
        <v>0.01</v>
      </c>
    </row>
    <row r="14" spans="1:5">
      <c r="A14" t="s">
        <v>2303</v>
      </c>
      <c r="B14" s="58">
        <v>318910</v>
      </c>
      <c r="C14">
        <v>3.02</v>
      </c>
      <c r="D14" s="58">
        <v>285487</v>
      </c>
      <c r="E14">
        <v>2.87</v>
      </c>
    </row>
    <row r="15" spans="1:5">
      <c r="A15" t="s">
        <v>2306</v>
      </c>
      <c r="B15" s="58">
        <v>768631</v>
      </c>
      <c r="C15">
        <v>7.27</v>
      </c>
      <c r="D15" s="58">
        <v>645963</v>
      </c>
      <c r="E15">
        <v>6.5</v>
      </c>
    </row>
    <row r="16" spans="1:5">
      <c r="A16" t="s">
        <v>2307</v>
      </c>
    </row>
    <row r="17" spans="1:5">
      <c r="A17" t="s">
        <v>2308</v>
      </c>
      <c r="B17" s="58">
        <v>16058</v>
      </c>
      <c r="C17">
        <v>0.15</v>
      </c>
      <c r="D17" s="58">
        <v>7975</v>
      </c>
      <c r="E17">
        <v>0.08</v>
      </c>
    </row>
    <row r="18" spans="1:5">
      <c r="A18" t="s">
        <v>2309</v>
      </c>
      <c r="B18" s="58">
        <v>15507</v>
      </c>
      <c r="C18">
        <v>0.15</v>
      </c>
      <c r="D18" s="58">
        <v>43116</v>
      </c>
      <c r="E18">
        <v>0.43</v>
      </c>
    </row>
    <row r="19" spans="1:5">
      <c r="A19" t="s">
        <v>2310</v>
      </c>
      <c r="B19" s="58">
        <v>162231</v>
      </c>
      <c r="C19">
        <v>1.53</v>
      </c>
      <c r="D19" s="58">
        <v>-62787</v>
      </c>
      <c r="E19">
        <v>-0.63</v>
      </c>
    </row>
    <row r="20" spans="1:5">
      <c r="A20" t="s">
        <v>2311</v>
      </c>
      <c r="B20" s="58">
        <v>44406</v>
      </c>
      <c r="C20">
        <v>0.42</v>
      </c>
      <c r="D20" s="58">
        <v>50989</v>
      </c>
      <c r="E20">
        <v>0.51</v>
      </c>
    </row>
    <row r="21" spans="1:5">
      <c r="A21" t="s">
        <v>2312</v>
      </c>
      <c r="B21" s="58">
        <v>118603</v>
      </c>
      <c r="C21">
        <v>1.1200000000000001</v>
      </c>
      <c r="D21" s="58">
        <v>119180</v>
      </c>
      <c r="E21">
        <v>1.2</v>
      </c>
    </row>
    <row r="22" spans="1:5">
      <c r="A22" t="s">
        <v>2313</v>
      </c>
      <c r="B22" s="58">
        <v>267993</v>
      </c>
      <c r="C22">
        <v>2.5299999999999998</v>
      </c>
      <c r="D22" s="58">
        <v>56495</v>
      </c>
      <c r="E22">
        <v>0.56999999999999995</v>
      </c>
    </row>
    <row r="23" spans="1:5">
      <c r="A23" t="s">
        <v>2314</v>
      </c>
      <c r="B23" s="58">
        <v>1036624</v>
      </c>
      <c r="C23">
        <v>9.8000000000000007</v>
      </c>
      <c r="D23" s="58">
        <v>702458</v>
      </c>
      <c r="E23">
        <v>7.07</v>
      </c>
    </row>
    <row r="24" spans="1:5">
      <c r="A24" t="s">
        <v>2315</v>
      </c>
      <c r="B24" s="58">
        <v>232467</v>
      </c>
      <c r="C24">
        <v>2.2000000000000002</v>
      </c>
      <c r="D24" s="58">
        <v>158791</v>
      </c>
      <c r="E24">
        <v>1.6</v>
      </c>
    </row>
    <row r="25" spans="1:5">
      <c r="A25" t="s">
        <v>2316</v>
      </c>
      <c r="B25" s="58">
        <v>804157</v>
      </c>
      <c r="C25">
        <v>7.6</v>
      </c>
      <c r="D25" s="58">
        <v>543667</v>
      </c>
      <c r="E25">
        <v>5.47</v>
      </c>
    </row>
    <row r="26" spans="1:5">
      <c r="A26" t="s">
        <v>2317</v>
      </c>
      <c r="B26" s="58">
        <v>804157</v>
      </c>
      <c r="C26">
        <v>7.6</v>
      </c>
      <c r="D26" s="58">
        <v>543667</v>
      </c>
      <c r="E26">
        <v>5.47</v>
      </c>
    </row>
    <row r="27" spans="1:5">
      <c r="A27" t="s">
        <v>2318</v>
      </c>
    </row>
    <row r="28" spans="1:5">
      <c r="A28" t="s">
        <v>2319</v>
      </c>
      <c r="B28" s="58">
        <v>-4372</v>
      </c>
      <c r="C28">
        <v>-0.04</v>
      </c>
      <c r="D28" s="58">
        <v>4547</v>
      </c>
      <c r="E28">
        <v>0.05</v>
      </c>
    </row>
    <row r="29" spans="1:5">
      <c r="A29" t="s">
        <v>2322</v>
      </c>
      <c r="B29" s="58">
        <v>-4372</v>
      </c>
      <c r="C29">
        <v>-0.04</v>
      </c>
      <c r="D29" s="58">
        <v>4547</v>
      </c>
      <c r="E29">
        <v>0.05</v>
      </c>
    </row>
    <row r="30" spans="1:5">
      <c r="A30" t="s">
        <v>2323</v>
      </c>
      <c r="B30" s="58">
        <v>64307</v>
      </c>
      <c r="C30">
        <v>0.61</v>
      </c>
      <c r="D30" s="58">
        <v>-10448</v>
      </c>
      <c r="E30">
        <v>-0.11</v>
      </c>
    </row>
    <row r="31" spans="1:5">
      <c r="A31" t="s">
        <v>2327</v>
      </c>
      <c r="B31" s="58">
        <v>64307</v>
      </c>
      <c r="C31">
        <v>0.61</v>
      </c>
      <c r="D31" s="58">
        <v>-10448</v>
      </c>
      <c r="E31">
        <v>-0.11</v>
      </c>
    </row>
    <row r="32" spans="1:5">
      <c r="A32" t="s">
        <v>2328</v>
      </c>
      <c r="B32" s="58">
        <v>59935</v>
      </c>
      <c r="C32">
        <v>0.56999999999999995</v>
      </c>
      <c r="D32" s="58">
        <v>-5901</v>
      </c>
      <c r="E32">
        <v>-0.06</v>
      </c>
    </row>
    <row r="33" spans="1:5">
      <c r="A33" t="s">
        <v>2329</v>
      </c>
      <c r="B33" s="58">
        <v>864092</v>
      </c>
      <c r="C33">
        <v>8.17</v>
      </c>
      <c r="D33" s="58">
        <v>537766</v>
      </c>
      <c r="E33">
        <v>5.41</v>
      </c>
    </row>
    <row r="34" spans="1:5">
      <c r="A34" t="s">
        <v>2330</v>
      </c>
    </row>
    <row r="35" spans="1:5">
      <c r="A35" t="s">
        <v>2331</v>
      </c>
      <c r="B35" s="58">
        <v>804157</v>
      </c>
      <c r="C35">
        <v>7.6</v>
      </c>
      <c r="D35" s="58">
        <v>543667</v>
      </c>
      <c r="E35">
        <v>5.47</v>
      </c>
    </row>
    <row r="36" spans="1:5">
      <c r="A36" t="s">
        <v>2333</v>
      </c>
      <c r="B36" s="58">
        <v>864092</v>
      </c>
      <c r="C36">
        <v>8.17</v>
      </c>
      <c r="D36" s="58">
        <v>537766</v>
      </c>
      <c r="E36">
        <v>5.41</v>
      </c>
    </row>
    <row r="37" spans="1:5">
      <c r="A37" t="s">
        <v>2335</v>
      </c>
    </row>
    <row r="38" spans="1:5">
      <c r="A38" t="s">
        <v>2336</v>
      </c>
      <c r="B38">
        <v>0.85</v>
      </c>
      <c r="D38">
        <v>0.57999999999999996</v>
      </c>
    </row>
    <row r="39" spans="1:5">
      <c r="A39" t="s">
        <v>2337</v>
      </c>
    </row>
    <row r="40" spans="1:5">
      <c r="A40" t="s">
        <v>2338</v>
      </c>
      <c r="B40">
        <v>0.85</v>
      </c>
      <c r="D40">
        <v>0.57999999999999996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65709-489F-47F3-ADEA-EF1D73F36239}">
  <sheetPr codeName="工作表17"/>
  <dimension ref="A1:E64"/>
  <sheetViews>
    <sheetView workbookViewId="0"/>
  </sheetViews>
  <sheetFormatPr baseColWidth="10" defaultColWidth="8.83203125" defaultRowHeight="15"/>
  <sheetData>
    <row r="1" spans="1:5">
      <c r="A1" t="s">
        <v>2210</v>
      </c>
    </row>
    <row r="2" spans="1:5">
      <c r="A2" t="s">
        <v>2211</v>
      </c>
    </row>
    <row r="3" spans="1:5">
      <c r="A3" t="s">
        <v>2212</v>
      </c>
      <c r="B3" t="s">
        <v>2213</v>
      </c>
      <c r="D3" t="s">
        <v>2216</v>
      </c>
    </row>
    <row r="4" spans="1:5">
      <c r="B4" t="s">
        <v>2214</v>
      </c>
      <c r="C4" t="s">
        <v>2215</v>
      </c>
      <c r="D4" t="s">
        <v>2217</v>
      </c>
      <c r="E4" t="s">
        <v>2215</v>
      </c>
    </row>
    <row r="5" spans="1:5">
      <c r="A5" t="s">
        <v>2218</v>
      </c>
    </row>
    <row r="6" spans="1:5">
      <c r="A6" t="s">
        <v>2219</v>
      </c>
      <c r="B6" s="58">
        <v>14834664</v>
      </c>
      <c r="C6">
        <v>17.510000000000002</v>
      </c>
      <c r="D6" s="58">
        <v>13499793</v>
      </c>
      <c r="E6">
        <v>16.739999999999998</v>
      </c>
    </row>
    <row r="7" spans="1:5">
      <c r="A7" t="s">
        <v>2220</v>
      </c>
      <c r="B7" s="58">
        <v>1380985</v>
      </c>
      <c r="C7">
        <v>1.63</v>
      </c>
      <c r="D7" s="58">
        <v>1317154</v>
      </c>
      <c r="E7">
        <v>1.63</v>
      </c>
    </row>
    <row r="8" spans="1:5">
      <c r="A8" t="s">
        <v>2343</v>
      </c>
      <c r="B8" s="58">
        <v>8717003</v>
      </c>
      <c r="C8">
        <v>10.29</v>
      </c>
      <c r="D8" s="58">
        <v>7921478</v>
      </c>
      <c r="E8">
        <v>9.82</v>
      </c>
    </row>
    <row r="9" spans="1:5">
      <c r="A9" t="s">
        <v>2221</v>
      </c>
      <c r="B9">
        <v>0</v>
      </c>
      <c r="C9">
        <v>0</v>
      </c>
      <c r="D9" s="58">
        <v>160764</v>
      </c>
      <c r="E9">
        <v>0.2</v>
      </c>
    </row>
    <row r="10" spans="1:5">
      <c r="A10" t="s">
        <v>2223</v>
      </c>
      <c r="B10" s="58">
        <v>293043</v>
      </c>
      <c r="C10">
        <v>0.35</v>
      </c>
      <c r="D10" s="58">
        <v>437283</v>
      </c>
      <c r="E10">
        <v>0.54</v>
      </c>
    </row>
    <row r="11" spans="1:5">
      <c r="A11" t="s">
        <v>2225</v>
      </c>
      <c r="B11" s="58">
        <v>959978</v>
      </c>
      <c r="C11">
        <v>1.1299999999999999</v>
      </c>
      <c r="D11" s="58">
        <v>836651</v>
      </c>
      <c r="E11">
        <v>1.04</v>
      </c>
    </row>
    <row r="12" spans="1:5">
      <c r="A12" t="s">
        <v>2226</v>
      </c>
      <c r="B12" s="58">
        <v>48584</v>
      </c>
      <c r="C12">
        <v>0.06</v>
      </c>
      <c r="D12" s="58">
        <v>16402</v>
      </c>
      <c r="E12">
        <v>0.02</v>
      </c>
    </row>
    <row r="13" spans="1:5">
      <c r="A13" t="s">
        <v>2228</v>
      </c>
      <c r="B13" s="58">
        <v>453354</v>
      </c>
      <c r="C13">
        <v>0.54</v>
      </c>
      <c r="D13" s="58">
        <v>325975</v>
      </c>
      <c r="E13">
        <v>0.4</v>
      </c>
    </row>
    <row r="14" spans="1:5">
      <c r="A14" t="s">
        <v>2231</v>
      </c>
      <c r="B14" s="58">
        <v>684414</v>
      </c>
      <c r="C14">
        <v>0.81</v>
      </c>
      <c r="D14" s="58">
        <v>606769</v>
      </c>
      <c r="E14">
        <v>0.75</v>
      </c>
    </row>
    <row r="15" spans="1:5">
      <c r="A15" t="s">
        <v>2233</v>
      </c>
      <c r="B15" s="58">
        <v>273872</v>
      </c>
      <c r="C15">
        <v>0.32</v>
      </c>
      <c r="D15" s="58">
        <v>305145</v>
      </c>
      <c r="E15">
        <v>0.38</v>
      </c>
    </row>
    <row r="16" spans="1:5">
      <c r="A16" t="s">
        <v>2234</v>
      </c>
      <c r="B16" s="58">
        <v>27645897</v>
      </c>
      <c r="C16">
        <v>32.630000000000003</v>
      </c>
      <c r="D16" s="58">
        <v>25427414</v>
      </c>
      <c r="E16">
        <v>31.53</v>
      </c>
    </row>
    <row r="17" spans="1:5">
      <c r="A17" t="s">
        <v>2235</v>
      </c>
    </row>
    <row r="18" spans="1:5">
      <c r="A18" t="s">
        <v>2236</v>
      </c>
      <c r="B18" s="58">
        <v>2488410</v>
      </c>
      <c r="C18">
        <v>2.94</v>
      </c>
      <c r="D18" s="58">
        <v>2397502</v>
      </c>
      <c r="E18">
        <v>2.97</v>
      </c>
    </row>
    <row r="19" spans="1:5">
      <c r="A19" t="s">
        <v>2237</v>
      </c>
      <c r="B19" s="58">
        <v>2051819</v>
      </c>
      <c r="C19">
        <v>2.42</v>
      </c>
      <c r="D19" s="58">
        <v>1762785</v>
      </c>
      <c r="E19">
        <v>2.19</v>
      </c>
    </row>
    <row r="20" spans="1:5">
      <c r="A20" t="s">
        <v>2239</v>
      </c>
      <c r="B20" s="58">
        <v>5111357</v>
      </c>
      <c r="C20">
        <v>6.03</v>
      </c>
      <c r="D20" s="58">
        <v>4840703</v>
      </c>
      <c r="E20">
        <v>6</v>
      </c>
    </row>
    <row r="21" spans="1:5">
      <c r="A21" t="s">
        <v>2240</v>
      </c>
      <c r="B21" s="58">
        <v>44799389</v>
      </c>
      <c r="C21">
        <v>52.88</v>
      </c>
      <c r="D21" s="58">
        <v>43810923</v>
      </c>
      <c r="E21">
        <v>54.33</v>
      </c>
    </row>
    <row r="22" spans="1:5">
      <c r="A22" t="s">
        <v>2243</v>
      </c>
      <c r="B22" s="58">
        <v>36389</v>
      </c>
      <c r="C22">
        <v>0.04</v>
      </c>
      <c r="D22" s="58">
        <v>39287</v>
      </c>
      <c r="E22">
        <v>0.05</v>
      </c>
    </row>
    <row r="23" spans="1:5">
      <c r="A23" t="s">
        <v>2244</v>
      </c>
      <c r="B23" s="58">
        <v>1693</v>
      </c>
      <c r="C23">
        <v>0</v>
      </c>
      <c r="D23" s="58">
        <v>1820</v>
      </c>
      <c r="E23">
        <v>0</v>
      </c>
    </row>
    <row r="24" spans="1:5">
      <c r="A24" t="s">
        <v>2245</v>
      </c>
      <c r="B24" s="58">
        <v>2583640</v>
      </c>
      <c r="C24">
        <v>3.05</v>
      </c>
      <c r="D24" s="58">
        <v>2353507</v>
      </c>
      <c r="E24">
        <v>2.92</v>
      </c>
    </row>
    <row r="25" spans="1:5">
      <c r="A25" t="s">
        <v>2246</v>
      </c>
      <c r="B25" s="58">
        <v>57072697</v>
      </c>
      <c r="C25">
        <v>67.37</v>
      </c>
      <c r="D25" s="58">
        <v>55206527</v>
      </c>
      <c r="E25">
        <v>68.47</v>
      </c>
    </row>
    <row r="26" spans="1:5">
      <c r="A26" t="s">
        <v>2247</v>
      </c>
      <c r="B26" s="58">
        <v>84718594</v>
      </c>
      <c r="C26">
        <v>100</v>
      </c>
      <c r="D26" s="58">
        <v>80633941</v>
      </c>
      <c r="E26">
        <v>100</v>
      </c>
    </row>
    <row r="27" spans="1:5">
      <c r="A27" t="s">
        <v>2248</v>
      </c>
    </row>
    <row r="28" spans="1:5">
      <c r="A28" t="s">
        <v>2339</v>
      </c>
      <c r="B28" s="58">
        <v>8039000</v>
      </c>
      <c r="C28">
        <v>9.49</v>
      </c>
      <c r="D28" s="58">
        <v>10672000</v>
      </c>
      <c r="E28">
        <v>13.24</v>
      </c>
    </row>
    <row r="29" spans="1:5">
      <c r="A29" t="s">
        <v>2340</v>
      </c>
      <c r="B29" s="58">
        <v>2399493</v>
      </c>
      <c r="C29">
        <v>2.83</v>
      </c>
      <c r="D29" s="58">
        <v>1459349</v>
      </c>
      <c r="E29">
        <v>1.81</v>
      </c>
    </row>
    <row r="30" spans="1:5">
      <c r="A30" t="s">
        <v>2249</v>
      </c>
      <c r="B30">
        <v>0</v>
      </c>
      <c r="C30">
        <v>0</v>
      </c>
      <c r="D30" s="58">
        <v>1292</v>
      </c>
      <c r="E30">
        <v>0</v>
      </c>
    </row>
    <row r="31" spans="1:5">
      <c r="A31" t="s">
        <v>2253</v>
      </c>
      <c r="B31" s="58">
        <v>288516</v>
      </c>
      <c r="C31">
        <v>0.34</v>
      </c>
      <c r="D31" s="58">
        <v>246100</v>
      </c>
      <c r="E31">
        <v>0.31</v>
      </c>
    </row>
    <row r="32" spans="1:5">
      <c r="A32" t="s">
        <v>2255</v>
      </c>
      <c r="B32" s="58">
        <v>1107790</v>
      </c>
      <c r="C32">
        <v>1.31</v>
      </c>
      <c r="D32" s="58">
        <v>1069067</v>
      </c>
      <c r="E32">
        <v>1.33</v>
      </c>
    </row>
    <row r="33" spans="1:5">
      <c r="A33" t="s">
        <v>2257</v>
      </c>
      <c r="B33" s="58">
        <v>239785</v>
      </c>
      <c r="C33">
        <v>0.28000000000000003</v>
      </c>
      <c r="D33" s="58">
        <v>203024</v>
      </c>
      <c r="E33">
        <v>0.25</v>
      </c>
    </row>
    <row r="34" spans="1:5">
      <c r="A34" t="s">
        <v>2259</v>
      </c>
      <c r="B34" s="58">
        <v>6632957</v>
      </c>
      <c r="C34">
        <v>7.83</v>
      </c>
      <c r="D34" s="58">
        <v>4025233</v>
      </c>
      <c r="E34">
        <v>4.99</v>
      </c>
    </row>
    <row r="35" spans="1:5">
      <c r="A35" t="s">
        <v>2260</v>
      </c>
      <c r="B35" s="58">
        <v>18707541</v>
      </c>
      <c r="C35">
        <v>22.08</v>
      </c>
      <c r="D35" s="58">
        <v>17676065</v>
      </c>
      <c r="E35">
        <v>21.92</v>
      </c>
    </row>
    <row r="36" spans="1:5">
      <c r="A36" t="s">
        <v>2261</v>
      </c>
    </row>
    <row r="37" spans="1:5">
      <c r="A37" t="s">
        <v>2264</v>
      </c>
      <c r="B37" s="58">
        <v>28046427</v>
      </c>
      <c r="C37">
        <v>33.11</v>
      </c>
      <c r="D37" s="58">
        <v>29032073</v>
      </c>
      <c r="E37">
        <v>36</v>
      </c>
    </row>
    <row r="38" spans="1:5">
      <c r="A38" t="s">
        <v>2265</v>
      </c>
      <c r="B38" s="58">
        <v>14744</v>
      </c>
      <c r="C38">
        <v>0.02</v>
      </c>
      <c r="D38" s="58">
        <v>13989</v>
      </c>
      <c r="E38">
        <v>0.02</v>
      </c>
    </row>
    <row r="39" spans="1:5">
      <c r="A39" t="s">
        <v>2267</v>
      </c>
      <c r="B39" s="58">
        <v>88700</v>
      </c>
      <c r="C39">
        <v>0.1</v>
      </c>
      <c r="D39" s="58">
        <v>88666</v>
      </c>
      <c r="E39">
        <v>0.11</v>
      </c>
    </row>
    <row r="40" spans="1:5">
      <c r="A40" t="s">
        <v>2268</v>
      </c>
      <c r="B40" s="58">
        <v>28149871</v>
      </c>
      <c r="C40">
        <v>33.229999999999997</v>
      </c>
      <c r="D40" s="58">
        <v>29134728</v>
      </c>
      <c r="E40">
        <v>36.130000000000003</v>
      </c>
    </row>
    <row r="41" spans="1:5">
      <c r="A41" t="s">
        <v>2269</v>
      </c>
      <c r="B41" s="58">
        <v>46857412</v>
      </c>
      <c r="C41">
        <v>55.31</v>
      </c>
      <c r="D41" s="58">
        <v>46810793</v>
      </c>
      <c r="E41">
        <v>58.05</v>
      </c>
    </row>
    <row r="42" spans="1:5">
      <c r="A42" t="s">
        <v>2270</v>
      </c>
    </row>
    <row r="43" spans="1:5">
      <c r="A43" t="s">
        <v>2271</v>
      </c>
    </row>
    <row r="44" spans="1:5">
      <c r="A44" t="s">
        <v>2272</v>
      </c>
      <c r="B44" s="58">
        <v>8450557</v>
      </c>
      <c r="C44">
        <v>9.9700000000000006</v>
      </c>
      <c r="D44" s="58">
        <v>8450557</v>
      </c>
      <c r="E44">
        <v>10.48</v>
      </c>
    </row>
    <row r="45" spans="1:5">
      <c r="A45" t="s">
        <v>2274</v>
      </c>
      <c r="B45" s="58">
        <v>8450557</v>
      </c>
      <c r="C45">
        <v>9.9700000000000006</v>
      </c>
      <c r="D45" s="58">
        <v>8450557</v>
      </c>
      <c r="E45">
        <v>10.48</v>
      </c>
    </row>
    <row r="46" spans="1:5">
      <c r="A46" t="s">
        <v>2275</v>
      </c>
    </row>
    <row r="47" spans="1:5">
      <c r="A47" t="s">
        <v>2276</v>
      </c>
      <c r="B47" s="58">
        <v>119304</v>
      </c>
      <c r="C47">
        <v>0.14000000000000001</v>
      </c>
      <c r="D47" s="58">
        <v>119009</v>
      </c>
      <c r="E47">
        <v>0.15</v>
      </c>
    </row>
    <row r="48" spans="1:5">
      <c r="A48" t="s">
        <v>2277</v>
      </c>
    </row>
    <row r="49" spans="1:5">
      <c r="A49" t="s">
        <v>2278</v>
      </c>
      <c r="B49" s="58">
        <v>7897055</v>
      </c>
      <c r="C49">
        <v>9.32</v>
      </c>
      <c r="D49" s="58">
        <v>7897055</v>
      </c>
      <c r="E49">
        <v>9.7899999999999991</v>
      </c>
    </row>
    <row r="50" spans="1:5">
      <c r="A50" t="s">
        <v>2279</v>
      </c>
      <c r="B50">
        <v>0</v>
      </c>
      <c r="C50">
        <v>0</v>
      </c>
      <c r="D50">
        <v>0</v>
      </c>
      <c r="E50">
        <v>0</v>
      </c>
    </row>
    <row r="51" spans="1:5">
      <c r="A51" t="s">
        <v>2280</v>
      </c>
      <c r="B51" s="58">
        <v>14752983</v>
      </c>
      <c r="C51">
        <v>17.41</v>
      </c>
      <c r="D51" s="58">
        <v>13718373</v>
      </c>
      <c r="E51">
        <v>17.010000000000002</v>
      </c>
    </row>
    <row r="52" spans="1:5">
      <c r="A52" t="s">
        <v>2281</v>
      </c>
      <c r="B52" s="58">
        <v>22650038</v>
      </c>
      <c r="C52">
        <v>26.74</v>
      </c>
      <c r="D52" s="58">
        <v>21615428</v>
      </c>
      <c r="E52">
        <v>26.81</v>
      </c>
    </row>
    <row r="53" spans="1:5">
      <c r="A53" t="s">
        <v>2282</v>
      </c>
    </row>
    <row r="54" spans="1:5">
      <c r="A54" t="s">
        <v>2344</v>
      </c>
      <c r="B54" s="58">
        <v>1471251</v>
      </c>
      <c r="C54">
        <v>1.74</v>
      </c>
      <c r="D54" s="58">
        <v>-691172</v>
      </c>
      <c r="E54">
        <v>-0.86</v>
      </c>
    </row>
    <row r="55" spans="1:5">
      <c r="A55" t="s">
        <v>2345</v>
      </c>
      <c r="B55" s="58">
        <v>5057324</v>
      </c>
      <c r="C55">
        <v>5.97</v>
      </c>
      <c r="D55" s="58">
        <v>4204007</v>
      </c>
      <c r="E55">
        <v>5.21</v>
      </c>
    </row>
    <row r="56" spans="1:5">
      <c r="A56" t="s">
        <v>2346</v>
      </c>
      <c r="B56">
        <v>1</v>
      </c>
      <c r="C56">
        <v>0</v>
      </c>
      <c r="D56">
        <v>1</v>
      </c>
      <c r="E56">
        <v>0</v>
      </c>
    </row>
    <row r="57" spans="1:5">
      <c r="A57" t="s">
        <v>2347</v>
      </c>
      <c r="B57" s="58">
        <v>-7396</v>
      </c>
      <c r="C57">
        <v>-0.01</v>
      </c>
      <c r="D57">
        <v>169</v>
      </c>
      <c r="E57">
        <v>0</v>
      </c>
    </row>
    <row r="58" spans="1:5">
      <c r="A58" t="s">
        <v>2283</v>
      </c>
      <c r="B58" s="58">
        <v>6521180</v>
      </c>
      <c r="C58">
        <v>7.7</v>
      </c>
      <c r="D58" s="58">
        <v>3513005</v>
      </c>
      <c r="E58">
        <v>4.3600000000000003</v>
      </c>
    </row>
    <row r="59" spans="1:5">
      <c r="A59" t="s">
        <v>2284</v>
      </c>
      <c r="B59" s="58">
        <v>37741079</v>
      </c>
      <c r="C59">
        <v>44.55</v>
      </c>
      <c r="D59" s="58">
        <v>33697999</v>
      </c>
      <c r="E59">
        <v>41.79</v>
      </c>
    </row>
    <row r="60" spans="1:5">
      <c r="A60" t="s">
        <v>2285</v>
      </c>
      <c r="B60" s="58">
        <v>120103</v>
      </c>
      <c r="C60">
        <v>0.14000000000000001</v>
      </c>
      <c r="D60" s="58">
        <v>125149</v>
      </c>
      <c r="E60">
        <v>0.16</v>
      </c>
    </row>
    <row r="61" spans="1:5">
      <c r="A61" t="s">
        <v>2286</v>
      </c>
      <c r="B61" s="58">
        <v>37861182</v>
      </c>
      <c r="C61">
        <v>44.69</v>
      </c>
      <c r="D61" s="58">
        <v>33823148</v>
      </c>
      <c r="E61">
        <v>41.95</v>
      </c>
    </row>
    <row r="62" spans="1:5">
      <c r="A62" t="s">
        <v>2287</v>
      </c>
      <c r="B62" s="58">
        <v>84718594</v>
      </c>
      <c r="C62">
        <v>100</v>
      </c>
      <c r="D62" s="58">
        <v>80633941</v>
      </c>
      <c r="E62">
        <v>100</v>
      </c>
    </row>
    <row r="63" spans="1:5">
      <c r="A63" t="s">
        <v>2289</v>
      </c>
      <c r="B63">
        <v>0</v>
      </c>
      <c r="D63">
        <v>0</v>
      </c>
    </row>
    <row r="64" spans="1:5">
      <c r="A64" t="s">
        <v>2290</v>
      </c>
      <c r="B64">
        <v>0</v>
      </c>
      <c r="D64">
        <v>0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27AD9-99B1-4B61-943D-B8414DAF7A68}">
  <sheetPr codeName="工作表18"/>
  <dimension ref="A1:E47"/>
  <sheetViews>
    <sheetView workbookViewId="0"/>
  </sheetViews>
  <sheetFormatPr baseColWidth="10" defaultColWidth="8.83203125" defaultRowHeight="15"/>
  <sheetData>
    <row r="1" spans="1:5">
      <c r="A1" t="s">
        <v>2210</v>
      </c>
    </row>
    <row r="2" spans="1:5">
      <c r="A2" t="s">
        <v>2211</v>
      </c>
    </row>
    <row r="3" spans="1:5">
      <c r="A3" t="s">
        <v>2212</v>
      </c>
      <c r="B3" t="s">
        <v>2291</v>
      </c>
      <c r="D3" t="s">
        <v>2292</v>
      </c>
    </row>
    <row r="4" spans="1:5">
      <c r="B4" t="s">
        <v>2215</v>
      </c>
      <c r="C4" t="s">
        <v>2217</v>
      </c>
      <c r="D4" t="s">
        <v>2215</v>
      </c>
      <c r="E4" t="s">
        <v>2217</v>
      </c>
    </row>
    <row r="5" spans="1:5">
      <c r="A5" t="s">
        <v>2348</v>
      </c>
      <c r="B5" s="58">
        <v>3833934</v>
      </c>
      <c r="C5">
        <v>99.71</v>
      </c>
      <c r="D5" s="58">
        <v>2855677</v>
      </c>
      <c r="E5">
        <v>99.95</v>
      </c>
    </row>
    <row r="6" spans="1:5">
      <c r="A6" t="s">
        <v>2349</v>
      </c>
      <c r="B6" s="58">
        <v>3833934</v>
      </c>
      <c r="C6">
        <v>99.71</v>
      </c>
      <c r="D6" s="58">
        <v>2855677</v>
      </c>
      <c r="E6">
        <v>99.95</v>
      </c>
    </row>
    <row r="7" spans="1:5">
      <c r="A7" t="s">
        <v>2350</v>
      </c>
      <c r="B7" s="58">
        <v>11312</v>
      </c>
      <c r="C7">
        <v>0.28999999999999998</v>
      </c>
      <c r="D7" s="58">
        <v>1401</v>
      </c>
      <c r="E7">
        <v>0.05</v>
      </c>
    </row>
    <row r="8" spans="1:5">
      <c r="A8" t="s">
        <v>2293</v>
      </c>
      <c r="B8" s="58">
        <v>3845246</v>
      </c>
      <c r="C8">
        <v>100</v>
      </c>
      <c r="D8" s="58">
        <v>2857078</v>
      </c>
      <c r="E8">
        <v>100</v>
      </c>
    </row>
    <row r="9" spans="1:5">
      <c r="A9" t="s">
        <v>2351</v>
      </c>
      <c r="B9" s="58">
        <v>2792935</v>
      </c>
      <c r="C9">
        <v>72.63</v>
      </c>
      <c r="D9" s="58">
        <v>2388878</v>
      </c>
      <c r="E9">
        <v>83.61</v>
      </c>
    </row>
    <row r="10" spans="1:5">
      <c r="A10" t="s">
        <v>2352</v>
      </c>
      <c r="B10" s="58">
        <v>2792935</v>
      </c>
      <c r="C10">
        <v>72.63</v>
      </c>
      <c r="D10" s="58">
        <v>2388878</v>
      </c>
      <c r="E10">
        <v>83.61</v>
      </c>
    </row>
    <row r="11" spans="1:5">
      <c r="A11" t="s">
        <v>2294</v>
      </c>
      <c r="B11" s="58">
        <v>2792935</v>
      </c>
      <c r="C11">
        <v>72.63</v>
      </c>
      <c r="D11" s="58">
        <v>2388878</v>
      </c>
      <c r="E11">
        <v>83.61</v>
      </c>
    </row>
    <row r="12" spans="1:5">
      <c r="A12" t="s">
        <v>2295</v>
      </c>
      <c r="B12" s="58">
        <v>1052311</v>
      </c>
      <c r="C12">
        <v>27.37</v>
      </c>
      <c r="D12" s="58">
        <v>468200</v>
      </c>
      <c r="E12">
        <v>16.39</v>
      </c>
    </row>
    <row r="13" spans="1:5">
      <c r="A13" t="s">
        <v>2298</v>
      </c>
      <c r="B13" s="58">
        <v>1052311</v>
      </c>
      <c r="C13">
        <v>27.37</v>
      </c>
      <c r="D13" s="58">
        <v>468200</v>
      </c>
      <c r="E13">
        <v>16.39</v>
      </c>
    </row>
    <row r="14" spans="1:5">
      <c r="A14" t="s">
        <v>2299</v>
      </c>
    </row>
    <row r="15" spans="1:5">
      <c r="A15" t="s">
        <v>2303</v>
      </c>
      <c r="B15" s="58">
        <v>165606</v>
      </c>
      <c r="C15">
        <v>4.3099999999999996</v>
      </c>
      <c r="D15" s="58">
        <v>161936</v>
      </c>
      <c r="E15">
        <v>5.67</v>
      </c>
    </row>
    <row r="16" spans="1:5">
      <c r="A16" t="s">
        <v>2306</v>
      </c>
      <c r="B16" s="58">
        <v>886705</v>
      </c>
      <c r="C16">
        <v>23.06</v>
      </c>
      <c r="D16" s="58">
        <v>306264</v>
      </c>
      <c r="E16">
        <v>10.72</v>
      </c>
    </row>
    <row r="17" spans="1:5">
      <c r="A17" t="s">
        <v>2307</v>
      </c>
    </row>
    <row r="18" spans="1:5">
      <c r="A18" t="s">
        <v>2308</v>
      </c>
      <c r="B18" s="58">
        <v>224797</v>
      </c>
      <c r="C18">
        <v>5.85</v>
      </c>
      <c r="D18" s="58">
        <v>148646</v>
      </c>
      <c r="E18">
        <v>5.2</v>
      </c>
    </row>
    <row r="19" spans="1:5">
      <c r="A19" t="s">
        <v>2309</v>
      </c>
      <c r="B19" s="58">
        <v>12669</v>
      </c>
      <c r="C19">
        <v>0.33</v>
      </c>
      <c r="D19" s="58">
        <v>12087</v>
      </c>
      <c r="E19">
        <v>0.42</v>
      </c>
    </row>
    <row r="20" spans="1:5">
      <c r="A20" t="s">
        <v>2310</v>
      </c>
      <c r="B20" s="58">
        <v>180373</v>
      </c>
      <c r="C20">
        <v>4.6900000000000004</v>
      </c>
      <c r="D20" s="58">
        <v>76958</v>
      </c>
      <c r="E20">
        <v>2.69</v>
      </c>
    </row>
    <row r="21" spans="1:5">
      <c r="A21" t="s">
        <v>2311</v>
      </c>
      <c r="B21" s="58">
        <v>369047</v>
      </c>
      <c r="C21">
        <v>9.6</v>
      </c>
      <c r="D21" s="58">
        <v>309247</v>
      </c>
      <c r="E21">
        <v>10.82</v>
      </c>
    </row>
    <row r="22" spans="1:5">
      <c r="A22" t="s">
        <v>2312</v>
      </c>
      <c r="B22" s="58">
        <v>86465</v>
      </c>
      <c r="C22">
        <v>2.25</v>
      </c>
      <c r="D22" s="58">
        <v>40394</v>
      </c>
      <c r="E22">
        <v>1.41</v>
      </c>
    </row>
    <row r="23" spans="1:5">
      <c r="A23" t="s">
        <v>2313</v>
      </c>
      <c r="B23" s="58">
        <v>135257</v>
      </c>
      <c r="C23">
        <v>3.52</v>
      </c>
      <c r="D23" s="58">
        <v>-31162</v>
      </c>
      <c r="E23">
        <v>-1.0900000000000001</v>
      </c>
    </row>
    <row r="24" spans="1:5">
      <c r="A24" t="s">
        <v>2314</v>
      </c>
      <c r="B24" s="58">
        <v>1021962</v>
      </c>
      <c r="C24">
        <v>26.58</v>
      </c>
      <c r="D24" s="58">
        <v>275102</v>
      </c>
      <c r="E24">
        <v>9.6300000000000008</v>
      </c>
    </row>
    <row r="25" spans="1:5">
      <c r="A25" t="s">
        <v>2315</v>
      </c>
      <c r="B25" s="58">
        <v>38839</v>
      </c>
      <c r="C25">
        <v>1.01</v>
      </c>
      <c r="D25" s="58">
        <v>-205544</v>
      </c>
      <c r="E25">
        <v>-7.19</v>
      </c>
    </row>
    <row r="26" spans="1:5">
      <c r="A26" t="s">
        <v>2316</v>
      </c>
      <c r="B26" s="58">
        <v>983123</v>
      </c>
      <c r="C26">
        <v>25.57</v>
      </c>
      <c r="D26" s="58">
        <v>480646</v>
      </c>
      <c r="E26">
        <v>16.82</v>
      </c>
    </row>
    <row r="27" spans="1:5">
      <c r="A27" t="s">
        <v>2317</v>
      </c>
      <c r="B27" s="58">
        <v>983123</v>
      </c>
      <c r="C27">
        <v>25.57</v>
      </c>
      <c r="D27" s="58">
        <v>480646</v>
      </c>
      <c r="E27">
        <v>16.82</v>
      </c>
    </row>
    <row r="28" spans="1:5">
      <c r="A28" t="s">
        <v>2318</v>
      </c>
    </row>
    <row r="29" spans="1:5">
      <c r="A29" t="s">
        <v>2319</v>
      </c>
      <c r="B29" s="58">
        <v>873417</v>
      </c>
      <c r="C29">
        <v>22.71</v>
      </c>
      <c r="D29" s="58">
        <v>152849</v>
      </c>
      <c r="E29">
        <v>5.35</v>
      </c>
    </row>
    <row r="30" spans="1:5">
      <c r="A30" t="s">
        <v>2320</v>
      </c>
      <c r="B30" s="58">
        <v>18348</v>
      </c>
      <c r="C30">
        <v>0.48</v>
      </c>
      <c r="D30" s="58">
        <v>2141</v>
      </c>
      <c r="E30">
        <v>7.0000000000000007E-2</v>
      </c>
    </row>
    <row r="31" spans="1:5">
      <c r="A31" t="s">
        <v>2322</v>
      </c>
      <c r="B31" s="58">
        <v>891765</v>
      </c>
      <c r="C31">
        <v>23.19</v>
      </c>
      <c r="D31" s="58">
        <v>154990</v>
      </c>
      <c r="E31">
        <v>5.42</v>
      </c>
    </row>
    <row r="32" spans="1:5">
      <c r="A32" t="s">
        <v>2323</v>
      </c>
      <c r="B32" s="58">
        <v>2067608</v>
      </c>
      <c r="C32">
        <v>53.77</v>
      </c>
      <c r="D32" s="58">
        <v>-399344</v>
      </c>
      <c r="E32">
        <v>-13.98</v>
      </c>
    </row>
    <row r="33" spans="1:5">
      <c r="A33" t="s">
        <v>2325</v>
      </c>
      <c r="B33" s="58">
        <v>94815</v>
      </c>
      <c r="C33">
        <v>2.4700000000000002</v>
      </c>
      <c r="D33" s="58">
        <v>-11004</v>
      </c>
      <c r="E33">
        <v>-0.39</v>
      </c>
    </row>
    <row r="34" spans="1:5">
      <c r="A34" t="s">
        <v>2327</v>
      </c>
      <c r="B34" s="58">
        <v>2162423</v>
      </c>
      <c r="C34">
        <v>56.24</v>
      </c>
      <c r="D34" s="58">
        <v>-410348</v>
      </c>
      <c r="E34">
        <v>-14.36</v>
      </c>
    </row>
    <row r="35" spans="1:5">
      <c r="A35" t="s">
        <v>2328</v>
      </c>
      <c r="B35" s="58">
        <v>3054188</v>
      </c>
      <c r="C35">
        <v>79.430000000000007</v>
      </c>
      <c r="D35" s="58">
        <v>-255358</v>
      </c>
      <c r="E35">
        <v>-8.94</v>
      </c>
    </row>
    <row r="36" spans="1:5">
      <c r="A36" t="s">
        <v>2329</v>
      </c>
      <c r="B36" s="58">
        <v>4037311</v>
      </c>
      <c r="C36">
        <v>104.99</v>
      </c>
      <c r="D36" s="58">
        <v>225288</v>
      </c>
      <c r="E36">
        <v>7.89</v>
      </c>
    </row>
    <row r="37" spans="1:5">
      <c r="A37" t="s">
        <v>2330</v>
      </c>
    </row>
    <row r="38" spans="1:5">
      <c r="A38" t="s">
        <v>2331</v>
      </c>
      <c r="B38" s="58">
        <v>988169</v>
      </c>
      <c r="C38">
        <v>25.7</v>
      </c>
      <c r="D38" s="58">
        <v>494450</v>
      </c>
      <c r="E38">
        <v>17.309999999999999</v>
      </c>
    </row>
    <row r="39" spans="1:5">
      <c r="A39" t="s">
        <v>2332</v>
      </c>
      <c r="B39" s="58">
        <v>-5046</v>
      </c>
      <c r="C39">
        <v>-0.13</v>
      </c>
      <c r="D39" s="58">
        <v>-13804</v>
      </c>
      <c r="E39">
        <v>-0.48</v>
      </c>
    </row>
    <row r="40" spans="1:5">
      <c r="A40" t="s">
        <v>2333</v>
      </c>
      <c r="B40" s="58">
        <v>4042357</v>
      </c>
      <c r="C40">
        <v>105.13</v>
      </c>
      <c r="D40" s="58">
        <v>239092</v>
      </c>
      <c r="E40">
        <v>8.3699999999999992</v>
      </c>
    </row>
    <row r="41" spans="1:5">
      <c r="A41" t="s">
        <v>2334</v>
      </c>
      <c r="B41" s="58">
        <v>-5046</v>
      </c>
      <c r="C41">
        <v>-0.13</v>
      </c>
      <c r="D41" s="58">
        <v>-13804</v>
      </c>
      <c r="E41">
        <v>-0.48</v>
      </c>
    </row>
    <row r="42" spans="1:5">
      <c r="A42" t="s">
        <v>2335</v>
      </c>
    </row>
    <row r="43" spans="1:5">
      <c r="A43" t="s">
        <v>2353</v>
      </c>
      <c r="B43">
        <v>1.17</v>
      </c>
      <c r="D43">
        <v>0.59</v>
      </c>
    </row>
    <row r="44" spans="1:5">
      <c r="A44" t="s">
        <v>2336</v>
      </c>
      <c r="B44">
        <v>1.17</v>
      </c>
      <c r="D44">
        <v>0.59</v>
      </c>
    </row>
    <row r="45" spans="1:5">
      <c r="A45" t="s">
        <v>2337</v>
      </c>
    </row>
    <row r="46" spans="1:5">
      <c r="A46" t="s">
        <v>2353</v>
      </c>
      <c r="B46">
        <v>1.17</v>
      </c>
      <c r="D46">
        <v>0.57999999999999996</v>
      </c>
    </row>
    <row r="47" spans="1:5">
      <c r="A47" t="s">
        <v>2338</v>
      </c>
      <c r="B47">
        <v>1.17</v>
      </c>
      <c r="D47">
        <v>0.57999999999999996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FE74B-D636-489C-9DB2-A1983B7B084C}">
  <sheetPr codeName="工作表19"/>
  <dimension ref="A1:E75"/>
  <sheetViews>
    <sheetView workbookViewId="0"/>
  </sheetViews>
  <sheetFormatPr baseColWidth="10" defaultColWidth="8.83203125" defaultRowHeight="15"/>
  <sheetData>
    <row r="1" spans="1:5">
      <c r="A1" t="s">
        <v>2210</v>
      </c>
    </row>
    <row r="2" spans="1:5">
      <c r="A2" t="s">
        <v>2211</v>
      </c>
    </row>
    <row r="3" spans="1:5">
      <c r="A3" t="s">
        <v>2212</v>
      </c>
      <c r="B3" t="s">
        <v>2213</v>
      </c>
      <c r="D3" t="s">
        <v>2216</v>
      </c>
    </row>
    <row r="4" spans="1:5">
      <c r="B4" t="s">
        <v>2214</v>
      </c>
      <c r="C4" t="s">
        <v>2215</v>
      </c>
      <c r="D4" t="s">
        <v>2217</v>
      </c>
      <c r="E4" t="s">
        <v>2215</v>
      </c>
    </row>
    <row r="5" spans="1:5">
      <c r="A5" t="s">
        <v>2218</v>
      </c>
    </row>
    <row r="6" spans="1:5">
      <c r="A6" t="s">
        <v>2219</v>
      </c>
      <c r="B6" s="58">
        <v>72325170</v>
      </c>
      <c r="C6">
        <v>17.93</v>
      </c>
      <c r="D6" s="58">
        <v>69921565</v>
      </c>
      <c r="E6">
        <v>17.809999999999999</v>
      </c>
    </row>
    <row r="7" spans="1:5">
      <c r="A7" t="s">
        <v>2220</v>
      </c>
      <c r="B7" s="58">
        <v>1275593</v>
      </c>
      <c r="C7">
        <v>0.32</v>
      </c>
      <c r="D7" s="58">
        <v>94795</v>
      </c>
      <c r="E7">
        <v>0.02</v>
      </c>
    </row>
    <row r="8" spans="1:5">
      <c r="A8" t="s">
        <v>2221</v>
      </c>
      <c r="B8" s="58">
        <v>117596474</v>
      </c>
      <c r="C8">
        <v>29.16</v>
      </c>
      <c r="D8" s="58">
        <v>115208702</v>
      </c>
      <c r="E8">
        <v>29.34</v>
      </c>
    </row>
    <row r="9" spans="1:5">
      <c r="A9" t="s">
        <v>2222</v>
      </c>
      <c r="B9" s="58">
        <v>17995200</v>
      </c>
      <c r="C9">
        <v>4.46</v>
      </c>
      <c r="D9" s="58">
        <v>17269769</v>
      </c>
      <c r="E9">
        <v>4.4000000000000004</v>
      </c>
    </row>
    <row r="10" spans="1:5">
      <c r="A10" t="s">
        <v>2223</v>
      </c>
      <c r="B10" s="58">
        <v>2018958</v>
      </c>
      <c r="C10">
        <v>0.5</v>
      </c>
      <c r="D10" s="58">
        <v>1560716</v>
      </c>
      <c r="E10">
        <v>0.4</v>
      </c>
    </row>
    <row r="11" spans="1:5">
      <c r="A11" t="s">
        <v>2224</v>
      </c>
      <c r="B11" s="58">
        <v>11451</v>
      </c>
      <c r="C11">
        <v>0</v>
      </c>
      <c r="D11" s="58">
        <v>10666</v>
      </c>
      <c r="E11">
        <v>0</v>
      </c>
    </row>
    <row r="12" spans="1:5">
      <c r="A12" t="s">
        <v>2225</v>
      </c>
      <c r="B12" s="58">
        <v>9619906</v>
      </c>
      <c r="C12">
        <v>2.39</v>
      </c>
      <c r="D12" s="58">
        <v>6150777</v>
      </c>
      <c r="E12">
        <v>1.57</v>
      </c>
    </row>
    <row r="13" spans="1:5">
      <c r="A13" t="s">
        <v>2226</v>
      </c>
      <c r="B13" s="58">
        <v>296264</v>
      </c>
      <c r="C13">
        <v>7.0000000000000007E-2</v>
      </c>
      <c r="D13" s="58">
        <v>214168</v>
      </c>
      <c r="E13">
        <v>0.05</v>
      </c>
    </row>
    <row r="14" spans="1:5">
      <c r="A14" t="s">
        <v>2227</v>
      </c>
      <c r="B14" s="58">
        <v>20816</v>
      </c>
      <c r="C14">
        <v>0.01</v>
      </c>
      <c r="D14" s="58">
        <v>20747</v>
      </c>
      <c r="E14">
        <v>0.01</v>
      </c>
    </row>
    <row r="15" spans="1:5">
      <c r="A15" t="s">
        <v>2230</v>
      </c>
      <c r="B15" s="58">
        <v>620001</v>
      </c>
      <c r="C15">
        <v>0.15</v>
      </c>
      <c r="D15" s="58">
        <v>1578957</v>
      </c>
      <c r="E15">
        <v>0.4</v>
      </c>
    </row>
    <row r="16" spans="1:5">
      <c r="A16" t="s">
        <v>2231</v>
      </c>
      <c r="B16" s="58">
        <v>4684522</v>
      </c>
      <c r="C16">
        <v>1.1599999999999999</v>
      </c>
      <c r="D16" s="58">
        <v>4535017</v>
      </c>
      <c r="E16">
        <v>1.1599999999999999</v>
      </c>
    </row>
    <row r="17" spans="1:5">
      <c r="A17" t="s">
        <v>2232</v>
      </c>
      <c r="B17" s="58">
        <v>472754</v>
      </c>
      <c r="C17">
        <v>0.12</v>
      </c>
      <c r="D17" s="58">
        <v>447866</v>
      </c>
      <c r="E17">
        <v>0.11</v>
      </c>
    </row>
    <row r="18" spans="1:5">
      <c r="A18" t="s">
        <v>2233</v>
      </c>
      <c r="B18" s="58">
        <v>1750096</v>
      </c>
      <c r="C18">
        <v>0.43</v>
      </c>
      <c r="D18" s="58">
        <v>1687698</v>
      </c>
      <c r="E18">
        <v>0.43</v>
      </c>
    </row>
    <row r="19" spans="1:5">
      <c r="A19" t="s">
        <v>2234</v>
      </c>
      <c r="B19" s="58">
        <v>228687205</v>
      </c>
      <c r="C19">
        <v>56.7</v>
      </c>
      <c r="D19" s="58">
        <v>218701443</v>
      </c>
      <c r="E19">
        <v>55.7</v>
      </c>
    </row>
    <row r="20" spans="1:5">
      <c r="A20" t="s">
        <v>2235</v>
      </c>
    </row>
    <row r="21" spans="1:5">
      <c r="A21" t="s">
        <v>2354</v>
      </c>
      <c r="B21" s="58">
        <v>295647</v>
      </c>
      <c r="C21">
        <v>7.0000000000000007E-2</v>
      </c>
      <c r="D21" s="58">
        <v>355828</v>
      </c>
      <c r="E21">
        <v>0.09</v>
      </c>
    </row>
    <row r="22" spans="1:5">
      <c r="A22" t="s">
        <v>2236</v>
      </c>
      <c r="B22" s="58">
        <v>495712</v>
      </c>
      <c r="C22">
        <v>0.12</v>
      </c>
      <c r="D22" s="58">
        <v>491901</v>
      </c>
      <c r="E22">
        <v>0.13</v>
      </c>
    </row>
    <row r="23" spans="1:5">
      <c r="A23" t="s">
        <v>2237</v>
      </c>
      <c r="B23" s="58">
        <v>8290509</v>
      </c>
      <c r="C23">
        <v>2.06</v>
      </c>
      <c r="D23" s="58">
        <v>4742457</v>
      </c>
      <c r="E23">
        <v>1.21</v>
      </c>
    </row>
    <row r="24" spans="1:5">
      <c r="A24" t="s">
        <v>2239</v>
      </c>
      <c r="B24" s="58">
        <v>8935182</v>
      </c>
      <c r="C24">
        <v>2.2200000000000002</v>
      </c>
      <c r="D24" s="58">
        <v>8797221</v>
      </c>
      <c r="E24">
        <v>2.2400000000000002</v>
      </c>
    </row>
    <row r="25" spans="1:5">
      <c r="A25" t="s">
        <v>2240</v>
      </c>
      <c r="B25" s="58">
        <v>86419980</v>
      </c>
      <c r="C25">
        <v>21.43</v>
      </c>
      <c r="D25" s="58">
        <v>83481541</v>
      </c>
      <c r="E25">
        <v>21.26</v>
      </c>
    </row>
    <row r="26" spans="1:5">
      <c r="A26" t="s">
        <v>2241</v>
      </c>
      <c r="B26" s="58">
        <v>50272930</v>
      </c>
      <c r="C26">
        <v>12.46</v>
      </c>
      <c r="D26" s="58">
        <v>56044654</v>
      </c>
      <c r="E26">
        <v>14.27</v>
      </c>
    </row>
    <row r="27" spans="1:5">
      <c r="A27" t="s">
        <v>2242</v>
      </c>
      <c r="B27" s="58">
        <v>7220316</v>
      </c>
      <c r="C27">
        <v>1.79</v>
      </c>
      <c r="D27" s="58">
        <v>7220132</v>
      </c>
      <c r="E27">
        <v>1.84</v>
      </c>
    </row>
    <row r="28" spans="1:5">
      <c r="A28" t="s">
        <v>2243</v>
      </c>
      <c r="B28" s="58">
        <v>134616</v>
      </c>
      <c r="C28">
        <v>0.03</v>
      </c>
      <c r="D28" s="58">
        <v>142842</v>
      </c>
      <c r="E28">
        <v>0.04</v>
      </c>
    </row>
    <row r="29" spans="1:5">
      <c r="A29" t="s">
        <v>2244</v>
      </c>
      <c r="B29" s="58">
        <v>872267</v>
      </c>
      <c r="C29">
        <v>0.22</v>
      </c>
      <c r="D29" s="58">
        <v>899525</v>
      </c>
      <c r="E29">
        <v>0.23</v>
      </c>
    </row>
    <row r="30" spans="1:5">
      <c r="A30" t="s">
        <v>2245</v>
      </c>
      <c r="B30" s="58">
        <v>11712818</v>
      </c>
      <c r="C30">
        <v>2.9</v>
      </c>
      <c r="D30" s="58">
        <v>11733009</v>
      </c>
      <c r="E30">
        <v>2.99</v>
      </c>
    </row>
    <row r="31" spans="1:5">
      <c r="A31" t="s">
        <v>2246</v>
      </c>
      <c r="B31" s="58">
        <v>174649977</v>
      </c>
      <c r="C31">
        <v>43.3</v>
      </c>
      <c r="D31" s="58">
        <v>173909110</v>
      </c>
      <c r="E31">
        <v>44.3</v>
      </c>
    </row>
    <row r="32" spans="1:5">
      <c r="A32" t="s">
        <v>2247</v>
      </c>
      <c r="B32" s="58">
        <v>403337182</v>
      </c>
      <c r="C32">
        <v>100</v>
      </c>
      <c r="D32" s="58">
        <v>392610553</v>
      </c>
      <c r="E32">
        <v>100</v>
      </c>
    </row>
    <row r="33" spans="1:5">
      <c r="A33" t="s">
        <v>2248</v>
      </c>
    </row>
    <row r="34" spans="1:5">
      <c r="A34" t="s">
        <v>2339</v>
      </c>
      <c r="B34" s="58">
        <v>1805000</v>
      </c>
      <c r="C34">
        <v>0.45</v>
      </c>
      <c r="D34" s="58">
        <v>1955000</v>
      </c>
      <c r="E34">
        <v>0.5</v>
      </c>
    </row>
    <row r="35" spans="1:5">
      <c r="A35" t="s">
        <v>2340</v>
      </c>
      <c r="B35" s="58">
        <v>1047884</v>
      </c>
      <c r="C35">
        <v>0.26</v>
      </c>
      <c r="D35" s="58">
        <v>1098357</v>
      </c>
      <c r="E35">
        <v>0.28000000000000003</v>
      </c>
    </row>
    <row r="36" spans="1:5">
      <c r="A36" t="s">
        <v>2250</v>
      </c>
      <c r="B36" s="58">
        <v>7677621</v>
      </c>
      <c r="C36">
        <v>1.9</v>
      </c>
      <c r="D36" s="58">
        <v>10380140</v>
      </c>
      <c r="E36">
        <v>2.64</v>
      </c>
    </row>
    <row r="37" spans="1:5">
      <c r="A37" t="s">
        <v>2251</v>
      </c>
      <c r="B37" s="58">
        <v>296849</v>
      </c>
      <c r="C37">
        <v>7.0000000000000007E-2</v>
      </c>
      <c r="D37" s="58">
        <v>304854</v>
      </c>
      <c r="E37">
        <v>0.08</v>
      </c>
    </row>
    <row r="38" spans="1:5">
      <c r="A38" t="s">
        <v>2252</v>
      </c>
      <c r="B38" s="58">
        <v>28119</v>
      </c>
      <c r="C38">
        <v>0.01</v>
      </c>
      <c r="D38" s="58">
        <v>33821</v>
      </c>
      <c r="E38">
        <v>0.01</v>
      </c>
    </row>
    <row r="39" spans="1:5">
      <c r="A39" t="s">
        <v>2253</v>
      </c>
      <c r="B39" s="58">
        <v>14031765</v>
      </c>
      <c r="C39">
        <v>3.48</v>
      </c>
      <c r="D39" s="58">
        <v>14101232</v>
      </c>
      <c r="E39">
        <v>3.59</v>
      </c>
    </row>
    <row r="40" spans="1:5">
      <c r="A40" t="s">
        <v>2254</v>
      </c>
      <c r="B40" s="58">
        <v>759854</v>
      </c>
      <c r="C40">
        <v>0.19</v>
      </c>
      <c r="D40" s="58">
        <v>676812</v>
      </c>
      <c r="E40">
        <v>0.17</v>
      </c>
    </row>
    <row r="41" spans="1:5">
      <c r="A41" t="s">
        <v>2255</v>
      </c>
      <c r="B41" s="58">
        <v>5216498</v>
      </c>
      <c r="C41">
        <v>1.29</v>
      </c>
      <c r="D41" s="58">
        <v>5950080</v>
      </c>
      <c r="E41">
        <v>1.52</v>
      </c>
    </row>
    <row r="42" spans="1:5">
      <c r="A42" t="s">
        <v>2257</v>
      </c>
      <c r="B42" s="58">
        <v>9339352</v>
      </c>
      <c r="C42">
        <v>2.3199999999999998</v>
      </c>
      <c r="D42" s="58">
        <v>9783057</v>
      </c>
      <c r="E42">
        <v>2.4900000000000002</v>
      </c>
    </row>
    <row r="43" spans="1:5">
      <c r="A43" t="s">
        <v>2341</v>
      </c>
      <c r="B43" s="58">
        <v>42969</v>
      </c>
      <c r="C43">
        <v>0.01</v>
      </c>
      <c r="D43" s="58">
        <v>36018</v>
      </c>
      <c r="E43">
        <v>0.01</v>
      </c>
    </row>
    <row r="44" spans="1:5">
      <c r="A44" t="s">
        <v>2258</v>
      </c>
      <c r="B44" s="58">
        <v>4716388</v>
      </c>
      <c r="C44">
        <v>1.17</v>
      </c>
      <c r="D44" s="58">
        <v>4666192</v>
      </c>
      <c r="E44">
        <v>1.19</v>
      </c>
    </row>
    <row r="45" spans="1:5">
      <c r="A45" t="s">
        <v>2259</v>
      </c>
      <c r="B45" s="58">
        <v>3923413</v>
      </c>
      <c r="C45">
        <v>0.97</v>
      </c>
      <c r="D45" s="58">
        <v>3661797</v>
      </c>
      <c r="E45">
        <v>0.93</v>
      </c>
    </row>
    <row r="46" spans="1:5">
      <c r="A46" t="s">
        <v>2260</v>
      </c>
      <c r="B46" s="58">
        <v>48885712</v>
      </c>
      <c r="C46">
        <v>12.12</v>
      </c>
      <c r="D46" s="58">
        <v>52647360</v>
      </c>
      <c r="E46">
        <v>13.41</v>
      </c>
    </row>
    <row r="47" spans="1:5">
      <c r="A47" t="s">
        <v>2261</v>
      </c>
    </row>
    <row r="48" spans="1:5">
      <c r="A48" t="s">
        <v>2262</v>
      </c>
      <c r="B48" s="58">
        <v>20398331</v>
      </c>
      <c r="C48">
        <v>5.0599999999999996</v>
      </c>
      <c r="D48" s="58">
        <v>21401129</v>
      </c>
      <c r="E48">
        <v>5.45</v>
      </c>
    </row>
    <row r="49" spans="1:5">
      <c r="A49" t="s">
        <v>2263</v>
      </c>
      <c r="B49" s="58">
        <v>5890962</v>
      </c>
      <c r="C49">
        <v>1.46</v>
      </c>
      <c r="D49" s="58">
        <v>5878396</v>
      </c>
      <c r="E49">
        <v>1.5</v>
      </c>
    </row>
    <row r="50" spans="1:5">
      <c r="A50" t="s">
        <v>2264</v>
      </c>
      <c r="B50" s="58">
        <v>292333</v>
      </c>
      <c r="C50">
        <v>7.0000000000000007E-2</v>
      </c>
      <c r="D50" s="58">
        <v>288477</v>
      </c>
      <c r="E50">
        <v>7.0000000000000007E-2</v>
      </c>
    </row>
    <row r="51" spans="1:5">
      <c r="A51" t="s">
        <v>2355</v>
      </c>
      <c r="B51" s="58">
        <v>5089</v>
      </c>
      <c r="C51">
        <v>0</v>
      </c>
      <c r="D51" s="58">
        <v>4955</v>
      </c>
      <c r="E51">
        <v>0</v>
      </c>
    </row>
    <row r="52" spans="1:5">
      <c r="A52" t="s">
        <v>2265</v>
      </c>
      <c r="B52" s="58">
        <v>9689770</v>
      </c>
      <c r="C52">
        <v>2.4</v>
      </c>
      <c r="D52" s="58">
        <v>7235954</v>
      </c>
      <c r="E52">
        <v>1.84</v>
      </c>
    </row>
    <row r="53" spans="1:5">
      <c r="A53" t="s">
        <v>2266</v>
      </c>
      <c r="B53" s="58">
        <v>24351230</v>
      </c>
      <c r="C53">
        <v>6.04</v>
      </c>
      <c r="D53" s="58">
        <v>24445367</v>
      </c>
      <c r="E53">
        <v>6.23</v>
      </c>
    </row>
    <row r="54" spans="1:5">
      <c r="A54" t="s">
        <v>2267</v>
      </c>
      <c r="B54" s="58">
        <v>3020185</v>
      </c>
      <c r="C54">
        <v>0.75</v>
      </c>
      <c r="D54" s="58">
        <v>3007706</v>
      </c>
      <c r="E54">
        <v>0.77</v>
      </c>
    </row>
    <row r="55" spans="1:5">
      <c r="A55" t="s">
        <v>2268</v>
      </c>
      <c r="B55" s="58">
        <v>63647900</v>
      </c>
      <c r="C55">
        <v>15.78</v>
      </c>
      <c r="D55" s="58">
        <v>62261984</v>
      </c>
      <c r="E55">
        <v>15.86</v>
      </c>
    </row>
    <row r="56" spans="1:5">
      <c r="A56" t="s">
        <v>2269</v>
      </c>
      <c r="B56" s="58">
        <v>112533612</v>
      </c>
      <c r="C56">
        <v>27.9</v>
      </c>
      <c r="D56" s="58">
        <v>114909344</v>
      </c>
      <c r="E56">
        <v>29.27</v>
      </c>
    </row>
    <row r="57" spans="1:5">
      <c r="A57" t="s">
        <v>2270</v>
      </c>
    </row>
    <row r="58" spans="1:5">
      <c r="A58" t="s">
        <v>2271</v>
      </c>
    </row>
    <row r="59" spans="1:5">
      <c r="A59" t="s">
        <v>2272</v>
      </c>
      <c r="B59" s="58">
        <v>34921043</v>
      </c>
      <c r="C59">
        <v>8.66</v>
      </c>
      <c r="D59" s="58">
        <v>34921043</v>
      </c>
      <c r="E59">
        <v>8.89</v>
      </c>
    </row>
    <row r="60" spans="1:5">
      <c r="A60" t="s">
        <v>2274</v>
      </c>
      <c r="B60" s="58">
        <v>34921043</v>
      </c>
      <c r="C60">
        <v>8.66</v>
      </c>
      <c r="D60" s="58">
        <v>34921043</v>
      </c>
      <c r="E60">
        <v>8.89</v>
      </c>
    </row>
    <row r="61" spans="1:5">
      <c r="A61" t="s">
        <v>2275</v>
      </c>
    </row>
    <row r="62" spans="1:5">
      <c r="A62" t="s">
        <v>2276</v>
      </c>
      <c r="B62" s="58">
        <v>27975030</v>
      </c>
      <c r="C62">
        <v>6.94</v>
      </c>
      <c r="D62" s="58">
        <v>27975030</v>
      </c>
      <c r="E62">
        <v>7.13</v>
      </c>
    </row>
    <row r="63" spans="1:5">
      <c r="A63" t="s">
        <v>2277</v>
      </c>
    </row>
    <row r="64" spans="1:5">
      <c r="A64" t="s">
        <v>2278</v>
      </c>
      <c r="B64" s="58">
        <v>34991933</v>
      </c>
      <c r="C64">
        <v>8.68</v>
      </c>
      <c r="D64" s="58">
        <v>34991933</v>
      </c>
      <c r="E64">
        <v>8.91</v>
      </c>
    </row>
    <row r="65" spans="1:5">
      <c r="A65" t="s">
        <v>2279</v>
      </c>
      <c r="B65" s="58">
        <v>3988772</v>
      </c>
      <c r="C65">
        <v>0.99</v>
      </c>
      <c r="D65" s="58">
        <v>3988772</v>
      </c>
      <c r="E65">
        <v>1.02</v>
      </c>
    </row>
    <row r="66" spans="1:5">
      <c r="A66" t="s">
        <v>2280</v>
      </c>
      <c r="B66" s="58">
        <v>185389955</v>
      </c>
      <c r="C66">
        <v>45.96</v>
      </c>
      <c r="D66" s="58">
        <v>176009020</v>
      </c>
      <c r="E66">
        <v>44.83</v>
      </c>
    </row>
    <row r="67" spans="1:5">
      <c r="A67" t="s">
        <v>2281</v>
      </c>
      <c r="B67" s="58">
        <v>224370660</v>
      </c>
      <c r="C67">
        <v>55.63</v>
      </c>
      <c r="D67" s="58">
        <v>214989725</v>
      </c>
      <c r="E67">
        <v>54.76</v>
      </c>
    </row>
    <row r="68" spans="1:5">
      <c r="A68" t="s">
        <v>2282</v>
      </c>
    </row>
    <row r="69" spans="1:5">
      <c r="A69" t="s">
        <v>2283</v>
      </c>
      <c r="B69" s="58">
        <v>2743842</v>
      </c>
      <c r="C69">
        <v>0.68</v>
      </c>
      <c r="D69" s="58">
        <v>-907886</v>
      </c>
      <c r="E69">
        <v>-0.23</v>
      </c>
    </row>
    <row r="70" spans="1:5">
      <c r="A70" t="s">
        <v>2284</v>
      </c>
      <c r="B70" s="58">
        <v>290010575</v>
      </c>
      <c r="C70">
        <v>71.900000000000006</v>
      </c>
      <c r="D70" s="58">
        <v>276977912</v>
      </c>
      <c r="E70">
        <v>70.55</v>
      </c>
    </row>
    <row r="71" spans="1:5">
      <c r="A71" t="s">
        <v>2285</v>
      </c>
      <c r="B71" s="58">
        <v>792995</v>
      </c>
      <c r="C71">
        <v>0.2</v>
      </c>
      <c r="D71" s="58">
        <v>723297</v>
      </c>
      <c r="E71">
        <v>0.18</v>
      </c>
    </row>
    <row r="72" spans="1:5">
      <c r="A72" t="s">
        <v>2286</v>
      </c>
      <c r="B72" s="58">
        <v>290803570</v>
      </c>
      <c r="C72">
        <v>72.099999999999994</v>
      </c>
      <c r="D72" s="58">
        <v>277701209</v>
      </c>
      <c r="E72">
        <v>70.73</v>
      </c>
    </row>
    <row r="73" spans="1:5">
      <c r="A73" t="s">
        <v>2287</v>
      </c>
      <c r="B73" s="58">
        <v>403337182</v>
      </c>
      <c r="C73">
        <v>100</v>
      </c>
      <c r="D73" s="58">
        <v>392610553</v>
      </c>
      <c r="E73">
        <v>100</v>
      </c>
    </row>
    <row r="74" spans="1:5">
      <c r="A74" t="s">
        <v>2289</v>
      </c>
      <c r="B74">
        <v>0</v>
      </c>
      <c r="D74">
        <v>0</v>
      </c>
    </row>
    <row r="75" spans="1:5">
      <c r="A75" t="s">
        <v>2290</v>
      </c>
      <c r="B75">
        <v>0</v>
      </c>
      <c r="D75">
        <v>0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99DE-4E2F-4FA1-B405-6394B10BCD25}">
  <sheetPr codeName="工作表20"/>
  <dimension ref="A1:E50"/>
  <sheetViews>
    <sheetView workbookViewId="0"/>
  </sheetViews>
  <sheetFormatPr baseColWidth="10" defaultColWidth="8.83203125" defaultRowHeight="15"/>
  <sheetData>
    <row r="1" spans="1:5">
      <c r="A1" t="s">
        <v>2210</v>
      </c>
    </row>
    <row r="2" spans="1:5">
      <c r="A2" t="s">
        <v>2211</v>
      </c>
    </row>
    <row r="3" spans="1:5">
      <c r="A3" t="s">
        <v>2212</v>
      </c>
      <c r="B3" t="s">
        <v>2291</v>
      </c>
      <c r="D3" t="s">
        <v>2292</v>
      </c>
    </row>
    <row r="4" spans="1:5">
      <c r="B4" t="s">
        <v>2215</v>
      </c>
      <c r="C4" t="s">
        <v>2217</v>
      </c>
      <c r="D4" t="s">
        <v>2215</v>
      </c>
      <c r="E4" t="s">
        <v>2217</v>
      </c>
    </row>
    <row r="5" spans="1:5">
      <c r="A5" t="s">
        <v>2293</v>
      </c>
      <c r="B5" s="58">
        <v>43801429</v>
      </c>
      <c r="C5">
        <v>100</v>
      </c>
      <c r="D5" s="58">
        <v>36953438</v>
      </c>
      <c r="E5">
        <v>100</v>
      </c>
    </row>
    <row r="6" spans="1:5">
      <c r="A6" t="s">
        <v>2294</v>
      </c>
      <c r="B6" s="58">
        <v>33700926</v>
      </c>
      <c r="C6">
        <v>76.94</v>
      </c>
      <c r="D6" s="58">
        <v>33536911</v>
      </c>
      <c r="E6">
        <v>90.75</v>
      </c>
    </row>
    <row r="7" spans="1:5">
      <c r="A7" t="s">
        <v>2295</v>
      </c>
      <c r="B7" s="58">
        <v>10100503</v>
      </c>
      <c r="C7">
        <v>23.06</v>
      </c>
      <c r="D7" s="58">
        <v>3416527</v>
      </c>
      <c r="E7">
        <v>9.25</v>
      </c>
    </row>
    <row r="8" spans="1:5">
      <c r="A8" t="s">
        <v>2298</v>
      </c>
      <c r="B8" s="58">
        <v>10100503</v>
      </c>
      <c r="C8">
        <v>23.06</v>
      </c>
      <c r="D8" s="58">
        <v>3416527</v>
      </c>
      <c r="E8">
        <v>9.25</v>
      </c>
    </row>
    <row r="9" spans="1:5">
      <c r="A9" t="s">
        <v>2299</v>
      </c>
    </row>
    <row r="10" spans="1:5">
      <c r="A10" t="s">
        <v>2300</v>
      </c>
      <c r="B10" s="58">
        <v>1955165</v>
      </c>
      <c r="C10">
        <v>4.46</v>
      </c>
      <c r="D10" s="58">
        <v>1619103</v>
      </c>
      <c r="E10">
        <v>4.38</v>
      </c>
    </row>
    <row r="11" spans="1:5">
      <c r="A11" t="s">
        <v>2301</v>
      </c>
      <c r="B11" s="58">
        <v>329080</v>
      </c>
      <c r="C11">
        <v>0.75</v>
      </c>
      <c r="D11" s="58">
        <v>345137</v>
      </c>
      <c r="E11">
        <v>0.93</v>
      </c>
    </row>
    <row r="12" spans="1:5">
      <c r="A12" t="s">
        <v>2302</v>
      </c>
      <c r="B12" s="58">
        <v>19136</v>
      </c>
      <c r="C12">
        <v>0.04</v>
      </c>
      <c r="D12" s="58">
        <v>-8594</v>
      </c>
      <c r="E12">
        <v>-0.02</v>
      </c>
    </row>
    <row r="13" spans="1:5">
      <c r="A13" t="s">
        <v>2303</v>
      </c>
      <c r="B13" s="58">
        <v>2303381</v>
      </c>
      <c r="C13">
        <v>5.26</v>
      </c>
      <c r="D13" s="58">
        <v>1955646</v>
      </c>
      <c r="E13">
        <v>5.29</v>
      </c>
    </row>
    <row r="14" spans="1:5">
      <c r="A14" t="s">
        <v>2304</v>
      </c>
    </row>
    <row r="15" spans="1:5">
      <c r="A15" t="s">
        <v>2305</v>
      </c>
      <c r="B15" s="58">
        <v>91419</v>
      </c>
      <c r="C15">
        <v>0.21</v>
      </c>
      <c r="D15" s="58">
        <v>8933</v>
      </c>
      <c r="E15">
        <v>0.02</v>
      </c>
    </row>
    <row r="16" spans="1:5">
      <c r="A16" t="s">
        <v>2306</v>
      </c>
      <c r="B16" s="58">
        <v>7888541</v>
      </c>
      <c r="C16">
        <v>18.010000000000002</v>
      </c>
      <c r="D16" s="58">
        <v>1469814</v>
      </c>
      <c r="E16">
        <v>3.98</v>
      </c>
    </row>
    <row r="17" spans="1:5">
      <c r="A17" t="s">
        <v>2307</v>
      </c>
    </row>
    <row r="18" spans="1:5">
      <c r="A18" t="s">
        <v>2308</v>
      </c>
      <c r="B18" s="58">
        <v>2698686</v>
      </c>
      <c r="C18">
        <v>6.16</v>
      </c>
      <c r="D18" s="58">
        <v>3137257</v>
      </c>
      <c r="E18">
        <v>8.49</v>
      </c>
    </row>
    <row r="19" spans="1:5">
      <c r="A19" t="s">
        <v>2309</v>
      </c>
      <c r="B19" s="58">
        <v>20565</v>
      </c>
      <c r="C19">
        <v>0.05</v>
      </c>
      <c r="D19" s="58">
        <v>20641</v>
      </c>
      <c r="E19">
        <v>0.06</v>
      </c>
    </row>
    <row r="20" spans="1:5">
      <c r="A20" t="s">
        <v>2310</v>
      </c>
      <c r="B20" s="58">
        <v>1378693</v>
      </c>
      <c r="C20">
        <v>3.15</v>
      </c>
      <c r="D20" s="58">
        <v>137087</v>
      </c>
      <c r="E20">
        <v>0.37</v>
      </c>
    </row>
    <row r="21" spans="1:5">
      <c r="A21" t="s">
        <v>2311</v>
      </c>
      <c r="B21" s="58">
        <v>470699</v>
      </c>
      <c r="C21">
        <v>1.07</v>
      </c>
      <c r="D21" s="58">
        <v>629803</v>
      </c>
      <c r="E21">
        <v>1.7</v>
      </c>
    </row>
    <row r="22" spans="1:5">
      <c r="A22" t="s">
        <v>2312</v>
      </c>
      <c r="B22" s="58">
        <v>111035</v>
      </c>
      <c r="C22">
        <v>0.25</v>
      </c>
      <c r="D22" s="58">
        <v>90526</v>
      </c>
      <c r="E22">
        <v>0.24</v>
      </c>
    </row>
    <row r="23" spans="1:5">
      <c r="A23" t="s">
        <v>2313</v>
      </c>
      <c r="B23" s="58">
        <v>3738280</v>
      </c>
      <c r="C23">
        <v>8.5299999999999994</v>
      </c>
      <c r="D23" s="58">
        <v>2755708</v>
      </c>
      <c r="E23">
        <v>7.46</v>
      </c>
    </row>
    <row r="24" spans="1:5">
      <c r="A24" t="s">
        <v>2314</v>
      </c>
      <c r="B24" s="58">
        <v>11626821</v>
      </c>
      <c r="C24">
        <v>26.54</v>
      </c>
      <c r="D24" s="58">
        <v>4225522</v>
      </c>
      <c r="E24">
        <v>11.43</v>
      </c>
    </row>
    <row r="25" spans="1:5">
      <c r="A25" t="s">
        <v>2315</v>
      </c>
      <c r="B25" s="58">
        <v>2172558</v>
      </c>
      <c r="C25">
        <v>4.96</v>
      </c>
      <c r="D25" s="58">
        <v>763822</v>
      </c>
      <c r="E25">
        <v>2.0699999999999998</v>
      </c>
    </row>
    <row r="26" spans="1:5">
      <c r="A26" t="s">
        <v>2316</v>
      </c>
      <c r="B26" s="58">
        <v>9454263</v>
      </c>
      <c r="C26">
        <v>21.58</v>
      </c>
      <c r="D26" s="58">
        <v>3461700</v>
      </c>
      <c r="E26">
        <v>9.3699999999999992</v>
      </c>
    </row>
    <row r="27" spans="1:5">
      <c r="A27" t="s">
        <v>2317</v>
      </c>
      <c r="B27" s="58">
        <v>9454263</v>
      </c>
      <c r="C27">
        <v>21.58</v>
      </c>
      <c r="D27" s="58">
        <v>3461700</v>
      </c>
      <c r="E27">
        <v>9.3699999999999992</v>
      </c>
    </row>
    <row r="28" spans="1:5">
      <c r="A28" t="s">
        <v>2318</v>
      </c>
    </row>
    <row r="29" spans="1:5">
      <c r="A29" t="s">
        <v>2356</v>
      </c>
      <c r="B29">
        <v>0</v>
      </c>
      <c r="C29">
        <v>0</v>
      </c>
      <c r="D29">
        <v>0</v>
      </c>
      <c r="E29">
        <v>0</v>
      </c>
    </row>
    <row r="30" spans="1:5">
      <c r="A30" t="s">
        <v>2319</v>
      </c>
      <c r="B30" s="58">
        <v>3811</v>
      </c>
      <c r="C30">
        <v>0.01</v>
      </c>
      <c r="D30" s="58">
        <v>-7261</v>
      </c>
      <c r="E30">
        <v>-0.02</v>
      </c>
    </row>
    <row r="31" spans="1:5">
      <c r="A31" t="s">
        <v>2320</v>
      </c>
      <c r="B31" s="58">
        <v>-34909</v>
      </c>
      <c r="C31">
        <v>-0.08</v>
      </c>
      <c r="D31" s="58">
        <v>23411</v>
      </c>
      <c r="E31">
        <v>0.06</v>
      </c>
    </row>
    <row r="32" spans="1:5">
      <c r="A32" t="s">
        <v>2321</v>
      </c>
      <c r="B32">
        <v>0</v>
      </c>
      <c r="C32">
        <v>0</v>
      </c>
      <c r="D32">
        <v>0</v>
      </c>
      <c r="E32">
        <v>0</v>
      </c>
    </row>
    <row r="33" spans="1:5">
      <c r="A33" t="s">
        <v>2322</v>
      </c>
      <c r="B33" s="58">
        <v>-31098</v>
      </c>
      <c r="C33">
        <v>-7.0000000000000007E-2</v>
      </c>
      <c r="D33" s="58">
        <v>16150</v>
      </c>
      <c r="E33">
        <v>0.04</v>
      </c>
    </row>
    <row r="34" spans="1:5">
      <c r="A34" t="s">
        <v>2323</v>
      </c>
      <c r="B34" s="58">
        <v>5018373</v>
      </c>
      <c r="C34">
        <v>11.46</v>
      </c>
      <c r="D34" s="58">
        <v>-840063</v>
      </c>
      <c r="E34">
        <v>-2.27</v>
      </c>
    </row>
    <row r="35" spans="1:5">
      <c r="A35" t="s">
        <v>2324</v>
      </c>
      <c r="B35" s="58">
        <v>-469349</v>
      </c>
      <c r="C35">
        <v>-1.07</v>
      </c>
      <c r="D35" s="58">
        <v>119234</v>
      </c>
      <c r="E35">
        <v>0.32</v>
      </c>
    </row>
    <row r="36" spans="1:5">
      <c r="A36" t="s">
        <v>2326</v>
      </c>
      <c r="B36" s="58">
        <v>866236</v>
      </c>
      <c r="C36">
        <v>1.98</v>
      </c>
      <c r="D36" s="58">
        <v>-134716</v>
      </c>
      <c r="E36">
        <v>-0.36</v>
      </c>
    </row>
    <row r="37" spans="1:5">
      <c r="A37" t="s">
        <v>2327</v>
      </c>
      <c r="B37" s="58">
        <v>3682788</v>
      </c>
      <c r="C37">
        <v>8.41</v>
      </c>
      <c r="D37" s="58">
        <v>-586113</v>
      </c>
      <c r="E37">
        <v>-1.59</v>
      </c>
    </row>
    <row r="38" spans="1:5">
      <c r="A38" t="s">
        <v>2328</v>
      </c>
      <c r="B38" s="58">
        <v>3651690</v>
      </c>
      <c r="C38">
        <v>8.34</v>
      </c>
      <c r="D38" s="58">
        <v>-569963</v>
      </c>
      <c r="E38">
        <v>-1.54</v>
      </c>
    </row>
    <row r="39" spans="1:5">
      <c r="A39" t="s">
        <v>2329</v>
      </c>
      <c r="B39" s="58">
        <v>13105953</v>
      </c>
      <c r="C39">
        <v>29.92</v>
      </c>
      <c r="D39" s="58">
        <v>2891737</v>
      </c>
      <c r="E39">
        <v>7.83</v>
      </c>
    </row>
    <row r="40" spans="1:5">
      <c r="A40" t="s">
        <v>2330</v>
      </c>
    </row>
    <row r="41" spans="1:5">
      <c r="A41" t="s">
        <v>2331</v>
      </c>
      <c r="B41" s="58">
        <v>9379497</v>
      </c>
      <c r="C41">
        <v>21.41</v>
      </c>
      <c r="D41" s="58">
        <v>3401431</v>
      </c>
      <c r="E41">
        <v>9.1999999999999993</v>
      </c>
    </row>
    <row r="42" spans="1:5">
      <c r="A42" t="s">
        <v>2332</v>
      </c>
      <c r="B42" s="58">
        <v>74766</v>
      </c>
      <c r="C42">
        <v>0.17</v>
      </c>
      <c r="D42" s="58">
        <v>60269</v>
      </c>
      <c r="E42">
        <v>0.16</v>
      </c>
    </row>
    <row r="43" spans="1:5">
      <c r="A43" t="s">
        <v>2333</v>
      </c>
      <c r="B43" s="58">
        <v>13032663</v>
      </c>
      <c r="C43">
        <v>29.75</v>
      </c>
      <c r="D43" s="58">
        <v>2836016</v>
      </c>
      <c r="E43">
        <v>7.67</v>
      </c>
    </row>
    <row r="44" spans="1:5">
      <c r="A44" t="s">
        <v>2334</v>
      </c>
      <c r="B44" s="58">
        <v>73290</v>
      </c>
      <c r="C44">
        <v>0.17</v>
      </c>
      <c r="D44" s="58">
        <v>55721</v>
      </c>
      <c r="E44">
        <v>0.15</v>
      </c>
    </row>
    <row r="45" spans="1:5">
      <c r="A45" t="s">
        <v>2335</v>
      </c>
    </row>
    <row r="46" spans="1:5">
      <c r="A46" t="s">
        <v>2353</v>
      </c>
      <c r="B46">
        <v>2.69</v>
      </c>
      <c r="D46">
        <v>0.97</v>
      </c>
    </row>
    <row r="47" spans="1:5">
      <c r="A47" t="s">
        <v>2336</v>
      </c>
      <c r="B47">
        <v>2.69</v>
      </c>
      <c r="D47">
        <v>0.97</v>
      </c>
    </row>
    <row r="48" spans="1:5">
      <c r="A48" t="s">
        <v>2337</v>
      </c>
    </row>
    <row r="49" spans="1:4">
      <c r="A49" t="s">
        <v>2353</v>
      </c>
      <c r="B49">
        <v>2.68</v>
      </c>
      <c r="D49">
        <v>0.97</v>
      </c>
    </row>
    <row r="50" spans="1:4">
      <c r="A50" t="s">
        <v>2338</v>
      </c>
      <c r="B50">
        <v>2.68</v>
      </c>
      <c r="D50">
        <v>0.97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5E7F2-1F6F-4376-AB6D-DB67D24BD895}">
  <sheetPr codeName="工作表30"/>
  <dimension ref="A1:E63"/>
  <sheetViews>
    <sheetView workbookViewId="0"/>
  </sheetViews>
  <sheetFormatPr baseColWidth="10" defaultColWidth="8.83203125" defaultRowHeight="15"/>
  <sheetData>
    <row r="1" spans="1:5">
      <c r="A1" t="s">
        <v>2210</v>
      </c>
    </row>
    <row r="2" spans="1:5">
      <c r="A2" t="s">
        <v>2211</v>
      </c>
    </row>
    <row r="3" spans="1:5">
      <c r="A3" t="s">
        <v>2212</v>
      </c>
      <c r="B3" t="s">
        <v>2213</v>
      </c>
      <c r="D3" t="s">
        <v>2216</v>
      </c>
    </row>
    <row r="4" spans="1:5">
      <c r="B4" t="s">
        <v>2214</v>
      </c>
      <c r="C4" t="s">
        <v>2215</v>
      </c>
      <c r="D4" t="s">
        <v>2217</v>
      </c>
      <c r="E4" t="s">
        <v>2215</v>
      </c>
    </row>
    <row r="5" spans="1:5">
      <c r="A5" t="s">
        <v>2218</v>
      </c>
    </row>
    <row r="6" spans="1:5">
      <c r="A6" t="s">
        <v>2219</v>
      </c>
      <c r="B6" s="58">
        <v>4792052</v>
      </c>
      <c r="C6">
        <v>5.21</v>
      </c>
      <c r="D6" s="58">
        <v>3590845</v>
      </c>
      <c r="E6">
        <v>4.09</v>
      </c>
    </row>
    <row r="7" spans="1:5">
      <c r="A7" t="s">
        <v>2220</v>
      </c>
      <c r="B7" s="58">
        <v>27694</v>
      </c>
      <c r="C7">
        <v>0.03</v>
      </c>
      <c r="D7" s="58">
        <v>27717</v>
      </c>
      <c r="E7">
        <v>0.03</v>
      </c>
    </row>
    <row r="8" spans="1:5">
      <c r="A8" t="s">
        <v>2343</v>
      </c>
      <c r="B8" s="58">
        <v>306600</v>
      </c>
      <c r="C8">
        <v>0.33</v>
      </c>
      <c r="D8" s="58">
        <v>364305</v>
      </c>
      <c r="E8">
        <v>0.41</v>
      </c>
    </row>
    <row r="9" spans="1:5">
      <c r="A9" t="s">
        <v>2225</v>
      </c>
      <c r="B9" s="58">
        <v>161082</v>
      </c>
      <c r="C9">
        <v>0.17</v>
      </c>
      <c r="D9" s="58">
        <v>140328</v>
      </c>
      <c r="E9">
        <v>0.16</v>
      </c>
    </row>
    <row r="10" spans="1:5">
      <c r="A10" t="s">
        <v>2226</v>
      </c>
      <c r="B10" s="58">
        <v>9156</v>
      </c>
      <c r="C10">
        <v>0.01</v>
      </c>
      <c r="D10" s="58">
        <v>9211</v>
      </c>
      <c r="E10">
        <v>0.01</v>
      </c>
    </row>
    <row r="11" spans="1:5">
      <c r="A11" t="s">
        <v>2228</v>
      </c>
      <c r="B11" s="58">
        <v>70067</v>
      </c>
      <c r="C11">
        <v>0.08</v>
      </c>
      <c r="D11" s="58">
        <v>64748</v>
      </c>
      <c r="E11">
        <v>7.0000000000000007E-2</v>
      </c>
    </row>
    <row r="12" spans="1:5">
      <c r="A12" t="s">
        <v>2231</v>
      </c>
      <c r="B12" s="58">
        <v>86140</v>
      </c>
      <c r="C12">
        <v>0.09</v>
      </c>
      <c r="D12" s="58">
        <v>113273</v>
      </c>
      <c r="E12">
        <v>0.13</v>
      </c>
    </row>
    <row r="13" spans="1:5">
      <c r="A13" t="s">
        <v>2232</v>
      </c>
      <c r="B13" s="58">
        <v>102074</v>
      </c>
      <c r="C13">
        <v>0.11</v>
      </c>
      <c r="D13" s="58">
        <v>113079</v>
      </c>
      <c r="E13">
        <v>0.13</v>
      </c>
    </row>
    <row r="14" spans="1:5">
      <c r="A14" t="s">
        <v>2233</v>
      </c>
      <c r="B14" s="58">
        <v>2275209</v>
      </c>
      <c r="C14">
        <v>2.4700000000000002</v>
      </c>
      <c r="D14" s="58">
        <v>2112490</v>
      </c>
      <c r="E14">
        <v>2.41</v>
      </c>
    </row>
    <row r="15" spans="1:5">
      <c r="A15" t="s">
        <v>2234</v>
      </c>
      <c r="B15" s="58">
        <v>7830074</v>
      </c>
      <c r="C15">
        <v>8.51</v>
      </c>
      <c r="D15" s="58">
        <v>6535996</v>
      </c>
      <c r="E15">
        <v>7.44</v>
      </c>
    </row>
    <row r="16" spans="1:5">
      <c r="A16" t="s">
        <v>2235</v>
      </c>
    </row>
    <row r="17" spans="1:5">
      <c r="A17" t="s">
        <v>2354</v>
      </c>
      <c r="B17">
        <v>0</v>
      </c>
      <c r="C17">
        <v>0</v>
      </c>
      <c r="D17">
        <v>0</v>
      </c>
      <c r="E17">
        <v>0</v>
      </c>
    </row>
    <row r="18" spans="1:5">
      <c r="A18" t="s">
        <v>2239</v>
      </c>
      <c r="B18" s="58">
        <v>358349</v>
      </c>
      <c r="C18">
        <v>0.39</v>
      </c>
      <c r="D18" s="58">
        <v>365546</v>
      </c>
      <c r="E18">
        <v>0.42</v>
      </c>
    </row>
    <row r="19" spans="1:5">
      <c r="A19" t="s">
        <v>2240</v>
      </c>
      <c r="B19" s="58">
        <v>75469641</v>
      </c>
      <c r="C19">
        <v>81.98</v>
      </c>
      <c r="D19" s="58">
        <v>72703479</v>
      </c>
      <c r="E19">
        <v>82.81</v>
      </c>
    </row>
    <row r="20" spans="1:5">
      <c r="A20" t="s">
        <v>2241</v>
      </c>
      <c r="B20" s="58">
        <v>5919502</v>
      </c>
      <c r="C20">
        <v>6.43</v>
      </c>
      <c r="D20" s="58">
        <v>5722140</v>
      </c>
      <c r="E20">
        <v>6.52</v>
      </c>
    </row>
    <row r="21" spans="1:5">
      <c r="A21" t="s">
        <v>2242</v>
      </c>
      <c r="B21" s="58">
        <v>72150</v>
      </c>
      <c r="C21">
        <v>0.08</v>
      </c>
      <c r="D21" s="58">
        <v>72218</v>
      </c>
      <c r="E21">
        <v>0.08</v>
      </c>
    </row>
    <row r="22" spans="1:5">
      <c r="A22" t="s">
        <v>2244</v>
      </c>
      <c r="B22">
        <v>552</v>
      </c>
      <c r="C22">
        <v>0</v>
      </c>
      <c r="D22">
        <v>993</v>
      </c>
      <c r="E22">
        <v>0</v>
      </c>
    </row>
    <row r="23" spans="1:5">
      <c r="A23" t="s">
        <v>2245</v>
      </c>
      <c r="B23" s="58">
        <v>2411532</v>
      </c>
      <c r="C23">
        <v>2.62</v>
      </c>
      <c r="D23" s="58">
        <v>2398921</v>
      </c>
      <c r="E23">
        <v>2.73</v>
      </c>
    </row>
    <row r="24" spans="1:5">
      <c r="A24" t="s">
        <v>2246</v>
      </c>
      <c r="B24" s="58">
        <v>84231726</v>
      </c>
      <c r="C24">
        <v>91.49</v>
      </c>
      <c r="D24" s="58">
        <v>81263297</v>
      </c>
      <c r="E24">
        <v>92.56</v>
      </c>
    </row>
    <row r="25" spans="1:5">
      <c r="A25" t="s">
        <v>2247</v>
      </c>
      <c r="B25" s="58">
        <v>92061800</v>
      </c>
      <c r="C25">
        <v>100</v>
      </c>
      <c r="D25" s="58">
        <v>87799293</v>
      </c>
      <c r="E25">
        <v>100</v>
      </c>
    </row>
    <row r="26" spans="1:5">
      <c r="A26" t="s">
        <v>2248</v>
      </c>
    </row>
    <row r="27" spans="1:5">
      <c r="A27" t="s">
        <v>2339</v>
      </c>
      <c r="B27" s="58">
        <v>497981</v>
      </c>
      <c r="C27">
        <v>0.54</v>
      </c>
      <c r="D27" s="58">
        <v>937338</v>
      </c>
      <c r="E27">
        <v>1.07</v>
      </c>
    </row>
    <row r="28" spans="1:5">
      <c r="A28" t="s">
        <v>2251</v>
      </c>
      <c r="B28">
        <v>0</v>
      </c>
      <c r="C28">
        <v>0</v>
      </c>
      <c r="D28">
        <v>0</v>
      </c>
      <c r="E28">
        <v>0</v>
      </c>
    </row>
    <row r="29" spans="1:5">
      <c r="A29" t="s">
        <v>2253</v>
      </c>
      <c r="B29" s="58">
        <v>212652</v>
      </c>
      <c r="C29">
        <v>0.23</v>
      </c>
      <c r="D29" s="58">
        <v>176826</v>
      </c>
      <c r="E29">
        <v>0.2</v>
      </c>
    </row>
    <row r="30" spans="1:5">
      <c r="A30" t="s">
        <v>2254</v>
      </c>
      <c r="B30">
        <v>0</v>
      </c>
      <c r="C30">
        <v>0</v>
      </c>
      <c r="D30">
        <v>0</v>
      </c>
      <c r="E30">
        <v>0</v>
      </c>
    </row>
    <row r="31" spans="1:5">
      <c r="A31" t="s">
        <v>2255</v>
      </c>
      <c r="B31" s="58">
        <v>742168</v>
      </c>
      <c r="C31">
        <v>0.81</v>
      </c>
      <c r="D31" s="58">
        <v>840910</v>
      </c>
      <c r="E31">
        <v>0.96</v>
      </c>
    </row>
    <row r="32" spans="1:5">
      <c r="A32" t="s">
        <v>2258</v>
      </c>
      <c r="B32" s="58">
        <v>782258</v>
      </c>
      <c r="C32">
        <v>0.85</v>
      </c>
      <c r="D32" s="58">
        <v>411185</v>
      </c>
      <c r="E32">
        <v>0.47</v>
      </c>
    </row>
    <row r="33" spans="1:5">
      <c r="A33" t="s">
        <v>2259</v>
      </c>
      <c r="B33" s="58">
        <v>8080463</v>
      </c>
      <c r="C33">
        <v>8.7799999999999994</v>
      </c>
      <c r="D33" s="58">
        <v>8675028</v>
      </c>
      <c r="E33">
        <v>9.8800000000000008</v>
      </c>
    </row>
    <row r="34" spans="1:5">
      <c r="A34" t="s">
        <v>2260</v>
      </c>
      <c r="B34" s="58">
        <v>10315522</v>
      </c>
      <c r="C34">
        <v>11.2</v>
      </c>
      <c r="D34" s="58">
        <v>11041287</v>
      </c>
      <c r="E34">
        <v>12.58</v>
      </c>
    </row>
    <row r="35" spans="1:5">
      <c r="A35" t="s">
        <v>2261</v>
      </c>
    </row>
    <row r="36" spans="1:5">
      <c r="A36" t="s">
        <v>2263</v>
      </c>
      <c r="B36">
        <v>0</v>
      </c>
      <c r="C36">
        <v>0</v>
      </c>
      <c r="D36">
        <v>0</v>
      </c>
      <c r="E36">
        <v>0</v>
      </c>
    </row>
    <row r="37" spans="1:5">
      <c r="A37" t="s">
        <v>2264</v>
      </c>
      <c r="B37" s="58">
        <v>23913037</v>
      </c>
      <c r="C37">
        <v>25.97</v>
      </c>
      <c r="D37" s="58">
        <v>22957712</v>
      </c>
      <c r="E37">
        <v>26.15</v>
      </c>
    </row>
    <row r="38" spans="1:5">
      <c r="A38" t="s">
        <v>2265</v>
      </c>
      <c r="B38">
        <v>202</v>
      </c>
      <c r="C38">
        <v>0</v>
      </c>
      <c r="D38">
        <v>423</v>
      </c>
      <c r="E38">
        <v>0</v>
      </c>
    </row>
    <row r="39" spans="1:5">
      <c r="A39" t="s">
        <v>2266</v>
      </c>
      <c r="B39" s="58">
        <v>3519690</v>
      </c>
      <c r="C39">
        <v>3.82</v>
      </c>
      <c r="D39" s="58">
        <v>3996342</v>
      </c>
      <c r="E39">
        <v>4.55</v>
      </c>
    </row>
    <row r="40" spans="1:5">
      <c r="A40" t="s">
        <v>2267</v>
      </c>
      <c r="B40" s="58">
        <v>5898040</v>
      </c>
      <c r="C40">
        <v>6.41</v>
      </c>
      <c r="D40" s="58">
        <v>4807732</v>
      </c>
      <c r="E40">
        <v>5.48</v>
      </c>
    </row>
    <row r="41" spans="1:5">
      <c r="A41" t="s">
        <v>2268</v>
      </c>
      <c r="B41" s="58">
        <v>33330969</v>
      </c>
      <c r="C41">
        <v>36.200000000000003</v>
      </c>
      <c r="D41" s="58">
        <v>31762209</v>
      </c>
      <c r="E41">
        <v>36.18</v>
      </c>
    </row>
    <row r="42" spans="1:5">
      <c r="A42" t="s">
        <v>2269</v>
      </c>
      <c r="B42" s="58">
        <v>43646491</v>
      </c>
      <c r="C42">
        <v>47.41</v>
      </c>
      <c r="D42" s="58">
        <v>42803496</v>
      </c>
      <c r="E42">
        <v>48.75</v>
      </c>
    </row>
    <row r="43" spans="1:5">
      <c r="A43" t="s">
        <v>2270</v>
      </c>
    </row>
    <row r="44" spans="1:5">
      <c r="A44" t="s">
        <v>2271</v>
      </c>
    </row>
    <row r="45" spans="1:5">
      <c r="A45" t="s">
        <v>2272</v>
      </c>
      <c r="B45" s="58">
        <v>7464092</v>
      </c>
      <c r="C45">
        <v>8.11</v>
      </c>
      <c r="D45" s="58">
        <v>7464092</v>
      </c>
      <c r="E45">
        <v>8.5</v>
      </c>
    </row>
    <row r="46" spans="1:5">
      <c r="A46" t="s">
        <v>2274</v>
      </c>
      <c r="B46" s="58">
        <v>7464092</v>
      </c>
      <c r="C46">
        <v>8.11</v>
      </c>
      <c r="D46" s="58">
        <v>7464092</v>
      </c>
      <c r="E46">
        <v>8.5</v>
      </c>
    </row>
    <row r="47" spans="1:5">
      <c r="A47" t="s">
        <v>2275</v>
      </c>
    </row>
    <row r="48" spans="1:5">
      <c r="A48" t="s">
        <v>2276</v>
      </c>
      <c r="B48" s="58">
        <v>34548</v>
      </c>
      <c r="C48">
        <v>0.04</v>
      </c>
      <c r="D48" s="58">
        <v>34548</v>
      </c>
      <c r="E48">
        <v>0.04</v>
      </c>
    </row>
    <row r="49" spans="1:5">
      <c r="A49" t="s">
        <v>2277</v>
      </c>
    </row>
    <row r="50" spans="1:5">
      <c r="A50" t="s">
        <v>2278</v>
      </c>
      <c r="B50">
        <v>224</v>
      </c>
      <c r="C50">
        <v>0</v>
      </c>
      <c r="D50">
        <v>224</v>
      </c>
      <c r="E50">
        <v>0</v>
      </c>
    </row>
    <row r="51" spans="1:5">
      <c r="A51" t="s">
        <v>2280</v>
      </c>
      <c r="B51" s="58">
        <v>30255978</v>
      </c>
      <c r="C51">
        <v>32.86</v>
      </c>
      <c r="D51" s="58">
        <v>28770482</v>
      </c>
      <c r="E51">
        <v>32.770000000000003</v>
      </c>
    </row>
    <row r="52" spans="1:5">
      <c r="A52" t="s">
        <v>2281</v>
      </c>
      <c r="B52" s="58">
        <v>30256202</v>
      </c>
      <c r="C52">
        <v>32.869999999999997</v>
      </c>
      <c r="D52" s="58">
        <v>28770706</v>
      </c>
      <c r="E52">
        <v>32.770000000000003</v>
      </c>
    </row>
    <row r="53" spans="1:5">
      <c r="A53" t="s">
        <v>2282</v>
      </c>
    </row>
    <row r="54" spans="1:5">
      <c r="A54" t="s">
        <v>2344</v>
      </c>
      <c r="B54" s="58">
        <v>10671440</v>
      </c>
      <c r="C54">
        <v>11.59</v>
      </c>
      <c r="D54" s="58">
        <v>8738431</v>
      </c>
      <c r="E54">
        <v>9.9499999999999993</v>
      </c>
    </row>
    <row r="55" spans="1:5">
      <c r="A55" t="s">
        <v>2345</v>
      </c>
      <c r="B55" s="58">
        <v>-10973</v>
      </c>
      <c r="C55">
        <v>-0.01</v>
      </c>
      <c r="D55" s="58">
        <v>-11980</v>
      </c>
      <c r="E55">
        <v>-0.01</v>
      </c>
    </row>
    <row r="56" spans="1:5">
      <c r="A56" t="s">
        <v>2283</v>
      </c>
      <c r="B56" s="58">
        <v>10660467</v>
      </c>
      <c r="C56">
        <v>11.58</v>
      </c>
      <c r="D56" s="58">
        <v>8726451</v>
      </c>
      <c r="E56">
        <v>9.94</v>
      </c>
    </row>
    <row r="57" spans="1:5">
      <c r="A57" t="s">
        <v>2357</v>
      </c>
      <c r="B57">
        <v>0</v>
      </c>
      <c r="C57">
        <v>0</v>
      </c>
      <c r="D57">
        <v>0</v>
      </c>
      <c r="E57">
        <v>0</v>
      </c>
    </row>
    <row r="58" spans="1:5">
      <c r="A58" t="s">
        <v>2284</v>
      </c>
      <c r="B58" s="58">
        <v>48415309</v>
      </c>
      <c r="C58">
        <v>52.59</v>
      </c>
      <c r="D58" s="58">
        <v>44995797</v>
      </c>
      <c r="E58">
        <v>51.25</v>
      </c>
    </row>
    <row r="59" spans="1:5">
      <c r="A59" t="s">
        <v>2286</v>
      </c>
      <c r="B59" s="58">
        <v>48415309</v>
      </c>
      <c r="C59">
        <v>52.59</v>
      </c>
      <c r="D59" s="58">
        <v>44995797</v>
      </c>
      <c r="E59">
        <v>51.25</v>
      </c>
    </row>
    <row r="60" spans="1:5">
      <c r="A60" t="s">
        <v>2287</v>
      </c>
      <c r="B60" s="58">
        <v>92061800</v>
      </c>
      <c r="C60">
        <v>100</v>
      </c>
      <c r="D60" s="58">
        <v>87799293</v>
      </c>
      <c r="E60">
        <v>100</v>
      </c>
    </row>
    <row r="61" spans="1:5">
      <c r="A61" t="s">
        <v>2288</v>
      </c>
      <c r="B61">
        <v>0</v>
      </c>
      <c r="D61">
        <v>0</v>
      </c>
    </row>
    <row r="62" spans="1:5">
      <c r="A62" t="s">
        <v>2289</v>
      </c>
      <c r="B62">
        <v>0</v>
      </c>
      <c r="D62">
        <v>0</v>
      </c>
    </row>
    <row r="63" spans="1:5">
      <c r="A63" t="s">
        <v>2290</v>
      </c>
      <c r="B63">
        <v>0</v>
      </c>
      <c r="D63">
        <v>0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72063-B8AA-494A-805D-807E28B9A542}">
  <sheetPr codeName="工作表31"/>
  <dimension ref="A1:E37"/>
  <sheetViews>
    <sheetView workbookViewId="0"/>
  </sheetViews>
  <sheetFormatPr baseColWidth="10" defaultColWidth="8.83203125" defaultRowHeight="15"/>
  <sheetData>
    <row r="1" spans="1:5">
      <c r="A1" t="s">
        <v>2210</v>
      </c>
    </row>
    <row r="2" spans="1:5">
      <c r="A2" t="s">
        <v>2211</v>
      </c>
    </row>
    <row r="3" spans="1:5">
      <c r="A3" t="s">
        <v>2212</v>
      </c>
      <c r="B3" t="s">
        <v>2291</v>
      </c>
      <c r="D3" t="s">
        <v>2292</v>
      </c>
    </row>
    <row r="4" spans="1:5">
      <c r="B4" t="s">
        <v>2215</v>
      </c>
      <c r="C4" t="s">
        <v>2217</v>
      </c>
      <c r="D4" t="s">
        <v>2215</v>
      </c>
      <c r="E4" t="s">
        <v>2217</v>
      </c>
    </row>
    <row r="5" spans="1:5">
      <c r="A5" t="s">
        <v>2293</v>
      </c>
      <c r="B5" s="58">
        <v>4693996</v>
      </c>
      <c r="C5">
        <v>100</v>
      </c>
      <c r="D5" s="58">
        <v>3587628</v>
      </c>
      <c r="E5">
        <v>100</v>
      </c>
    </row>
    <row r="6" spans="1:5">
      <c r="A6" t="s">
        <v>2294</v>
      </c>
      <c r="B6" s="58">
        <v>3206413</v>
      </c>
      <c r="C6">
        <v>68.31</v>
      </c>
      <c r="D6" s="58">
        <v>3195550</v>
      </c>
      <c r="E6">
        <v>89.07</v>
      </c>
    </row>
    <row r="7" spans="1:5">
      <c r="A7" t="s">
        <v>2295</v>
      </c>
      <c r="B7" s="58">
        <v>1487583</v>
      </c>
      <c r="C7">
        <v>31.69</v>
      </c>
      <c r="D7" s="58">
        <v>392078</v>
      </c>
      <c r="E7">
        <v>10.93</v>
      </c>
    </row>
    <row r="8" spans="1:5">
      <c r="A8" t="s">
        <v>2298</v>
      </c>
      <c r="B8" s="58">
        <v>1487583</v>
      </c>
      <c r="C8">
        <v>31.69</v>
      </c>
      <c r="D8" s="58">
        <v>392078</v>
      </c>
      <c r="E8">
        <v>10.93</v>
      </c>
    </row>
    <row r="9" spans="1:5">
      <c r="A9" t="s">
        <v>2299</v>
      </c>
    </row>
    <row r="10" spans="1:5">
      <c r="A10" t="s">
        <v>2301</v>
      </c>
      <c r="B10" s="58">
        <v>35644</v>
      </c>
      <c r="C10">
        <v>0.76</v>
      </c>
      <c r="D10" s="58">
        <v>34772</v>
      </c>
      <c r="E10">
        <v>0.97</v>
      </c>
    </row>
    <row r="11" spans="1:5">
      <c r="A11" t="s">
        <v>2302</v>
      </c>
      <c r="B11" s="58">
        <v>5240</v>
      </c>
      <c r="C11">
        <v>0.11</v>
      </c>
      <c r="D11" s="58">
        <v>9361</v>
      </c>
      <c r="E11">
        <v>0.26</v>
      </c>
    </row>
    <row r="12" spans="1:5">
      <c r="A12" t="s">
        <v>2303</v>
      </c>
      <c r="B12" s="58">
        <v>40884</v>
      </c>
      <c r="C12">
        <v>0.87</v>
      </c>
      <c r="D12" s="58">
        <v>44133</v>
      </c>
      <c r="E12">
        <v>1.23</v>
      </c>
    </row>
    <row r="13" spans="1:5">
      <c r="A13" t="s">
        <v>2306</v>
      </c>
      <c r="B13" s="58">
        <v>1446699</v>
      </c>
      <c r="C13">
        <v>30.82</v>
      </c>
      <c r="D13" s="58">
        <v>347945</v>
      </c>
      <c r="E13">
        <v>9.6999999999999993</v>
      </c>
    </row>
    <row r="14" spans="1:5">
      <c r="A14" t="s">
        <v>2307</v>
      </c>
    </row>
    <row r="15" spans="1:5">
      <c r="A15" t="s">
        <v>2308</v>
      </c>
      <c r="B15" s="58">
        <v>49318</v>
      </c>
      <c r="C15">
        <v>1.05</v>
      </c>
      <c r="D15" s="58">
        <v>66278</v>
      </c>
      <c r="E15">
        <v>1.85</v>
      </c>
    </row>
    <row r="16" spans="1:5">
      <c r="A16" t="s">
        <v>2309</v>
      </c>
      <c r="B16" s="58">
        <v>1652</v>
      </c>
      <c r="C16">
        <v>0.04</v>
      </c>
      <c r="D16" s="58">
        <v>1972</v>
      </c>
      <c r="E16">
        <v>0.05</v>
      </c>
    </row>
    <row r="17" spans="1:5">
      <c r="A17" t="s">
        <v>2310</v>
      </c>
      <c r="B17" s="58">
        <v>518753</v>
      </c>
      <c r="C17">
        <v>11.05</v>
      </c>
      <c r="D17" s="58">
        <v>-24690</v>
      </c>
      <c r="E17">
        <v>-0.69</v>
      </c>
    </row>
    <row r="18" spans="1:5">
      <c r="A18" t="s">
        <v>2311</v>
      </c>
      <c r="B18" s="58">
        <v>514139</v>
      </c>
      <c r="C18">
        <v>10.95</v>
      </c>
      <c r="D18" s="58">
        <v>511873</v>
      </c>
      <c r="E18">
        <v>14.27</v>
      </c>
    </row>
    <row r="19" spans="1:5">
      <c r="A19" t="s">
        <v>2312</v>
      </c>
      <c r="B19" s="58">
        <v>-8797</v>
      </c>
      <c r="C19">
        <v>-0.19</v>
      </c>
      <c r="D19" s="58">
        <v>-7139</v>
      </c>
      <c r="E19">
        <v>-0.2</v>
      </c>
    </row>
    <row r="20" spans="1:5">
      <c r="A20" t="s">
        <v>2313</v>
      </c>
      <c r="B20" s="58">
        <v>46787</v>
      </c>
      <c r="C20">
        <v>1</v>
      </c>
      <c r="D20" s="58">
        <v>-475452</v>
      </c>
      <c r="E20">
        <v>-13.25</v>
      </c>
    </row>
    <row r="21" spans="1:5">
      <c r="A21" t="s">
        <v>2314</v>
      </c>
      <c r="B21" s="58">
        <v>1493486</v>
      </c>
      <c r="C21">
        <v>31.82</v>
      </c>
      <c r="D21" s="58">
        <v>-127507</v>
      </c>
      <c r="E21">
        <v>-3.55</v>
      </c>
    </row>
    <row r="22" spans="1:5">
      <c r="A22" t="s">
        <v>2315</v>
      </c>
      <c r="B22" s="58">
        <v>7990</v>
      </c>
      <c r="C22">
        <v>0.17</v>
      </c>
      <c r="D22" s="58">
        <v>6244</v>
      </c>
      <c r="E22">
        <v>0.17</v>
      </c>
    </row>
    <row r="23" spans="1:5">
      <c r="A23" t="s">
        <v>2316</v>
      </c>
      <c r="B23" s="58">
        <v>1485496</v>
      </c>
      <c r="C23">
        <v>31.65</v>
      </c>
      <c r="D23" s="58">
        <v>-133751</v>
      </c>
      <c r="E23">
        <v>-3.73</v>
      </c>
    </row>
    <row r="24" spans="1:5">
      <c r="A24" t="s">
        <v>2317</v>
      </c>
      <c r="B24" s="58">
        <v>1485496</v>
      </c>
      <c r="C24">
        <v>31.65</v>
      </c>
      <c r="D24" s="58">
        <v>-133751</v>
      </c>
      <c r="E24">
        <v>-3.73</v>
      </c>
    </row>
    <row r="25" spans="1:5">
      <c r="A25" t="s">
        <v>2318</v>
      </c>
    </row>
    <row r="26" spans="1:5">
      <c r="A26" t="s">
        <v>2323</v>
      </c>
      <c r="B26" s="58">
        <v>1933009</v>
      </c>
      <c r="C26">
        <v>41.18</v>
      </c>
      <c r="D26" s="58">
        <v>-276135</v>
      </c>
      <c r="E26">
        <v>-7.7</v>
      </c>
    </row>
    <row r="27" spans="1:5">
      <c r="A27" t="s">
        <v>2358</v>
      </c>
      <c r="B27" s="58">
        <v>1007</v>
      </c>
      <c r="C27">
        <v>0.02</v>
      </c>
      <c r="D27">
        <v>-959</v>
      </c>
      <c r="E27">
        <v>-0.03</v>
      </c>
    </row>
    <row r="28" spans="1:5">
      <c r="A28" t="s">
        <v>2327</v>
      </c>
      <c r="B28" s="58">
        <v>1934016</v>
      </c>
      <c r="C28">
        <v>41.2</v>
      </c>
      <c r="D28" s="58">
        <v>-277094</v>
      </c>
      <c r="E28">
        <v>-7.72</v>
      </c>
    </row>
    <row r="29" spans="1:5">
      <c r="A29" t="s">
        <v>2328</v>
      </c>
      <c r="B29" s="58">
        <v>1934016</v>
      </c>
      <c r="C29">
        <v>41.2</v>
      </c>
      <c r="D29" s="58">
        <v>-277094</v>
      </c>
      <c r="E29">
        <v>-7.72</v>
      </c>
    </row>
    <row r="30" spans="1:5">
      <c r="A30" t="s">
        <v>2329</v>
      </c>
      <c r="B30" s="58">
        <v>3419512</v>
      </c>
      <c r="C30">
        <v>72.849999999999994</v>
      </c>
      <c r="D30" s="58">
        <v>-410845</v>
      </c>
      <c r="E30">
        <v>-11.45</v>
      </c>
    </row>
    <row r="31" spans="1:5">
      <c r="A31" t="s">
        <v>2330</v>
      </c>
    </row>
    <row r="32" spans="1:5">
      <c r="A32" t="s">
        <v>2331</v>
      </c>
      <c r="B32" s="58">
        <v>1485496</v>
      </c>
      <c r="C32">
        <v>31.65</v>
      </c>
      <c r="D32" s="58">
        <v>-133751</v>
      </c>
      <c r="E32">
        <v>-3.73</v>
      </c>
    </row>
    <row r="33" spans="1:5">
      <c r="A33" t="s">
        <v>2333</v>
      </c>
      <c r="B33" s="58">
        <v>3419512</v>
      </c>
      <c r="C33">
        <v>72.849999999999994</v>
      </c>
      <c r="D33" s="58">
        <v>-410845</v>
      </c>
      <c r="E33">
        <v>-11.45</v>
      </c>
    </row>
    <row r="34" spans="1:5">
      <c r="A34" t="s">
        <v>2335</v>
      </c>
    </row>
    <row r="35" spans="1:5">
      <c r="A35" t="s">
        <v>2336</v>
      </c>
      <c r="B35">
        <v>1.99</v>
      </c>
      <c r="D35">
        <v>-0.18</v>
      </c>
    </row>
    <row r="36" spans="1:5">
      <c r="A36" t="s">
        <v>2337</v>
      </c>
    </row>
    <row r="37" spans="1:5">
      <c r="A37" t="s">
        <v>2338</v>
      </c>
      <c r="B37">
        <v>1.99</v>
      </c>
      <c r="D37">
        <v>-0.18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F051E-2031-4A97-B4D6-F5A60B189D58}">
  <dimension ref="A1:F23"/>
  <sheetViews>
    <sheetView workbookViewId="0"/>
  </sheetViews>
  <sheetFormatPr baseColWidth="10" defaultColWidth="8.83203125" defaultRowHeight="15"/>
  <cols>
    <col min="1" max="6" width="32.5" bestFit="1" customWidth="1"/>
  </cols>
  <sheetData>
    <row r="1" spans="1:6">
      <c r="A1" t="s">
        <v>2128</v>
      </c>
      <c r="B1" t="s">
        <v>2129</v>
      </c>
      <c r="C1" t="s">
        <v>2130</v>
      </c>
      <c r="D1" t="s">
        <v>2131</v>
      </c>
      <c r="E1" t="s">
        <v>2132</v>
      </c>
      <c r="F1" t="s">
        <v>2133</v>
      </c>
    </row>
    <row r="2" spans="1:6">
      <c r="A2" t="s">
        <v>2151</v>
      </c>
      <c r="B2" t="s">
        <v>2151</v>
      </c>
      <c r="C2" t="s">
        <v>2151</v>
      </c>
      <c r="D2" t="s">
        <v>2151</v>
      </c>
      <c r="E2" t="s">
        <v>2151</v>
      </c>
      <c r="F2" t="s">
        <v>2151</v>
      </c>
    </row>
    <row r="3" spans="1:6">
      <c r="A3" t="s">
        <v>2134</v>
      </c>
      <c r="B3" t="s">
        <v>2135</v>
      </c>
      <c r="C3" t="s">
        <v>2136</v>
      </c>
      <c r="D3" t="s">
        <v>2137</v>
      </c>
      <c r="E3" t="s">
        <v>2138</v>
      </c>
      <c r="F3" t="s">
        <v>2139</v>
      </c>
    </row>
    <row r="4" spans="1:6">
      <c r="A4" t="s">
        <v>2363</v>
      </c>
      <c r="B4" t="s">
        <v>2364</v>
      </c>
      <c r="C4" t="s">
        <v>2365</v>
      </c>
      <c r="D4" t="s">
        <v>2366</v>
      </c>
      <c r="E4" t="s">
        <v>2367</v>
      </c>
      <c r="F4" t="s">
        <v>2368</v>
      </c>
    </row>
    <row r="5" spans="1:6">
      <c r="A5" t="s">
        <v>2369</v>
      </c>
      <c r="B5" t="s">
        <v>2370</v>
      </c>
      <c r="C5" t="s">
        <v>2364</v>
      </c>
      <c r="D5" t="s">
        <v>2371</v>
      </c>
      <c r="E5" t="s">
        <v>2372</v>
      </c>
      <c r="F5" t="s">
        <v>2373</v>
      </c>
    </row>
    <row r="6" spans="1:6">
      <c r="A6" t="s">
        <v>2374</v>
      </c>
      <c r="B6" t="s">
        <v>2375</v>
      </c>
      <c r="C6" t="s">
        <v>2376</v>
      </c>
      <c r="D6" t="s">
        <v>2377</v>
      </c>
      <c r="E6" t="s">
        <v>2378</v>
      </c>
      <c r="F6" t="s">
        <v>2379</v>
      </c>
    </row>
    <row r="7" spans="1:6">
      <c r="A7" t="s">
        <v>2380</v>
      </c>
      <c r="B7" t="s">
        <v>2381</v>
      </c>
      <c r="C7" t="s">
        <v>2382</v>
      </c>
      <c r="D7" t="s">
        <v>2372</v>
      </c>
      <c r="E7" t="s">
        <v>2372</v>
      </c>
      <c r="F7" t="s">
        <v>2383</v>
      </c>
    </row>
    <row r="8" spans="1:6">
      <c r="A8" t="s">
        <v>2384</v>
      </c>
      <c r="B8" t="s">
        <v>2385</v>
      </c>
      <c r="C8" t="s">
        <v>2386</v>
      </c>
      <c r="D8" t="s">
        <v>2387</v>
      </c>
      <c r="E8" t="s">
        <v>2388</v>
      </c>
      <c r="F8" t="s">
        <v>2389</v>
      </c>
    </row>
    <row r="9" spans="1:6">
      <c r="A9" t="s">
        <v>2390</v>
      </c>
      <c r="B9" t="s">
        <v>2391</v>
      </c>
      <c r="C9" t="s">
        <v>2364</v>
      </c>
      <c r="D9" t="s">
        <v>2391</v>
      </c>
      <c r="E9" t="s">
        <v>2392</v>
      </c>
      <c r="F9" t="s">
        <v>2393</v>
      </c>
    </row>
    <row r="10" spans="1:6">
      <c r="A10" t="s">
        <v>2394</v>
      </c>
      <c r="B10" t="s">
        <v>2395</v>
      </c>
      <c r="C10" t="s">
        <v>2391</v>
      </c>
      <c r="D10" t="s">
        <v>2396</v>
      </c>
      <c r="E10" t="s">
        <v>2397</v>
      </c>
      <c r="F10" t="s">
        <v>2398</v>
      </c>
    </row>
    <row r="11" spans="1:6">
      <c r="A11" t="s">
        <v>2399</v>
      </c>
      <c r="B11" t="s">
        <v>2400</v>
      </c>
      <c r="C11" t="s">
        <v>2401</v>
      </c>
      <c r="D11" t="s">
        <v>2402</v>
      </c>
      <c r="E11" t="s">
        <v>2397</v>
      </c>
      <c r="F11" t="s">
        <v>2403</v>
      </c>
    </row>
    <row r="12" spans="1:6">
      <c r="A12" t="s">
        <v>2404</v>
      </c>
      <c r="B12" t="s">
        <v>2405</v>
      </c>
      <c r="C12" t="s">
        <v>2405</v>
      </c>
      <c r="D12" t="s">
        <v>2406</v>
      </c>
      <c r="E12" t="s">
        <v>2407</v>
      </c>
      <c r="F12" t="s">
        <v>2408</v>
      </c>
    </row>
    <row r="13" spans="1:6">
      <c r="A13" t="s">
        <v>2409</v>
      </c>
      <c r="B13" t="s">
        <v>2410</v>
      </c>
      <c r="C13" t="s">
        <v>2411</v>
      </c>
      <c r="D13" t="s">
        <v>2367</v>
      </c>
      <c r="E13" t="s">
        <v>2412</v>
      </c>
      <c r="F13" t="s">
        <v>2413</v>
      </c>
    </row>
    <row r="14" spans="1:6">
      <c r="A14" t="s">
        <v>2414</v>
      </c>
      <c r="B14" t="s">
        <v>2392</v>
      </c>
      <c r="C14" t="s">
        <v>2415</v>
      </c>
      <c r="D14" t="s">
        <v>2367</v>
      </c>
      <c r="E14" t="s">
        <v>2367</v>
      </c>
      <c r="F14" t="s">
        <v>2416</v>
      </c>
    </row>
    <row r="15" spans="1:6">
      <c r="A15" t="s">
        <v>2417</v>
      </c>
      <c r="B15" t="s">
        <v>2406</v>
      </c>
      <c r="C15" t="s">
        <v>2377</v>
      </c>
      <c r="D15" t="s">
        <v>2418</v>
      </c>
      <c r="E15" t="s">
        <v>2377</v>
      </c>
      <c r="F15" t="s">
        <v>2419</v>
      </c>
    </row>
    <row r="16" spans="1:6">
      <c r="A16" t="s">
        <v>2420</v>
      </c>
      <c r="B16" t="s">
        <v>2421</v>
      </c>
      <c r="C16" t="s">
        <v>2407</v>
      </c>
      <c r="D16" t="s">
        <v>2422</v>
      </c>
      <c r="E16" t="s">
        <v>2423</v>
      </c>
      <c r="F16" t="s">
        <v>2424</v>
      </c>
    </row>
    <row r="17" spans="1:6">
      <c r="A17" t="s">
        <v>2425</v>
      </c>
      <c r="B17" t="s">
        <v>2421</v>
      </c>
      <c r="C17" t="s">
        <v>2426</v>
      </c>
      <c r="D17" t="s">
        <v>2418</v>
      </c>
      <c r="E17" t="s">
        <v>2371</v>
      </c>
      <c r="F17" t="s">
        <v>2427</v>
      </c>
    </row>
    <row r="18" spans="1:6">
      <c r="A18" t="s">
        <v>2428</v>
      </c>
      <c r="B18" t="s">
        <v>2429</v>
      </c>
      <c r="C18" t="s">
        <v>2366</v>
      </c>
      <c r="D18" t="s">
        <v>2429</v>
      </c>
      <c r="E18" t="s">
        <v>2406</v>
      </c>
      <c r="F18" t="s">
        <v>2430</v>
      </c>
    </row>
    <row r="19" spans="1:6">
      <c r="A19" t="s">
        <v>2431</v>
      </c>
      <c r="B19" t="s">
        <v>2432</v>
      </c>
      <c r="C19" t="s">
        <v>2433</v>
      </c>
      <c r="D19" t="s">
        <v>2161</v>
      </c>
      <c r="E19" t="s">
        <v>2434</v>
      </c>
      <c r="F19" t="s">
        <v>2435</v>
      </c>
    </row>
    <row r="20" spans="1:6">
      <c r="A20" t="s">
        <v>2436</v>
      </c>
      <c r="B20" t="s">
        <v>2155</v>
      </c>
      <c r="C20" t="s">
        <v>2156</v>
      </c>
      <c r="D20" t="s">
        <v>2158</v>
      </c>
      <c r="E20" t="s">
        <v>2152</v>
      </c>
      <c r="F20" t="s">
        <v>2437</v>
      </c>
    </row>
    <row r="21" spans="1:6">
      <c r="A21" t="s">
        <v>2438</v>
      </c>
      <c r="B21" t="s">
        <v>2159</v>
      </c>
      <c r="C21" t="s">
        <v>2157</v>
      </c>
      <c r="D21" t="s">
        <v>2153</v>
      </c>
      <c r="E21" t="s">
        <v>2160</v>
      </c>
      <c r="F21" t="s">
        <v>2439</v>
      </c>
    </row>
    <row r="22" spans="1:6">
      <c r="A22" t="s">
        <v>2440</v>
      </c>
      <c r="B22" t="s">
        <v>2156</v>
      </c>
      <c r="C22" t="s">
        <v>2441</v>
      </c>
      <c r="D22" t="s">
        <v>2154</v>
      </c>
      <c r="E22" t="s">
        <v>2154</v>
      </c>
      <c r="F22" t="s">
        <v>2442</v>
      </c>
    </row>
    <row r="23" spans="1:6">
      <c r="A23" t="s">
        <v>2443</v>
      </c>
      <c r="B23" t="s">
        <v>2156</v>
      </c>
      <c r="C23" t="s">
        <v>2444</v>
      </c>
      <c r="D23" t="s">
        <v>2445</v>
      </c>
      <c r="E23" t="s">
        <v>2432</v>
      </c>
      <c r="F23" t="s">
        <v>2446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C1E3C-3203-4DA3-A33E-B16B2451CC67}">
  <dimension ref="A1:F23"/>
  <sheetViews>
    <sheetView workbookViewId="0"/>
  </sheetViews>
  <sheetFormatPr baseColWidth="10" defaultColWidth="8.83203125" defaultRowHeight="15"/>
  <cols>
    <col min="1" max="6" width="32.5" bestFit="1" customWidth="1"/>
  </cols>
  <sheetData>
    <row r="1" spans="1:6">
      <c r="A1" t="s">
        <v>2128</v>
      </c>
      <c r="B1" t="s">
        <v>2129</v>
      </c>
      <c r="C1" t="s">
        <v>2130</v>
      </c>
      <c r="D1" t="s">
        <v>2131</v>
      </c>
      <c r="E1" t="s">
        <v>2132</v>
      </c>
      <c r="F1" t="s">
        <v>2133</v>
      </c>
    </row>
    <row r="2" spans="1:6">
      <c r="A2" t="s">
        <v>2179</v>
      </c>
      <c r="B2" t="s">
        <v>2179</v>
      </c>
      <c r="C2" t="s">
        <v>2179</v>
      </c>
      <c r="D2" t="s">
        <v>2179</v>
      </c>
      <c r="E2" t="s">
        <v>2179</v>
      </c>
      <c r="F2" t="s">
        <v>2179</v>
      </c>
    </row>
    <row r="3" spans="1:6">
      <c r="A3" t="s">
        <v>2134</v>
      </c>
      <c r="B3" t="s">
        <v>2135</v>
      </c>
      <c r="C3" t="s">
        <v>2136</v>
      </c>
      <c r="D3" t="s">
        <v>2137</v>
      </c>
      <c r="E3" t="s">
        <v>2138</v>
      </c>
      <c r="F3" t="s">
        <v>2139</v>
      </c>
    </row>
    <row r="4" spans="1:6">
      <c r="A4" t="s">
        <v>2363</v>
      </c>
      <c r="B4" t="s">
        <v>2192</v>
      </c>
      <c r="C4" t="s">
        <v>2447</v>
      </c>
      <c r="D4" t="s">
        <v>2180</v>
      </c>
      <c r="E4" t="s">
        <v>2180</v>
      </c>
      <c r="F4" t="s">
        <v>2448</v>
      </c>
    </row>
    <row r="5" spans="1:6">
      <c r="A5" t="s">
        <v>2369</v>
      </c>
      <c r="B5" t="s">
        <v>2200</v>
      </c>
      <c r="C5" t="s">
        <v>2182</v>
      </c>
      <c r="D5" t="s">
        <v>2180</v>
      </c>
      <c r="E5" t="s">
        <v>2180</v>
      </c>
      <c r="F5" t="s">
        <v>2449</v>
      </c>
    </row>
    <row r="6" spans="1:6">
      <c r="A6" t="s">
        <v>2374</v>
      </c>
      <c r="B6" t="s">
        <v>2201</v>
      </c>
      <c r="C6" t="s">
        <v>2201</v>
      </c>
      <c r="D6" t="s">
        <v>2190</v>
      </c>
      <c r="E6" t="s">
        <v>2190</v>
      </c>
      <c r="F6" t="s">
        <v>2450</v>
      </c>
    </row>
    <row r="7" spans="1:6">
      <c r="A7" t="s">
        <v>2380</v>
      </c>
      <c r="B7" t="s">
        <v>2451</v>
      </c>
      <c r="C7" t="s">
        <v>2451</v>
      </c>
      <c r="D7" t="s">
        <v>2209</v>
      </c>
      <c r="E7" t="s">
        <v>2201</v>
      </c>
      <c r="F7" t="s">
        <v>2452</v>
      </c>
    </row>
    <row r="8" spans="1:6">
      <c r="A8" t="s">
        <v>2384</v>
      </c>
      <c r="B8" t="s">
        <v>2198</v>
      </c>
      <c r="C8" t="s">
        <v>2202</v>
      </c>
      <c r="D8" t="s">
        <v>2204</v>
      </c>
      <c r="E8" t="s">
        <v>2205</v>
      </c>
      <c r="F8" t="s">
        <v>2453</v>
      </c>
    </row>
    <row r="9" spans="1:6">
      <c r="A9" t="s">
        <v>2390</v>
      </c>
      <c r="B9" t="s">
        <v>2198</v>
      </c>
      <c r="C9" t="s">
        <v>2207</v>
      </c>
      <c r="D9" t="s">
        <v>2203</v>
      </c>
      <c r="E9" t="s">
        <v>2206</v>
      </c>
      <c r="F9" t="s">
        <v>2454</v>
      </c>
    </row>
    <row r="10" spans="1:6">
      <c r="A10" t="s">
        <v>2394</v>
      </c>
      <c r="B10" t="s">
        <v>2455</v>
      </c>
      <c r="C10" t="s">
        <v>2456</v>
      </c>
      <c r="D10" t="s">
        <v>2205</v>
      </c>
      <c r="E10" t="s">
        <v>2451</v>
      </c>
      <c r="F10" t="s">
        <v>2457</v>
      </c>
    </row>
    <row r="11" spans="1:6">
      <c r="A11" t="s">
        <v>2399</v>
      </c>
      <c r="B11" t="s">
        <v>2197</v>
      </c>
      <c r="C11" t="s">
        <v>2451</v>
      </c>
      <c r="D11" t="s">
        <v>2199</v>
      </c>
      <c r="E11" t="s">
        <v>2199</v>
      </c>
      <c r="F11" t="s">
        <v>2458</v>
      </c>
    </row>
    <row r="12" spans="1:6">
      <c r="A12" t="s">
        <v>2404</v>
      </c>
      <c r="B12" t="s">
        <v>2176</v>
      </c>
      <c r="C12" t="s">
        <v>2176</v>
      </c>
      <c r="D12" t="s">
        <v>2205</v>
      </c>
      <c r="E12" t="s">
        <v>2206</v>
      </c>
      <c r="F12" t="s">
        <v>2459</v>
      </c>
    </row>
    <row r="13" spans="1:6">
      <c r="A13" t="s">
        <v>2409</v>
      </c>
      <c r="B13" t="s">
        <v>2145</v>
      </c>
      <c r="C13" t="s">
        <v>2178</v>
      </c>
      <c r="D13" t="s">
        <v>2455</v>
      </c>
      <c r="E13" t="s">
        <v>2460</v>
      </c>
      <c r="F13" t="s">
        <v>2461</v>
      </c>
    </row>
    <row r="14" spans="1:6">
      <c r="A14" t="s">
        <v>2414</v>
      </c>
      <c r="B14" t="s">
        <v>2205</v>
      </c>
      <c r="C14" t="s">
        <v>2462</v>
      </c>
      <c r="D14" t="s">
        <v>2209</v>
      </c>
      <c r="E14" t="s">
        <v>2463</v>
      </c>
      <c r="F14" t="s">
        <v>2464</v>
      </c>
    </row>
    <row r="15" spans="1:6">
      <c r="A15" t="s">
        <v>2417</v>
      </c>
      <c r="B15" t="s">
        <v>2202</v>
      </c>
      <c r="C15" t="s">
        <v>2455</v>
      </c>
      <c r="D15" t="s">
        <v>2209</v>
      </c>
      <c r="E15" t="s">
        <v>2208</v>
      </c>
      <c r="F15" t="s">
        <v>2465</v>
      </c>
    </row>
    <row r="16" spans="1:6">
      <c r="A16" t="s">
        <v>2420</v>
      </c>
      <c r="B16" t="s">
        <v>2460</v>
      </c>
      <c r="C16" t="s">
        <v>2147</v>
      </c>
      <c r="D16" t="s">
        <v>2196</v>
      </c>
      <c r="E16" t="s">
        <v>2208</v>
      </c>
      <c r="F16" t="s">
        <v>2466</v>
      </c>
    </row>
    <row r="17" spans="1:6">
      <c r="A17" t="s">
        <v>2425</v>
      </c>
      <c r="B17" t="s">
        <v>2186</v>
      </c>
      <c r="C17" t="s">
        <v>2455</v>
      </c>
      <c r="D17" t="s">
        <v>2200</v>
      </c>
      <c r="E17" t="s">
        <v>2451</v>
      </c>
      <c r="F17" t="s">
        <v>2467</v>
      </c>
    </row>
    <row r="18" spans="1:6">
      <c r="A18" t="s">
        <v>2428</v>
      </c>
      <c r="B18" t="s">
        <v>2195</v>
      </c>
      <c r="C18" t="s">
        <v>2193</v>
      </c>
      <c r="D18" t="s">
        <v>2184</v>
      </c>
      <c r="E18" t="s">
        <v>2181</v>
      </c>
      <c r="F18" t="s">
        <v>2468</v>
      </c>
    </row>
    <row r="19" spans="1:6">
      <c r="A19" t="s">
        <v>2431</v>
      </c>
      <c r="B19" t="s">
        <v>2188</v>
      </c>
      <c r="C19" t="s">
        <v>2469</v>
      </c>
      <c r="D19" t="s">
        <v>2470</v>
      </c>
      <c r="E19" t="s">
        <v>2194</v>
      </c>
      <c r="F19" t="s">
        <v>2471</v>
      </c>
    </row>
    <row r="20" spans="1:6">
      <c r="A20" t="s">
        <v>2436</v>
      </c>
      <c r="B20" t="s">
        <v>2469</v>
      </c>
      <c r="C20" t="s">
        <v>2204</v>
      </c>
      <c r="D20" t="s">
        <v>2182</v>
      </c>
      <c r="E20" t="s">
        <v>2182</v>
      </c>
      <c r="F20" t="s">
        <v>2472</v>
      </c>
    </row>
    <row r="21" spans="1:6">
      <c r="A21" t="s">
        <v>2438</v>
      </c>
      <c r="B21" t="s">
        <v>2203</v>
      </c>
      <c r="C21" t="s">
        <v>2203</v>
      </c>
      <c r="D21" t="s">
        <v>2182</v>
      </c>
      <c r="E21" t="s">
        <v>2194</v>
      </c>
      <c r="F21" t="s">
        <v>2473</v>
      </c>
    </row>
    <row r="22" spans="1:6">
      <c r="A22" t="s">
        <v>2440</v>
      </c>
      <c r="B22" t="s">
        <v>2451</v>
      </c>
      <c r="C22" t="s">
        <v>2474</v>
      </c>
      <c r="D22" t="s">
        <v>2203</v>
      </c>
      <c r="E22" t="s">
        <v>2208</v>
      </c>
      <c r="F22" t="s">
        <v>2475</v>
      </c>
    </row>
    <row r="23" spans="1:6">
      <c r="A23" t="s">
        <v>2443</v>
      </c>
      <c r="B23" t="s">
        <v>2476</v>
      </c>
      <c r="C23" t="s">
        <v>2477</v>
      </c>
      <c r="D23" t="s">
        <v>2478</v>
      </c>
      <c r="E23" t="s">
        <v>2198</v>
      </c>
      <c r="F23" t="s">
        <v>2479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DE83-5910-4321-B6CA-B09B7A0327B8}">
  <dimension ref="A1:F23"/>
  <sheetViews>
    <sheetView workbookViewId="0"/>
  </sheetViews>
  <sheetFormatPr baseColWidth="10" defaultColWidth="8.83203125" defaultRowHeight="15"/>
  <cols>
    <col min="1" max="6" width="32.5" bestFit="1" customWidth="1"/>
  </cols>
  <sheetData>
    <row r="1" spans="1:6">
      <c r="A1" t="s">
        <v>2128</v>
      </c>
      <c r="B1" t="s">
        <v>2129</v>
      </c>
      <c r="C1" t="s">
        <v>2130</v>
      </c>
      <c r="D1" t="s">
        <v>2131</v>
      </c>
      <c r="E1" t="s">
        <v>2132</v>
      </c>
      <c r="F1" t="s">
        <v>2133</v>
      </c>
    </row>
    <row r="2" spans="1:6">
      <c r="A2" t="s">
        <v>2185</v>
      </c>
      <c r="B2" t="s">
        <v>2185</v>
      </c>
      <c r="C2" t="s">
        <v>2185</v>
      </c>
      <c r="D2" t="s">
        <v>2185</v>
      </c>
      <c r="E2" t="s">
        <v>2185</v>
      </c>
      <c r="F2" t="s">
        <v>2185</v>
      </c>
    </row>
    <row r="3" spans="1:6">
      <c r="A3" t="s">
        <v>2134</v>
      </c>
      <c r="B3" t="s">
        <v>2135</v>
      </c>
      <c r="C3" t="s">
        <v>2136</v>
      </c>
      <c r="D3" t="s">
        <v>2137</v>
      </c>
      <c r="E3" t="s">
        <v>2138</v>
      </c>
      <c r="F3" t="s">
        <v>2139</v>
      </c>
    </row>
    <row r="4" spans="1:6">
      <c r="A4" t="s">
        <v>2363</v>
      </c>
      <c r="B4" t="s">
        <v>2480</v>
      </c>
      <c r="C4" t="s">
        <v>2481</v>
      </c>
      <c r="D4" t="s">
        <v>2144</v>
      </c>
      <c r="E4" t="s">
        <v>2482</v>
      </c>
      <c r="F4" t="s">
        <v>2483</v>
      </c>
    </row>
    <row r="5" spans="1:6">
      <c r="A5" t="s">
        <v>2369</v>
      </c>
      <c r="B5" t="s">
        <v>2142</v>
      </c>
      <c r="C5" t="s">
        <v>2143</v>
      </c>
      <c r="D5" t="s">
        <v>2166</v>
      </c>
      <c r="E5" t="s">
        <v>2145</v>
      </c>
      <c r="F5" t="s">
        <v>2484</v>
      </c>
    </row>
    <row r="6" spans="1:6">
      <c r="A6" t="s">
        <v>2374</v>
      </c>
      <c r="B6" t="s">
        <v>2175</v>
      </c>
      <c r="C6" t="s">
        <v>2168</v>
      </c>
      <c r="D6" t="s">
        <v>2142</v>
      </c>
      <c r="E6" t="s">
        <v>2141</v>
      </c>
      <c r="F6" t="s">
        <v>2485</v>
      </c>
    </row>
    <row r="7" spans="1:6">
      <c r="A7" t="s">
        <v>2380</v>
      </c>
      <c r="B7" t="s">
        <v>2486</v>
      </c>
      <c r="C7" t="s">
        <v>2169</v>
      </c>
      <c r="D7" t="s">
        <v>2140</v>
      </c>
      <c r="E7" t="s">
        <v>2177</v>
      </c>
      <c r="F7" t="s">
        <v>2487</v>
      </c>
    </row>
    <row r="8" spans="1:6">
      <c r="A8" t="s">
        <v>2384</v>
      </c>
      <c r="B8" t="s">
        <v>2488</v>
      </c>
      <c r="C8" t="s">
        <v>2486</v>
      </c>
      <c r="D8" t="s">
        <v>2176</v>
      </c>
      <c r="E8" t="s">
        <v>2489</v>
      </c>
      <c r="F8" t="s">
        <v>2490</v>
      </c>
    </row>
    <row r="9" spans="1:6">
      <c r="A9" t="s">
        <v>2390</v>
      </c>
      <c r="B9" t="s">
        <v>2491</v>
      </c>
      <c r="C9" t="s">
        <v>2488</v>
      </c>
      <c r="D9" t="s">
        <v>2491</v>
      </c>
      <c r="E9" t="s">
        <v>2176</v>
      </c>
      <c r="F9" t="s">
        <v>2492</v>
      </c>
    </row>
    <row r="10" spans="1:6">
      <c r="A10" t="s">
        <v>2394</v>
      </c>
      <c r="B10" t="s">
        <v>2493</v>
      </c>
      <c r="C10" t="s">
        <v>2494</v>
      </c>
      <c r="D10" t="s">
        <v>2491</v>
      </c>
      <c r="E10" t="s">
        <v>2477</v>
      </c>
      <c r="F10" t="s">
        <v>2495</v>
      </c>
    </row>
    <row r="11" spans="1:6">
      <c r="A11" t="s">
        <v>2399</v>
      </c>
      <c r="B11" t="s">
        <v>2496</v>
      </c>
      <c r="C11" t="s">
        <v>2144</v>
      </c>
      <c r="D11" t="s">
        <v>2496</v>
      </c>
      <c r="E11" t="s">
        <v>2494</v>
      </c>
      <c r="F11" t="s">
        <v>2497</v>
      </c>
    </row>
    <row r="12" spans="1:6">
      <c r="A12" t="s">
        <v>2404</v>
      </c>
      <c r="B12" t="s">
        <v>2488</v>
      </c>
      <c r="C12" t="s">
        <v>2498</v>
      </c>
      <c r="D12" t="s">
        <v>2477</v>
      </c>
      <c r="E12" t="s">
        <v>2499</v>
      </c>
      <c r="F12" t="s">
        <v>2500</v>
      </c>
    </row>
    <row r="13" spans="1:6">
      <c r="A13" t="s">
        <v>2409</v>
      </c>
      <c r="B13" t="s">
        <v>2489</v>
      </c>
      <c r="C13" t="s">
        <v>2145</v>
      </c>
      <c r="D13" t="s">
        <v>2501</v>
      </c>
      <c r="E13" t="s">
        <v>2462</v>
      </c>
      <c r="F13" t="s">
        <v>2502</v>
      </c>
    </row>
    <row r="14" spans="1:6">
      <c r="A14" t="s">
        <v>2414</v>
      </c>
      <c r="B14" t="s">
        <v>2167</v>
      </c>
      <c r="C14" t="s">
        <v>2143</v>
      </c>
      <c r="D14" t="s">
        <v>2456</v>
      </c>
      <c r="E14" t="s">
        <v>2165</v>
      </c>
      <c r="F14" t="s">
        <v>2503</v>
      </c>
    </row>
    <row r="15" spans="1:6">
      <c r="A15" t="s">
        <v>2417</v>
      </c>
      <c r="B15" t="s">
        <v>2144</v>
      </c>
      <c r="C15" t="s">
        <v>2170</v>
      </c>
      <c r="D15" t="s">
        <v>2488</v>
      </c>
      <c r="E15" t="s">
        <v>2174</v>
      </c>
      <c r="F15" t="s">
        <v>2504</v>
      </c>
    </row>
    <row r="16" spans="1:6">
      <c r="A16" t="s">
        <v>2420</v>
      </c>
      <c r="B16" t="s">
        <v>2167</v>
      </c>
      <c r="C16" t="s">
        <v>2143</v>
      </c>
      <c r="D16" t="s">
        <v>2147</v>
      </c>
      <c r="E16" t="s">
        <v>2498</v>
      </c>
      <c r="F16" t="s">
        <v>2505</v>
      </c>
    </row>
    <row r="17" spans="1:6">
      <c r="A17" t="s">
        <v>2425</v>
      </c>
      <c r="B17" t="s">
        <v>2143</v>
      </c>
      <c r="C17" t="s">
        <v>2506</v>
      </c>
      <c r="D17" t="s">
        <v>2145</v>
      </c>
      <c r="E17" t="s">
        <v>2177</v>
      </c>
      <c r="F17" t="s">
        <v>2507</v>
      </c>
    </row>
    <row r="18" spans="1:6">
      <c r="A18" t="s">
        <v>2428</v>
      </c>
      <c r="B18" t="s">
        <v>2508</v>
      </c>
      <c r="C18" t="s">
        <v>2509</v>
      </c>
      <c r="D18" t="s">
        <v>2146</v>
      </c>
      <c r="E18" t="s">
        <v>2146</v>
      </c>
      <c r="F18" t="s">
        <v>2510</v>
      </c>
    </row>
    <row r="19" spans="1:6">
      <c r="A19" t="s">
        <v>2431</v>
      </c>
      <c r="B19" t="s">
        <v>2488</v>
      </c>
      <c r="C19" t="s">
        <v>2171</v>
      </c>
      <c r="D19" t="s">
        <v>2460</v>
      </c>
      <c r="E19" t="s">
        <v>2173</v>
      </c>
      <c r="F19" t="s">
        <v>2511</v>
      </c>
    </row>
    <row r="20" spans="1:6">
      <c r="A20" t="s">
        <v>2436</v>
      </c>
      <c r="B20" t="s">
        <v>2488</v>
      </c>
      <c r="C20" t="s">
        <v>2172</v>
      </c>
      <c r="D20" t="s">
        <v>2456</v>
      </c>
      <c r="E20" t="s">
        <v>2145</v>
      </c>
      <c r="F20" t="s">
        <v>2512</v>
      </c>
    </row>
    <row r="21" spans="1:6">
      <c r="A21" t="s">
        <v>2438</v>
      </c>
      <c r="B21" t="s">
        <v>2148</v>
      </c>
      <c r="C21" t="s">
        <v>2513</v>
      </c>
      <c r="D21" t="s">
        <v>2514</v>
      </c>
      <c r="E21" t="s">
        <v>2477</v>
      </c>
      <c r="F21" t="s">
        <v>2515</v>
      </c>
    </row>
    <row r="22" spans="1:6">
      <c r="A22" t="s">
        <v>2440</v>
      </c>
      <c r="B22" t="s">
        <v>2198</v>
      </c>
      <c r="C22" t="s">
        <v>2498</v>
      </c>
      <c r="D22" t="s">
        <v>2205</v>
      </c>
      <c r="E22" t="s">
        <v>2176</v>
      </c>
      <c r="F22" t="s">
        <v>2516</v>
      </c>
    </row>
    <row r="23" spans="1:6">
      <c r="A23" t="s">
        <v>2443</v>
      </c>
      <c r="B23" t="s">
        <v>2204</v>
      </c>
      <c r="C23" t="s">
        <v>2207</v>
      </c>
      <c r="D23" t="s">
        <v>2195</v>
      </c>
      <c r="E23" t="s">
        <v>2195</v>
      </c>
      <c r="F23" t="s">
        <v>2517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E2123-4563-4494-88C3-9FD40F170F28}">
  <dimension ref="A1:F23"/>
  <sheetViews>
    <sheetView workbookViewId="0"/>
  </sheetViews>
  <sheetFormatPr baseColWidth="10" defaultColWidth="8.83203125" defaultRowHeight="15"/>
  <cols>
    <col min="1" max="6" width="32.5" bestFit="1" customWidth="1"/>
  </cols>
  <sheetData>
    <row r="1" spans="1:6">
      <c r="A1" t="s">
        <v>2128</v>
      </c>
      <c r="B1" t="s">
        <v>2129</v>
      </c>
      <c r="C1" t="s">
        <v>2130</v>
      </c>
      <c r="D1" t="s">
        <v>2131</v>
      </c>
      <c r="E1" t="s">
        <v>2132</v>
      </c>
      <c r="F1" t="s">
        <v>2133</v>
      </c>
    </row>
    <row r="2" spans="1:6">
      <c r="A2" t="s">
        <v>2162</v>
      </c>
      <c r="B2" t="s">
        <v>2162</v>
      </c>
      <c r="C2" t="s">
        <v>2162</v>
      </c>
      <c r="D2" t="s">
        <v>2162</v>
      </c>
      <c r="E2" t="s">
        <v>2162</v>
      </c>
      <c r="F2" t="s">
        <v>2162</v>
      </c>
    </row>
    <row r="3" spans="1:6">
      <c r="A3" t="s">
        <v>2134</v>
      </c>
      <c r="B3" t="s">
        <v>2135</v>
      </c>
      <c r="C3" t="s">
        <v>2136</v>
      </c>
      <c r="D3" t="s">
        <v>2137</v>
      </c>
      <c r="E3" t="s">
        <v>2138</v>
      </c>
      <c r="F3" t="s">
        <v>2139</v>
      </c>
    </row>
    <row r="4" spans="1:6">
      <c r="A4" t="s">
        <v>2363</v>
      </c>
      <c r="B4" t="s">
        <v>2518</v>
      </c>
      <c r="C4" t="s">
        <v>2519</v>
      </c>
      <c r="D4" t="s">
        <v>2520</v>
      </c>
      <c r="E4" t="s">
        <v>2521</v>
      </c>
      <c r="F4" t="s">
        <v>2522</v>
      </c>
    </row>
    <row r="5" spans="1:6">
      <c r="A5" t="s">
        <v>2369</v>
      </c>
      <c r="B5" t="s">
        <v>2523</v>
      </c>
      <c r="C5" t="s">
        <v>2524</v>
      </c>
      <c r="D5" t="s">
        <v>2525</v>
      </c>
      <c r="E5" t="s">
        <v>2526</v>
      </c>
      <c r="F5" t="s">
        <v>2527</v>
      </c>
    </row>
    <row r="6" spans="1:6">
      <c r="A6" t="s">
        <v>2374</v>
      </c>
      <c r="B6" t="s">
        <v>2528</v>
      </c>
      <c r="C6" t="s">
        <v>2519</v>
      </c>
      <c r="D6" t="s">
        <v>2529</v>
      </c>
      <c r="E6" t="s">
        <v>2530</v>
      </c>
      <c r="F6" t="s">
        <v>2531</v>
      </c>
    </row>
    <row r="7" spans="1:6">
      <c r="A7" t="s">
        <v>2380</v>
      </c>
      <c r="B7" t="s">
        <v>2532</v>
      </c>
      <c r="C7" t="s">
        <v>2533</v>
      </c>
      <c r="D7" t="s">
        <v>2534</v>
      </c>
      <c r="E7" t="s">
        <v>2535</v>
      </c>
      <c r="F7" t="s">
        <v>2536</v>
      </c>
    </row>
    <row r="8" spans="1:6">
      <c r="A8" t="s">
        <v>2384</v>
      </c>
      <c r="B8" t="s">
        <v>2537</v>
      </c>
      <c r="C8" t="s">
        <v>2538</v>
      </c>
      <c r="D8" t="s">
        <v>2539</v>
      </c>
      <c r="E8" t="s">
        <v>2526</v>
      </c>
      <c r="F8" t="s">
        <v>2540</v>
      </c>
    </row>
    <row r="9" spans="1:6">
      <c r="A9" t="s">
        <v>2390</v>
      </c>
      <c r="B9" t="s">
        <v>2541</v>
      </c>
      <c r="C9" t="s">
        <v>2542</v>
      </c>
      <c r="D9" t="s">
        <v>2541</v>
      </c>
      <c r="E9" t="s">
        <v>2543</v>
      </c>
      <c r="F9" t="s">
        <v>2544</v>
      </c>
    </row>
    <row r="10" spans="1:6">
      <c r="A10" t="s">
        <v>2394</v>
      </c>
      <c r="B10" t="s">
        <v>2545</v>
      </c>
      <c r="C10" t="s">
        <v>2545</v>
      </c>
      <c r="D10" t="s">
        <v>2546</v>
      </c>
      <c r="E10" t="s">
        <v>2547</v>
      </c>
      <c r="F10" t="s">
        <v>2548</v>
      </c>
    </row>
    <row r="11" spans="1:6">
      <c r="A11" t="s">
        <v>2399</v>
      </c>
      <c r="B11" t="s">
        <v>2521</v>
      </c>
      <c r="C11" t="s">
        <v>2549</v>
      </c>
      <c r="D11" t="s">
        <v>2550</v>
      </c>
      <c r="E11" t="s">
        <v>2541</v>
      </c>
      <c r="F11" t="s">
        <v>2551</v>
      </c>
    </row>
    <row r="12" spans="1:6">
      <c r="A12" t="s">
        <v>2404</v>
      </c>
      <c r="B12" t="s">
        <v>2552</v>
      </c>
      <c r="C12" t="s">
        <v>2552</v>
      </c>
      <c r="D12" t="s">
        <v>2553</v>
      </c>
      <c r="E12" t="s">
        <v>2554</v>
      </c>
      <c r="F12" t="s">
        <v>2555</v>
      </c>
    </row>
    <row r="13" spans="1:6">
      <c r="A13" t="s">
        <v>2409</v>
      </c>
      <c r="B13" t="s">
        <v>2541</v>
      </c>
      <c r="C13" t="s">
        <v>2556</v>
      </c>
      <c r="D13" t="s">
        <v>2520</v>
      </c>
      <c r="E13" t="s">
        <v>2556</v>
      </c>
      <c r="F13" t="s">
        <v>2557</v>
      </c>
    </row>
    <row r="14" spans="1:6">
      <c r="A14" t="s">
        <v>2414</v>
      </c>
      <c r="B14" t="s">
        <v>2558</v>
      </c>
      <c r="C14" t="s">
        <v>2558</v>
      </c>
      <c r="D14" t="s">
        <v>2550</v>
      </c>
      <c r="E14" t="s">
        <v>2559</v>
      </c>
      <c r="F14" t="s">
        <v>2560</v>
      </c>
    </row>
    <row r="15" spans="1:6">
      <c r="A15" t="s">
        <v>2417</v>
      </c>
      <c r="B15" t="s">
        <v>2541</v>
      </c>
      <c r="C15" t="s">
        <v>2561</v>
      </c>
      <c r="D15" t="s">
        <v>2562</v>
      </c>
      <c r="E15" t="s">
        <v>2558</v>
      </c>
      <c r="F15" t="s">
        <v>2563</v>
      </c>
    </row>
    <row r="16" spans="1:6">
      <c r="A16" t="s">
        <v>2420</v>
      </c>
      <c r="B16" t="s">
        <v>2550</v>
      </c>
      <c r="C16" t="s">
        <v>2552</v>
      </c>
      <c r="D16" t="s">
        <v>2564</v>
      </c>
      <c r="E16" t="s">
        <v>2554</v>
      </c>
      <c r="F16" t="s">
        <v>2565</v>
      </c>
    </row>
    <row r="17" spans="1:6">
      <c r="A17" t="s">
        <v>2425</v>
      </c>
      <c r="B17" t="s">
        <v>2566</v>
      </c>
      <c r="C17" t="s">
        <v>2567</v>
      </c>
      <c r="D17" t="s">
        <v>2568</v>
      </c>
      <c r="E17" t="s">
        <v>2547</v>
      </c>
      <c r="F17" t="s">
        <v>2569</v>
      </c>
    </row>
    <row r="18" spans="1:6">
      <c r="A18" t="s">
        <v>2428</v>
      </c>
      <c r="B18" t="s">
        <v>2570</v>
      </c>
      <c r="C18" t="s">
        <v>2571</v>
      </c>
      <c r="D18" t="s">
        <v>2572</v>
      </c>
      <c r="E18" t="s">
        <v>2571</v>
      </c>
      <c r="F18" t="s">
        <v>2573</v>
      </c>
    </row>
    <row r="19" spans="1:6">
      <c r="A19" t="s">
        <v>2431</v>
      </c>
      <c r="B19" t="s">
        <v>2202</v>
      </c>
      <c r="C19" t="s">
        <v>2172</v>
      </c>
      <c r="D19" t="s">
        <v>2207</v>
      </c>
      <c r="E19" t="s">
        <v>2172</v>
      </c>
      <c r="F19" t="s">
        <v>2574</v>
      </c>
    </row>
    <row r="20" spans="1:6">
      <c r="A20" t="s">
        <v>2436</v>
      </c>
      <c r="B20" t="s">
        <v>2187</v>
      </c>
      <c r="C20" t="s">
        <v>2197</v>
      </c>
      <c r="D20" t="s">
        <v>2189</v>
      </c>
      <c r="E20" t="s">
        <v>2203</v>
      </c>
      <c r="F20" t="s">
        <v>2575</v>
      </c>
    </row>
    <row r="21" spans="1:6">
      <c r="A21" t="s">
        <v>2438</v>
      </c>
      <c r="B21" t="s">
        <v>2184</v>
      </c>
      <c r="C21" t="s">
        <v>2576</v>
      </c>
      <c r="D21" t="s">
        <v>2577</v>
      </c>
      <c r="E21" t="s">
        <v>2578</v>
      </c>
      <c r="F21" t="s">
        <v>2579</v>
      </c>
    </row>
    <row r="22" spans="1:6">
      <c r="A22" t="s">
        <v>2440</v>
      </c>
      <c r="B22" t="s">
        <v>2580</v>
      </c>
      <c r="C22" t="s">
        <v>2180</v>
      </c>
      <c r="D22" t="s">
        <v>2581</v>
      </c>
      <c r="E22" t="s">
        <v>2191</v>
      </c>
      <c r="F22" t="s">
        <v>2582</v>
      </c>
    </row>
    <row r="23" spans="1:6">
      <c r="A23" t="s">
        <v>2443</v>
      </c>
      <c r="B23" t="s">
        <v>2183</v>
      </c>
      <c r="C23" t="s">
        <v>2583</v>
      </c>
      <c r="D23" t="s">
        <v>2163</v>
      </c>
      <c r="E23" t="s">
        <v>2581</v>
      </c>
      <c r="F23" t="s">
        <v>2584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DE9D7-AF41-4248-8C37-E52CFAE49129}">
  <dimension ref="A1:F23"/>
  <sheetViews>
    <sheetView workbookViewId="0">
      <selection activeCell="E24" sqref="E24"/>
    </sheetView>
  </sheetViews>
  <sheetFormatPr baseColWidth="10" defaultColWidth="8.83203125" defaultRowHeight="15"/>
  <cols>
    <col min="1" max="6" width="36.6640625" bestFit="1" customWidth="1"/>
  </cols>
  <sheetData>
    <row r="1" spans="1:6">
      <c r="A1" t="s">
        <v>2128</v>
      </c>
      <c r="B1" t="s">
        <v>2129</v>
      </c>
      <c r="C1" t="s">
        <v>2130</v>
      </c>
      <c r="D1" t="s">
        <v>2131</v>
      </c>
      <c r="E1" t="s">
        <v>2132</v>
      </c>
      <c r="F1" t="s">
        <v>2133</v>
      </c>
    </row>
    <row r="2" spans="1:6">
      <c r="A2" t="s">
        <v>2164</v>
      </c>
      <c r="B2" t="s">
        <v>2164</v>
      </c>
      <c r="C2" t="s">
        <v>2164</v>
      </c>
      <c r="D2" t="s">
        <v>2164</v>
      </c>
      <c r="E2" t="s">
        <v>2164</v>
      </c>
      <c r="F2" t="s">
        <v>2164</v>
      </c>
    </row>
    <row r="3" spans="1:6">
      <c r="A3" t="s">
        <v>2134</v>
      </c>
      <c r="B3" t="s">
        <v>2135</v>
      </c>
      <c r="C3" t="s">
        <v>2136</v>
      </c>
      <c r="D3" t="s">
        <v>2137</v>
      </c>
      <c r="E3" t="s">
        <v>2138</v>
      </c>
      <c r="F3" t="s">
        <v>2139</v>
      </c>
    </row>
    <row r="4" spans="1:6">
      <c r="A4" t="s">
        <v>2363</v>
      </c>
      <c r="B4" t="s">
        <v>2585</v>
      </c>
      <c r="C4" t="s">
        <v>2586</v>
      </c>
      <c r="D4" t="s">
        <v>2529</v>
      </c>
      <c r="E4" t="s">
        <v>2587</v>
      </c>
      <c r="F4" t="s">
        <v>2588</v>
      </c>
    </row>
    <row r="5" spans="1:6">
      <c r="A5" t="s">
        <v>2369</v>
      </c>
      <c r="B5" t="s">
        <v>2589</v>
      </c>
      <c r="C5" t="s">
        <v>2590</v>
      </c>
      <c r="D5" t="s">
        <v>2591</v>
      </c>
      <c r="E5" t="s">
        <v>2592</v>
      </c>
      <c r="F5" t="s">
        <v>2593</v>
      </c>
    </row>
    <row r="6" spans="1:6">
      <c r="A6" t="s">
        <v>2374</v>
      </c>
      <c r="B6" t="s">
        <v>2529</v>
      </c>
      <c r="C6" t="s">
        <v>2594</v>
      </c>
      <c r="D6" t="s">
        <v>2595</v>
      </c>
      <c r="E6" t="s">
        <v>2529</v>
      </c>
      <c r="F6" t="s">
        <v>2596</v>
      </c>
    </row>
    <row r="7" spans="1:6">
      <c r="A7" t="s">
        <v>2380</v>
      </c>
      <c r="B7" t="s">
        <v>2597</v>
      </c>
      <c r="C7" t="s">
        <v>2598</v>
      </c>
      <c r="D7" t="s">
        <v>2599</v>
      </c>
      <c r="E7" t="s">
        <v>2595</v>
      </c>
      <c r="F7" t="s">
        <v>2600</v>
      </c>
    </row>
    <row r="8" spans="1:6">
      <c r="A8" t="s">
        <v>2384</v>
      </c>
      <c r="B8" t="s">
        <v>2601</v>
      </c>
      <c r="C8" t="s">
        <v>2539</v>
      </c>
      <c r="D8" t="s">
        <v>2552</v>
      </c>
      <c r="E8" t="s">
        <v>2602</v>
      </c>
      <c r="F8" t="s">
        <v>2603</v>
      </c>
    </row>
    <row r="9" spans="1:6">
      <c r="A9" t="s">
        <v>2390</v>
      </c>
      <c r="B9" t="s">
        <v>2521</v>
      </c>
      <c r="C9" t="s">
        <v>2549</v>
      </c>
      <c r="D9" t="s">
        <v>2547</v>
      </c>
      <c r="E9" t="s">
        <v>2604</v>
      </c>
      <c r="F9" t="s">
        <v>2605</v>
      </c>
    </row>
    <row r="10" spans="1:6">
      <c r="A10" t="s">
        <v>2394</v>
      </c>
      <c r="B10" t="s">
        <v>2606</v>
      </c>
      <c r="C10" t="s">
        <v>2607</v>
      </c>
      <c r="D10" t="s">
        <v>2547</v>
      </c>
      <c r="E10" t="s">
        <v>2608</v>
      </c>
      <c r="F10" t="s">
        <v>2609</v>
      </c>
    </row>
    <row r="11" spans="1:6">
      <c r="A11" t="s">
        <v>2399</v>
      </c>
      <c r="B11" t="s">
        <v>2610</v>
      </c>
      <c r="C11" t="s">
        <v>2543</v>
      </c>
      <c r="D11" t="s">
        <v>2520</v>
      </c>
      <c r="E11" t="s">
        <v>2611</v>
      </c>
      <c r="F11" t="s">
        <v>2612</v>
      </c>
    </row>
    <row r="12" spans="1:6">
      <c r="A12" t="s">
        <v>2404</v>
      </c>
      <c r="B12" t="s">
        <v>2546</v>
      </c>
      <c r="C12" t="s">
        <v>2554</v>
      </c>
      <c r="D12" t="s">
        <v>2613</v>
      </c>
      <c r="E12" t="s">
        <v>2614</v>
      </c>
      <c r="F12" t="s">
        <v>2615</v>
      </c>
    </row>
    <row r="13" spans="1:6">
      <c r="A13" t="s">
        <v>2409</v>
      </c>
      <c r="B13" t="s">
        <v>2604</v>
      </c>
      <c r="C13" t="s">
        <v>2556</v>
      </c>
      <c r="D13" t="s">
        <v>2616</v>
      </c>
      <c r="E13" t="s">
        <v>2610</v>
      </c>
      <c r="F13" t="s">
        <v>2617</v>
      </c>
    </row>
    <row r="14" spans="1:6">
      <c r="A14" t="s">
        <v>2414</v>
      </c>
      <c r="B14" t="s">
        <v>2618</v>
      </c>
      <c r="C14" t="s">
        <v>2618</v>
      </c>
      <c r="D14" t="s">
        <v>2619</v>
      </c>
      <c r="E14" t="s">
        <v>2610</v>
      </c>
      <c r="F14" t="s">
        <v>2620</v>
      </c>
    </row>
    <row r="15" spans="1:6">
      <c r="A15" t="s">
        <v>2417</v>
      </c>
      <c r="B15" t="s">
        <v>2547</v>
      </c>
      <c r="C15" t="s">
        <v>2621</v>
      </c>
      <c r="D15" t="s">
        <v>2559</v>
      </c>
      <c r="E15" t="s">
        <v>2622</v>
      </c>
      <c r="F15" t="s">
        <v>2623</v>
      </c>
    </row>
    <row r="16" spans="1:6">
      <c r="A16" t="s">
        <v>2420</v>
      </c>
      <c r="B16" t="s">
        <v>2567</v>
      </c>
      <c r="C16" t="s">
        <v>2611</v>
      </c>
      <c r="D16" t="s">
        <v>2624</v>
      </c>
      <c r="E16" t="s">
        <v>2554</v>
      </c>
      <c r="F16" t="s">
        <v>2625</v>
      </c>
    </row>
    <row r="17" spans="1:6">
      <c r="A17" t="s">
        <v>2425</v>
      </c>
      <c r="B17" t="s">
        <v>2558</v>
      </c>
      <c r="C17" t="s">
        <v>2626</v>
      </c>
      <c r="D17" t="s">
        <v>2608</v>
      </c>
      <c r="E17" t="s">
        <v>2627</v>
      </c>
      <c r="F17" t="s">
        <v>2628</v>
      </c>
    </row>
    <row r="18" spans="1:6">
      <c r="A18" t="s">
        <v>2428</v>
      </c>
      <c r="B18" t="s">
        <v>2542</v>
      </c>
      <c r="C18" t="s">
        <v>2629</v>
      </c>
      <c r="D18" t="s">
        <v>2611</v>
      </c>
      <c r="E18" t="s">
        <v>2597</v>
      </c>
      <c r="F18" t="s">
        <v>2630</v>
      </c>
    </row>
    <row r="19" spans="1:6">
      <c r="A19" t="s">
        <v>2431</v>
      </c>
      <c r="B19" t="s">
        <v>2546</v>
      </c>
      <c r="C19" t="s">
        <v>2558</v>
      </c>
      <c r="D19" t="s">
        <v>2564</v>
      </c>
      <c r="E19" t="s">
        <v>2631</v>
      </c>
      <c r="F19" t="s">
        <v>2632</v>
      </c>
    </row>
    <row r="20" spans="1:6">
      <c r="A20" t="s">
        <v>2436</v>
      </c>
      <c r="B20" t="s">
        <v>2547</v>
      </c>
      <c r="C20" t="s">
        <v>2597</v>
      </c>
      <c r="D20" t="s">
        <v>2550</v>
      </c>
      <c r="E20" t="s">
        <v>2550</v>
      </c>
      <c r="F20" t="s">
        <v>2633</v>
      </c>
    </row>
    <row r="21" spans="1:6">
      <c r="A21" t="s">
        <v>2438</v>
      </c>
      <c r="B21" t="s">
        <v>2634</v>
      </c>
      <c r="C21" t="s">
        <v>2594</v>
      </c>
      <c r="D21" t="s">
        <v>2614</v>
      </c>
      <c r="E21" t="s">
        <v>2614</v>
      </c>
      <c r="F21" t="s">
        <v>2635</v>
      </c>
    </row>
    <row r="22" spans="1:6">
      <c r="A22" t="s">
        <v>2440</v>
      </c>
      <c r="B22" t="s">
        <v>2613</v>
      </c>
      <c r="C22" t="s">
        <v>2556</v>
      </c>
      <c r="D22" t="s">
        <v>2636</v>
      </c>
      <c r="E22" t="s">
        <v>2637</v>
      </c>
      <c r="F22" t="s">
        <v>2638</v>
      </c>
    </row>
    <row r="23" spans="1:6">
      <c r="A23" t="s">
        <v>2443</v>
      </c>
      <c r="B23" t="s">
        <v>2639</v>
      </c>
      <c r="C23" t="s">
        <v>2640</v>
      </c>
      <c r="D23" t="s">
        <v>2641</v>
      </c>
      <c r="E23" t="s">
        <v>2642</v>
      </c>
      <c r="F23" t="s">
        <v>2643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856AED-0C97-4D63-8D46-1EA98FBA6B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31</vt:i4>
      </vt:variant>
      <vt:variant>
        <vt:lpstr>具名範圍</vt:lpstr>
      </vt:variant>
      <vt:variant>
        <vt:i4>1779</vt:i4>
      </vt:variant>
    </vt:vector>
  </HeadingPairs>
  <TitlesOfParts>
    <vt:vector size="1810" baseType="lpstr">
      <vt:lpstr>Input</vt:lpstr>
      <vt:lpstr>上市櫃產業類股當日指數</vt:lpstr>
      <vt:lpstr>財務比率</vt:lpstr>
      <vt:lpstr>最新季獲利能力比較繪圖</vt:lpstr>
      <vt:lpstr>評價分析</vt:lpstr>
      <vt:lpstr>個股歷史本益比</vt:lpstr>
      <vt:lpstr>股價評價分析(均價法)</vt:lpstr>
      <vt:lpstr>財務比率計算</vt:lpstr>
      <vt:lpstr>EPS資料</vt:lpstr>
      <vt:lpstr>YoY</vt:lpstr>
      <vt:lpstr>產業別</vt:lpstr>
      <vt:lpstr>歷史本益比整合</vt:lpstr>
      <vt:lpstr>上市公司歷史本益比</vt:lpstr>
      <vt:lpstr>上櫃公司歷史本益比</vt:lpstr>
      <vt:lpstr>上市產業類股</vt:lpstr>
      <vt:lpstr>上櫃產業類股</vt:lpstr>
      <vt:lpstr>stock1 BS</vt:lpstr>
      <vt:lpstr>stock1 IS</vt:lpstr>
      <vt:lpstr>stock2 BS</vt:lpstr>
      <vt:lpstr>stock2 IS</vt:lpstr>
      <vt:lpstr>stock3 BS</vt:lpstr>
      <vt:lpstr>stock3 IS</vt:lpstr>
      <vt:lpstr>stock4 BS</vt:lpstr>
      <vt:lpstr>stock4 IS</vt:lpstr>
      <vt:lpstr>stock5 BS</vt:lpstr>
      <vt:lpstr>stock5 IS</vt:lpstr>
      <vt:lpstr>Stock1</vt:lpstr>
      <vt:lpstr>Stock2</vt:lpstr>
      <vt:lpstr>Stock3</vt:lpstr>
      <vt:lpstr>Stock4</vt:lpstr>
      <vt:lpstr>Stock5</vt:lpstr>
      <vt:lpstr>EPS資料!外部資料_1</vt:lpstr>
      <vt:lpstr>上市公司歷史本益比!外部資料_1</vt:lpstr>
      <vt:lpstr>上櫃公司歷史本益比!外部資料_1</vt:lpstr>
      <vt:lpstr>EPS資料!外部資料_10</vt:lpstr>
      <vt:lpstr>EPS資料!外部資料_100</vt:lpstr>
      <vt:lpstr>EPS資料!外部資料_1000</vt:lpstr>
      <vt:lpstr>EPS資料!外部資料_1001</vt:lpstr>
      <vt:lpstr>EPS資料!外部資料_1002</vt:lpstr>
      <vt:lpstr>EPS資料!外部資料_1003</vt:lpstr>
      <vt:lpstr>EPS資料!外部資料_1004</vt:lpstr>
      <vt:lpstr>EPS資料!外部資料_1005</vt:lpstr>
      <vt:lpstr>EPS資料!外部資料_1006</vt:lpstr>
      <vt:lpstr>EPS資料!外部資料_1007</vt:lpstr>
      <vt:lpstr>EPS資料!外部資料_1008</vt:lpstr>
      <vt:lpstr>EPS資料!外部資料_1009</vt:lpstr>
      <vt:lpstr>EPS資料!外部資料_101</vt:lpstr>
      <vt:lpstr>EPS資料!外部資料_1010</vt:lpstr>
      <vt:lpstr>EPS資料!外部資料_1011</vt:lpstr>
      <vt:lpstr>EPS資料!外部資料_1012</vt:lpstr>
      <vt:lpstr>EPS資料!外部資料_1013</vt:lpstr>
      <vt:lpstr>EPS資料!外部資料_1014</vt:lpstr>
      <vt:lpstr>EPS資料!外部資料_1015</vt:lpstr>
      <vt:lpstr>EPS資料!外部資料_1016</vt:lpstr>
      <vt:lpstr>EPS資料!外部資料_1017</vt:lpstr>
      <vt:lpstr>EPS資料!外部資料_1018</vt:lpstr>
      <vt:lpstr>EPS資料!外部資料_1019</vt:lpstr>
      <vt:lpstr>EPS資料!外部資料_102</vt:lpstr>
      <vt:lpstr>EPS資料!外部資料_1020</vt:lpstr>
      <vt:lpstr>EPS資料!外部資料_1021</vt:lpstr>
      <vt:lpstr>EPS資料!外部資料_1022</vt:lpstr>
      <vt:lpstr>EPS資料!外部資料_1023</vt:lpstr>
      <vt:lpstr>EPS資料!外部資料_1024</vt:lpstr>
      <vt:lpstr>EPS資料!外部資料_1025</vt:lpstr>
      <vt:lpstr>EPS資料!外部資料_1026</vt:lpstr>
      <vt:lpstr>EPS資料!外部資料_1027</vt:lpstr>
      <vt:lpstr>EPS資料!外部資料_1028</vt:lpstr>
      <vt:lpstr>EPS資料!外部資料_1029</vt:lpstr>
      <vt:lpstr>EPS資料!外部資料_103</vt:lpstr>
      <vt:lpstr>EPS資料!外部資料_1030</vt:lpstr>
      <vt:lpstr>EPS資料!外部資料_1031</vt:lpstr>
      <vt:lpstr>EPS資料!外部資料_1032</vt:lpstr>
      <vt:lpstr>EPS資料!外部資料_1033</vt:lpstr>
      <vt:lpstr>EPS資料!外部資料_1034</vt:lpstr>
      <vt:lpstr>EPS資料!外部資料_1035</vt:lpstr>
      <vt:lpstr>EPS資料!外部資料_1036</vt:lpstr>
      <vt:lpstr>EPS資料!外部資料_1037</vt:lpstr>
      <vt:lpstr>EPS資料!外部資料_1038</vt:lpstr>
      <vt:lpstr>EPS資料!外部資料_1039</vt:lpstr>
      <vt:lpstr>EPS資料!外部資料_104</vt:lpstr>
      <vt:lpstr>EPS資料!外部資料_1040</vt:lpstr>
      <vt:lpstr>EPS資料!外部資料_1041</vt:lpstr>
      <vt:lpstr>EPS資料!外部資料_1042</vt:lpstr>
      <vt:lpstr>EPS資料!外部資料_1043</vt:lpstr>
      <vt:lpstr>EPS資料!外部資料_1044</vt:lpstr>
      <vt:lpstr>EPS資料!外部資料_1045</vt:lpstr>
      <vt:lpstr>EPS資料!外部資料_1046</vt:lpstr>
      <vt:lpstr>EPS資料!外部資料_1047</vt:lpstr>
      <vt:lpstr>EPS資料!外部資料_1048</vt:lpstr>
      <vt:lpstr>EPS資料!外部資料_1049</vt:lpstr>
      <vt:lpstr>EPS資料!外部資料_105</vt:lpstr>
      <vt:lpstr>EPS資料!外部資料_1050</vt:lpstr>
      <vt:lpstr>EPS資料!外部資料_1051</vt:lpstr>
      <vt:lpstr>EPS資料!外部資料_1052</vt:lpstr>
      <vt:lpstr>EPS資料!外部資料_1053</vt:lpstr>
      <vt:lpstr>EPS資料!外部資料_1054</vt:lpstr>
      <vt:lpstr>EPS資料!外部資料_1055</vt:lpstr>
      <vt:lpstr>EPS資料!外部資料_1056</vt:lpstr>
      <vt:lpstr>EPS資料!外部資料_1057</vt:lpstr>
      <vt:lpstr>EPS資料!外部資料_1058</vt:lpstr>
      <vt:lpstr>EPS資料!外部資料_1059</vt:lpstr>
      <vt:lpstr>EPS資料!外部資料_106</vt:lpstr>
      <vt:lpstr>EPS資料!外部資料_1060</vt:lpstr>
      <vt:lpstr>EPS資料!外部資料_1061</vt:lpstr>
      <vt:lpstr>EPS資料!外部資料_1062</vt:lpstr>
      <vt:lpstr>EPS資料!外部資料_1063</vt:lpstr>
      <vt:lpstr>EPS資料!外部資料_1064</vt:lpstr>
      <vt:lpstr>EPS資料!外部資料_1065</vt:lpstr>
      <vt:lpstr>EPS資料!外部資料_1066</vt:lpstr>
      <vt:lpstr>EPS資料!外部資料_1067</vt:lpstr>
      <vt:lpstr>EPS資料!外部資料_1068</vt:lpstr>
      <vt:lpstr>EPS資料!外部資料_1069</vt:lpstr>
      <vt:lpstr>EPS資料!外部資料_107</vt:lpstr>
      <vt:lpstr>EPS資料!外部資料_1070</vt:lpstr>
      <vt:lpstr>EPS資料!外部資料_1071</vt:lpstr>
      <vt:lpstr>EPS資料!外部資料_1072</vt:lpstr>
      <vt:lpstr>EPS資料!外部資料_1073</vt:lpstr>
      <vt:lpstr>EPS資料!外部資料_1074</vt:lpstr>
      <vt:lpstr>EPS資料!外部資料_1075</vt:lpstr>
      <vt:lpstr>EPS資料!外部資料_1076</vt:lpstr>
      <vt:lpstr>EPS資料!外部資料_1077</vt:lpstr>
      <vt:lpstr>EPS資料!外部資料_1078</vt:lpstr>
      <vt:lpstr>EPS資料!外部資料_1079</vt:lpstr>
      <vt:lpstr>EPS資料!外部資料_108</vt:lpstr>
      <vt:lpstr>EPS資料!外部資料_1080</vt:lpstr>
      <vt:lpstr>EPS資料!外部資料_1081</vt:lpstr>
      <vt:lpstr>EPS資料!外部資料_1082</vt:lpstr>
      <vt:lpstr>EPS資料!外部資料_1083</vt:lpstr>
      <vt:lpstr>EPS資料!外部資料_1084</vt:lpstr>
      <vt:lpstr>EPS資料!外部資料_1085</vt:lpstr>
      <vt:lpstr>EPS資料!外部資料_1086</vt:lpstr>
      <vt:lpstr>EPS資料!外部資料_1087</vt:lpstr>
      <vt:lpstr>EPS資料!外部資料_1088</vt:lpstr>
      <vt:lpstr>EPS資料!外部資料_1089</vt:lpstr>
      <vt:lpstr>EPS資料!外部資料_109</vt:lpstr>
      <vt:lpstr>EPS資料!外部資料_1090</vt:lpstr>
      <vt:lpstr>EPS資料!外部資料_1091</vt:lpstr>
      <vt:lpstr>EPS資料!外部資料_1092</vt:lpstr>
      <vt:lpstr>EPS資料!外部資料_1093</vt:lpstr>
      <vt:lpstr>EPS資料!外部資料_1094</vt:lpstr>
      <vt:lpstr>EPS資料!外部資料_1095</vt:lpstr>
      <vt:lpstr>EPS資料!外部資料_1096</vt:lpstr>
      <vt:lpstr>EPS資料!外部資料_1097</vt:lpstr>
      <vt:lpstr>EPS資料!外部資料_1098</vt:lpstr>
      <vt:lpstr>EPS資料!外部資料_1099</vt:lpstr>
      <vt:lpstr>EPS資料!外部資料_11</vt:lpstr>
      <vt:lpstr>EPS資料!外部資料_110</vt:lpstr>
      <vt:lpstr>EPS資料!外部資料_1100</vt:lpstr>
      <vt:lpstr>EPS資料!外部資料_1101</vt:lpstr>
      <vt:lpstr>EPS資料!外部資料_1102</vt:lpstr>
      <vt:lpstr>EPS資料!外部資料_1103</vt:lpstr>
      <vt:lpstr>EPS資料!外部資料_1104</vt:lpstr>
      <vt:lpstr>EPS資料!外部資料_1105</vt:lpstr>
      <vt:lpstr>EPS資料!外部資料_1106</vt:lpstr>
      <vt:lpstr>EPS資料!外部資料_1107</vt:lpstr>
      <vt:lpstr>EPS資料!外部資料_1108</vt:lpstr>
      <vt:lpstr>EPS資料!外部資料_1109</vt:lpstr>
      <vt:lpstr>EPS資料!外部資料_111</vt:lpstr>
      <vt:lpstr>EPS資料!外部資料_1110</vt:lpstr>
      <vt:lpstr>EPS資料!外部資料_1111</vt:lpstr>
      <vt:lpstr>EPS資料!外部資料_1112</vt:lpstr>
      <vt:lpstr>EPS資料!外部資料_1113</vt:lpstr>
      <vt:lpstr>EPS資料!外部資料_1114</vt:lpstr>
      <vt:lpstr>EPS資料!外部資料_1115</vt:lpstr>
      <vt:lpstr>EPS資料!外部資料_1116</vt:lpstr>
      <vt:lpstr>EPS資料!外部資料_1117</vt:lpstr>
      <vt:lpstr>EPS資料!外部資料_1118</vt:lpstr>
      <vt:lpstr>EPS資料!外部資料_1119</vt:lpstr>
      <vt:lpstr>EPS資料!外部資料_112</vt:lpstr>
      <vt:lpstr>EPS資料!外部資料_1120</vt:lpstr>
      <vt:lpstr>EPS資料!外部資料_1121</vt:lpstr>
      <vt:lpstr>EPS資料!外部資料_1122</vt:lpstr>
      <vt:lpstr>EPS資料!外部資料_1123</vt:lpstr>
      <vt:lpstr>EPS資料!外部資料_1124</vt:lpstr>
      <vt:lpstr>EPS資料!外部資料_1125</vt:lpstr>
      <vt:lpstr>EPS資料!外部資料_1126</vt:lpstr>
      <vt:lpstr>EPS資料!外部資料_1127</vt:lpstr>
      <vt:lpstr>EPS資料!外部資料_1128</vt:lpstr>
      <vt:lpstr>EPS資料!外部資料_1129</vt:lpstr>
      <vt:lpstr>EPS資料!外部資料_113</vt:lpstr>
      <vt:lpstr>EPS資料!外部資料_1130</vt:lpstr>
      <vt:lpstr>EPS資料!外部資料_1131</vt:lpstr>
      <vt:lpstr>EPS資料!外部資料_1132</vt:lpstr>
      <vt:lpstr>EPS資料!外部資料_1133</vt:lpstr>
      <vt:lpstr>EPS資料!外部資料_1134</vt:lpstr>
      <vt:lpstr>EPS資料!外部資料_1135</vt:lpstr>
      <vt:lpstr>EPS資料!外部資料_1136</vt:lpstr>
      <vt:lpstr>EPS資料!外部資料_1137</vt:lpstr>
      <vt:lpstr>EPS資料!外部資料_1138</vt:lpstr>
      <vt:lpstr>EPS資料!外部資料_1139</vt:lpstr>
      <vt:lpstr>EPS資料!外部資料_114</vt:lpstr>
      <vt:lpstr>EPS資料!外部資料_1140</vt:lpstr>
      <vt:lpstr>EPS資料!外部資料_1141</vt:lpstr>
      <vt:lpstr>EPS資料!外部資料_1142</vt:lpstr>
      <vt:lpstr>EPS資料!外部資料_1143</vt:lpstr>
      <vt:lpstr>EPS資料!外部資料_1144</vt:lpstr>
      <vt:lpstr>EPS資料!外部資料_1145</vt:lpstr>
      <vt:lpstr>EPS資料!外部資料_1146</vt:lpstr>
      <vt:lpstr>EPS資料!外部資料_1147</vt:lpstr>
      <vt:lpstr>EPS資料!外部資料_1148</vt:lpstr>
      <vt:lpstr>EPS資料!外部資料_1149</vt:lpstr>
      <vt:lpstr>EPS資料!外部資料_115</vt:lpstr>
      <vt:lpstr>EPS資料!外部資料_1150</vt:lpstr>
      <vt:lpstr>EPS資料!外部資料_1151</vt:lpstr>
      <vt:lpstr>EPS資料!外部資料_1152</vt:lpstr>
      <vt:lpstr>EPS資料!外部資料_1153</vt:lpstr>
      <vt:lpstr>EPS資料!外部資料_1154</vt:lpstr>
      <vt:lpstr>EPS資料!外部資料_1155</vt:lpstr>
      <vt:lpstr>EPS資料!外部資料_1156</vt:lpstr>
      <vt:lpstr>EPS資料!外部資料_1157</vt:lpstr>
      <vt:lpstr>EPS資料!外部資料_1158</vt:lpstr>
      <vt:lpstr>EPS資料!外部資料_1159</vt:lpstr>
      <vt:lpstr>EPS資料!外部資料_116</vt:lpstr>
      <vt:lpstr>EPS資料!外部資料_1160</vt:lpstr>
      <vt:lpstr>EPS資料!外部資料_1161</vt:lpstr>
      <vt:lpstr>EPS資料!外部資料_1162</vt:lpstr>
      <vt:lpstr>EPS資料!外部資料_1163</vt:lpstr>
      <vt:lpstr>EPS資料!外部資料_1164</vt:lpstr>
      <vt:lpstr>EPS資料!外部資料_1165</vt:lpstr>
      <vt:lpstr>EPS資料!外部資料_1166</vt:lpstr>
      <vt:lpstr>EPS資料!外部資料_1167</vt:lpstr>
      <vt:lpstr>EPS資料!外部資料_1168</vt:lpstr>
      <vt:lpstr>EPS資料!外部資料_1169</vt:lpstr>
      <vt:lpstr>EPS資料!外部資料_117</vt:lpstr>
      <vt:lpstr>EPS資料!外部資料_1170</vt:lpstr>
      <vt:lpstr>EPS資料!外部資料_1171</vt:lpstr>
      <vt:lpstr>EPS資料!外部資料_1172</vt:lpstr>
      <vt:lpstr>EPS資料!外部資料_1173</vt:lpstr>
      <vt:lpstr>EPS資料!外部資料_1174</vt:lpstr>
      <vt:lpstr>EPS資料!外部資料_1175</vt:lpstr>
      <vt:lpstr>EPS資料!外部資料_1176</vt:lpstr>
      <vt:lpstr>EPS資料!外部資料_1177</vt:lpstr>
      <vt:lpstr>EPS資料!外部資料_1178</vt:lpstr>
      <vt:lpstr>EPS資料!外部資料_1179</vt:lpstr>
      <vt:lpstr>EPS資料!外部資料_118</vt:lpstr>
      <vt:lpstr>EPS資料!外部資料_1180</vt:lpstr>
      <vt:lpstr>EPS資料!外部資料_1181</vt:lpstr>
      <vt:lpstr>EPS資料!外部資料_1182</vt:lpstr>
      <vt:lpstr>EPS資料!外部資料_1183</vt:lpstr>
      <vt:lpstr>EPS資料!外部資料_1184</vt:lpstr>
      <vt:lpstr>EPS資料!外部資料_1185</vt:lpstr>
      <vt:lpstr>EPS資料!外部資料_1186</vt:lpstr>
      <vt:lpstr>EPS資料!外部資料_1187</vt:lpstr>
      <vt:lpstr>EPS資料!外部資料_1188</vt:lpstr>
      <vt:lpstr>EPS資料!外部資料_1189</vt:lpstr>
      <vt:lpstr>EPS資料!外部資料_119</vt:lpstr>
      <vt:lpstr>EPS資料!外部資料_1190</vt:lpstr>
      <vt:lpstr>EPS資料!外部資料_1191</vt:lpstr>
      <vt:lpstr>EPS資料!外部資料_1192</vt:lpstr>
      <vt:lpstr>EPS資料!外部資料_1193</vt:lpstr>
      <vt:lpstr>EPS資料!外部資料_1194</vt:lpstr>
      <vt:lpstr>EPS資料!外部資料_1195</vt:lpstr>
      <vt:lpstr>EPS資料!外部資料_1196</vt:lpstr>
      <vt:lpstr>EPS資料!外部資料_1197</vt:lpstr>
      <vt:lpstr>EPS資料!外部資料_1198</vt:lpstr>
      <vt:lpstr>EPS資料!外部資料_1199</vt:lpstr>
      <vt:lpstr>EPS資料!外部資料_12</vt:lpstr>
      <vt:lpstr>EPS資料!外部資料_120</vt:lpstr>
      <vt:lpstr>EPS資料!外部資料_1200</vt:lpstr>
      <vt:lpstr>EPS資料!外部資料_1201</vt:lpstr>
      <vt:lpstr>EPS資料!外部資料_1202</vt:lpstr>
      <vt:lpstr>EPS資料!外部資料_1203</vt:lpstr>
      <vt:lpstr>EPS資料!外部資料_1204</vt:lpstr>
      <vt:lpstr>EPS資料!外部資料_1205</vt:lpstr>
      <vt:lpstr>EPS資料!外部資料_1206</vt:lpstr>
      <vt:lpstr>EPS資料!外部資料_1207</vt:lpstr>
      <vt:lpstr>EPS資料!外部資料_1208</vt:lpstr>
      <vt:lpstr>EPS資料!外部資料_1209</vt:lpstr>
      <vt:lpstr>EPS資料!外部資料_121</vt:lpstr>
      <vt:lpstr>EPS資料!外部資料_1210</vt:lpstr>
      <vt:lpstr>EPS資料!外部資料_1211</vt:lpstr>
      <vt:lpstr>EPS資料!外部資料_1212</vt:lpstr>
      <vt:lpstr>EPS資料!外部資料_1213</vt:lpstr>
      <vt:lpstr>EPS資料!外部資料_1214</vt:lpstr>
      <vt:lpstr>EPS資料!外部資料_1215</vt:lpstr>
      <vt:lpstr>EPS資料!外部資料_1216</vt:lpstr>
      <vt:lpstr>EPS資料!外部資料_1217</vt:lpstr>
      <vt:lpstr>EPS資料!外部資料_1218</vt:lpstr>
      <vt:lpstr>EPS資料!外部資料_1219</vt:lpstr>
      <vt:lpstr>EPS資料!外部資料_122</vt:lpstr>
      <vt:lpstr>EPS資料!外部資料_1220</vt:lpstr>
      <vt:lpstr>EPS資料!外部資料_1221</vt:lpstr>
      <vt:lpstr>EPS資料!外部資料_1222</vt:lpstr>
      <vt:lpstr>EPS資料!外部資料_1223</vt:lpstr>
      <vt:lpstr>EPS資料!外部資料_1224</vt:lpstr>
      <vt:lpstr>EPS資料!外部資料_1225</vt:lpstr>
      <vt:lpstr>EPS資料!外部資料_1226</vt:lpstr>
      <vt:lpstr>EPS資料!外部資料_1227</vt:lpstr>
      <vt:lpstr>EPS資料!外部資料_1228</vt:lpstr>
      <vt:lpstr>EPS資料!外部資料_1229</vt:lpstr>
      <vt:lpstr>EPS資料!外部資料_123</vt:lpstr>
      <vt:lpstr>EPS資料!外部資料_1230</vt:lpstr>
      <vt:lpstr>EPS資料!外部資料_1231</vt:lpstr>
      <vt:lpstr>EPS資料!外部資料_1232</vt:lpstr>
      <vt:lpstr>EPS資料!外部資料_1233</vt:lpstr>
      <vt:lpstr>EPS資料!外部資料_1234</vt:lpstr>
      <vt:lpstr>EPS資料!外部資料_1235</vt:lpstr>
      <vt:lpstr>EPS資料!外部資料_1236</vt:lpstr>
      <vt:lpstr>EPS資料!外部資料_1237</vt:lpstr>
      <vt:lpstr>EPS資料!外部資料_1238</vt:lpstr>
      <vt:lpstr>EPS資料!外部資料_1239</vt:lpstr>
      <vt:lpstr>EPS資料!外部資料_124</vt:lpstr>
      <vt:lpstr>EPS資料!外部資料_1240</vt:lpstr>
      <vt:lpstr>EPS資料!外部資料_1241</vt:lpstr>
      <vt:lpstr>EPS資料!外部資料_1242</vt:lpstr>
      <vt:lpstr>EPS資料!外部資料_1243</vt:lpstr>
      <vt:lpstr>EPS資料!外部資料_1244</vt:lpstr>
      <vt:lpstr>EPS資料!外部資料_1245</vt:lpstr>
      <vt:lpstr>EPS資料!外部資料_1246</vt:lpstr>
      <vt:lpstr>EPS資料!外部資料_1247</vt:lpstr>
      <vt:lpstr>EPS資料!外部資料_1248</vt:lpstr>
      <vt:lpstr>EPS資料!外部資料_1249</vt:lpstr>
      <vt:lpstr>EPS資料!外部資料_125</vt:lpstr>
      <vt:lpstr>EPS資料!外部資料_1250</vt:lpstr>
      <vt:lpstr>EPS資料!外部資料_1251</vt:lpstr>
      <vt:lpstr>EPS資料!外部資料_1252</vt:lpstr>
      <vt:lpstr>EPS資料!外部資料_1253</vt:lpstr>
      <vt:lpstr>EPS資料!外部資料_1254</vt:lpstr>
      <vt:lpstr>EPS資料!外部資料_1255</vt:lpstr>
      <vt:lpstr>EPS資料!外部資料_1256</vt:lpstr>
      <vt:lpstr>EPS資料!外部資料_1257</vt:lpstr>
      <vt:lpstr>EPS資料!外部資料_1258</vt:lpstr>
      <vt:lpstr>EPS資料!外部資料_1259</vt:lpstr>
      <vt:lpstr>EPS資料!外部資料_126</vt:lpstr>
      <vt:lpstr>EPS資料!外部資料_1260</vt:lpstr>
      <vt:lpstr>EPS資料!外部資料_1261</vt:lpstr>
      <vt:lpstr>EPS資料!外部資料_1262</vt:lpstr>
      <vt:lpstr>EPS資料!外部資料_1263</vt:lpstr>
      <vt:lpstr>EPS資料!外部資料_1264</vt:lpstr>
      <vt:lpstr>EPS資料!外部資料_1265</vt:lpstr>
      <vt:lpstr>EPS資料!外部資料_1266</vt:lpstr>
      <vt:lpstr>EPS資料!外部資料_1267</vt:lpstr>
      <vt:lpstr>EPS資料!外部資料_1268</vt:lpstr>
      <vt:lpstr>EPS資料!外部資料_1269</vt:lpstr>
      <vt:lpstr>EPS資料!外部資料_127</vt:lpstr>
      <vt:lpstr>EPS資料!外部資料_1270</vt:lpstr>
      <vt:lpstr>EPS資料!外部資料_1271</vt:lpstr>
      <vt:lpstr>EPS資料!外部資料_1272</vt:lpstr>
      <vt:lpstr>EPS資料!外部資料_1273</vt:lpstr>
      <vt:lpstr>EPS資料!外部資料_1274</vt:lpstr>
      <vt:lpstr>EPS資料!外部資料_1275</vt:lpstr>
      <vt:lpstr>EPS資料!外部資料_1276</vt:lpstr>
      <vt:lpstr>EPS資料!外部資料_1277</vt:lpstr>
      <vt:lpstr>EPS資料!外部資料_1278</vt:lpstr>
      <vt:lpstr>EPS資料!外部資料_1279</vt:lpstr>
      <vt:lpstr>EPS資料!外部資料_128</vt:lpstr>
      <vt:lpstr>EPS資料!外部資料_1280</vt:lpstr>
      <vt:lpstr>EPS資料!外部資料_1281</vt:lpstr>
      <vt:lpstr>EPS資料!外部資料_1282</vt:lpstr>
      <vt:lpstr>EPS資料!外部資料_1283</vt:lpstr>
      <vt:lpstr>EPS資料!外部資料_1284</vt:lpstr>
      <vt:lpstr>EPS資料!外部資料_1285</vt:lpstr>
      <vt:lpstr>EPS資料!外部資料_1286</vt:lpstr>
      <vt:lpstr>EPS資料!外部資料_1287</vt:lpstr>
      <vt:lpstr>EPS資料!外部資料_1288</vt:lpstr>
      <vt:lpstr>EPS資料!外部資料_1289</vt:lpstr>
      <vt:lpstr>EPS資料!外部資料_129</vt:lpstr>
      <vt:lpstr>EPS資料!外部資料_1290</vt:lpstr>
      <vt:lpstr>EPS資料!外部資料_1291</vt:lpstr>
      <vt:lpstr>EPS資料!外部資料_1292</vt:lpstr>
      <vt:lpstr>EPS資料!外部資料_1293</vt:lpstr>
      <vt:lpstr>EPS資料!外部資料_1294</vt:lpstr>
      <vt:lpstr>EPS資料!外部資料_1295</vt:lpstr>
      <vt:lpstr>EPS資料!外部資料_1296</vt:lpstr>
      <vt:lpstr>EPS資料!外部資料_1297</vt:lpstr>
      <vt:lpstr>EPS資料!外部資料_1298</vt:lpstr>
      <vt:lpstr>EPS資料!外部資料_1299</vt:lpstr>
      <vt:lpstr>EPS資料!外部資料_13</vt:lpstr>
      <vt:lpstr>EPS資料!外部資料_130</vt:lpstr>
      <vt:lpstr>EPS資料!外部資料_1300</vt:lpstr>
      <vt:lpstr>EPS資料!外部資料_1301</vt:lpstr>
      <vt:lpstr>EPS資料!外部資料_1302</vt:lpstr>
      <vt:lpstr>EPS資料!外部資料_1303</vt:lpstr>
      <vt:lpstr>EPS資料!外部資料_1304</vt:lpstr>
      <vt:lpstr>EPS資料!外部資料_1305</vt:lpstr>
      <vt:lpstr>EPS資料!外部資料_1306</vt:lpstr>
      <vt:lpstr>EPS資料!外部資料_1307</vt:lpstr>
      <vt:lpstr>EPS資料!外部資料_1308</vt:lpstr>
      <vt:lpstr>EPS資料!外部資料_1309</vt:lpstr>
      <vt:lpstr>EPS資料!外部資料_131</vt:lpstr>
      <vt:lpstr>EPS資料!外部資料_1310</vt:lpstr>
      <vt:lpstr>EPS資料!外部資料_1311</vt:lpstr>
      <vt:lpstr>EPS資料!外部資料_1312</vt:lpstr>
      <vt:lpstr>EPS資料!外部資料_1313</vt:lpstr>
      <vt:lpstr>EPS資料!外部資料_1314</vt:lpstr>
      <vt:lpstr>EPS資料!外部資料_1315</vt:lpstr>
      <vt:lpstr>EPS資料!外部資料_1316</vt:lpstr>
      <vt:lpstr>EPS資料!外部資料_1317</vt:lpstr>
      <vt:lpstr>EPS資料!外部資料_1318</vt:lpstr>
      <vt:lpstr>EPS資料!外部資料_1319</vt:lpstr>
      <vt:lpstr>EPS資料!外部資料_132</vt:lpstr>
      <vt:lpstr>EPS資料!外部資料_1320</vt:lpstr>
      <vt:lpstr>EPS資料!外部資料_1321</vt:lpstr>
      <vt:lpstr>EPS資料!外部資料_1322</vt:lpstr>
      <vt:lpstr>EPS資料!外部資料_1323</vt:lpstr>
      <vt:lpstr>EPS資料!外部資料_1324</vt:lpstr>
      <vt:lpstr>EPS資料!外部資料_1325</vt:lpstr>
      <vt:lpstr>EPS資料!外部資料_1326</vt:lpstr>
      <vt:lpstr>EPS資料!外部資料_1327</vt:lpstr>
      <vt:lpstr>EPS資料!外部資料_1328</vt:lpstr>
      <vt:lpstr>EPS資料!外部資料_1329</vt:lpstr>
      <vt:lpstr>EPS資料!外部資料_133</vt:lpstr>
      <vt:lpstr>EPS資料!外部資料_1330</vt:lpstr>
      <vt:lpstr>EPS資料!外部資料_1331</vt:lpstr>
      <vt:lpstr>EPS資料!外部資料_1332</vt:lpstr>
      <vt:lpstr>EPS資料!外部資料_1333</vt:lpstr>
      <vt:lpstr>EPS資料!外部資料_1334</vt:lpstr>
      <vt:lpstr>EPS資料!外部資料_1335</vt:lpstr>
      <vt:lpstr>EPS資料!外部資料_1336</vt:lpstr>
      <vt:lpstr>EPS資料!外部資料_1337</vt:lpstr>
      <vt:lpstr>EPS資料!外部資料_1338</vt:lpstr>
      <vt:lpstr>EPS資料!外部資料_1339</vt:lpstr>
      <vt:lpstr>EPS資料!外部資料_134</vt:lpstr>
      <vt:lpstr>EPS資料!外部資料_1340</vt:lpstr>
      <vt:lpstr>EPS資料!外部資料_1341</vt:lpstr>
      <vt:lpstr>EPS資料!外部資料_1342</vt:lpstr>
      <vt:lpstr>EPS資料!外部資料_1343</vt:lpstr>
      <vt:lpstr>EPS資料!外部資料_1344</vt:lpstr>
      <vt:lpstr>EPS資料!外部資料_1345</vt:lpstr>
      <vt:lpstr>EPS資料!外部資料_1346</vt:lpstr>
      <vt:lpstr>EPS資料!外部資料_1347</vt:lpstr>
      <vt:lpstr>EPS資料!外部資料_1348</vt:lpstr>
      <vt:lpstr>EPS資料!外部資料_1349</vt:lpstr>
      <vt:lpstr>EPS資料!外部資料_135</vt:lpstr>
      <vt:lpstr>EPS資料!外部資料_1350</vt:lpstr>
      <vt:lpstr>EPS資料!外部資料_1351</vt:lpstr>
      <vt:lpstr>EPS資料!外部資料_1352</vt:lpstr>
      <vt:lpstr>EPS資料!外部資料_1353</vt:lpstr>
      <vt:lpstr>EPS資料!外部資料_1354</vt:lpstr>
      <vt:lpstr>EPS資料!外部資料_1355</vt:lpstr>
      <vt:lpstr>EPS資料!外部資料_1356</vt:lpstr>
      <vt:lpstr>EPS資料!外部資料_1357</vt:lpstr>
      <vt:lpstr>EPS資料!外部資料_1358</vt:lpstr>
      <vt:lpstr>EPS資料!外部資料_1359</vt:lpstr>
      <vt:lpstr>EPS資料!外部資料_136</vt:lpstr>
      <vt:lpstr>EPS資料!外部資料_1360</vt:lpstr>
      <vt:lpstr>EPS資料!外部資料_1361</vt:lpstr>
      <vt:lpstr>EPS資料!外部資料_1362</vt:lpstr>
      <vt:lpstr>EPS資料!外部資料_1363</vt:lpstr>
      <vt:lpstr>EPS資料!外部資料_1364</vt:lpstr>
      <vt:lpstr>EPS資料!外部資料_1365</vt:lpstr>
      <vt:lpstr>EPS資料!外部資料_1366</vt:lpstr>
      <vt:lpstr>EPS資料!外部資料_1367</vt:lpstr>
      <vt:lpstr>EPS資料!外部資料_1368</vt:lpstr>
      <vt:lpstr>EPS資料!外部資料_1369</vt:lpstr>
      <vt:lpstr>EPS資料!外部資料_137</vt:lpstr>
      <vt:lpstr>EPS資料!外部資料_1370</vt:lpstr>
      <vt:lpstr>EPS資料!外部資料_1371</vt:lpstr>
      <vt:lpstr>EPS資料!外部資料_1372</vt:lpstr>
      <vt:lpstr>EPS資料!外部資料_1373</vt:lpstr>
      <vt:lpstr>EPS資料!外部資料_1374</vt:lpstr>
      <vt:lpstr>EPS資料!外部資料_1375</vt:lpstr>
      <vt:lpstr>EPS資料!外部資料_1376</vt:lpstr>
      <vt:lpstr>EPS資料!外部資料_1377</vt:lpstr>
      <vt:lpstr>EPS資料!外部資料_1378</vt:lpstr>
      <vt:lpstr>EPS資料!外部資料_1379</vt:lpstr>
      <vt:lpstr>EPS資料!外部資料_138</vt:lpstr>
      <vt:lpstr>EPS資料!外部資料_1380</vt:lpstr>
      <vt:lpstr>EPS資料!外部資料_1381</vt:lpstr>
      <vt:lpstr>EPS資料!外部資料_1382</vt:lpstr>
      <vt:lpstr>EPS資料!外部資料_1383</vt:lpstr>
      <vt:lpstr>EPS資料!外部資料_1384</vt:lpstr>
      <vt:lpstr>EPS資料!外部資料_1385</vt:lpstr>
      <vt:lpstr>EPS資料!外部資料_1386</vt:lpstr>
      <vt:lpstr>EPS資料!外部資料_1387</vt:lpstr>
      <vt:lpstr>EPS資料!外部資料_1388</vt:lpstr>
      <vt:lpstr>EPS資料!外部資料_1389</vt:lpstr>
      <vt:lpstr>EPS資料!外部資料_139</vt:lpstr>
      <vt:lpstr>EPS資料!外部資料_1390</vt:lpstr>
      <vt:lpstr>EPS資料!外部資料_1391</vt:lpstr>
      <vt:lpstr>EPS資料!外部資料_1392</vt:lpstr>
      <vt:lpstr>EPS資料!外部資料_1393</vt:lpstr>
      <vt:lpstr>EPS資料!外部資料_1394</vt:lpstr>
      <vt:lpstr>EPS資料!外部資料_1395</vt:lpstr>
      <vt:lpstr>EPS資料!外部資料_1396</vt:lpstr>
      <vt:lpstr>EPS資料!外部資料_1397</vt:lpstr>
      <vt:lpstr>EPS資料!外部資料_1398</vt:lpstr>
      <vt:lpstr>EPS資料!外部資料_1399</vt:lpstr>
      <vt:lpstr>EPS資料!外部資料_14</vt:lpstr>
      <vt:lpstr>EPS資料!外部資料_140</vt:lpstr>
      <vt:lpstr>EPS資料!外部資料_1400</vt:lpstr>
      <vt:lpstr>EPS資料!外部資料_1401</vt:lpstr>
      <vt:lpstr>EPS資料!外部資料_1402</vt:lpstr>
      <vt:lpstr>EPS資料!外部資料_1403</vt:lpstr>
      <vt:lpstr>EPS資料!外部資料_1404</vt:lpstr>
      <vt:lpstr>EPS資料!外部資料_1405</vt:lpstr>
      <vt:lpstr>EPS資料!外部資料_1406</vt:lpstr>
      <vt:lpstr>EPS資料!外部資料_1407</vt:lpstr>
      <vt:lpstr>EPS資料!外部資料_1408</vt:lpstr>
      <vt:lpstr>EPS資料!外部資料_1409</vt:lpstr>
      <vt:lpstr>EPS資料!外部資料_141</vt:lpstr>
      <vt:lpstr>EPS資料!外部資料_1410</vt:lpstr>
      <vt:lpstr>EPS資料!外部資料_1411</vt:lpstr>
      <vt:lpstr>EPS資料!外部資料_1412</vt:lpstr>
      <vt:lpstr>EPS資料!外部資料_1413</vt:lpstr>
      <vt:lpstr>EPS資料!外部資料_1414</vt:lpstr>
      <vt:lpstr>EPS資料!外部資料_1415</vt:lpstr>
      <vt:lpstr>EPS資料!外部資料_1416</vt:lpstr>
      <vt:lpstr>EPS資料!外部資料_1417</vt:lpstr>
      <vt:lpstr>EPS資料!外部資料_1418</vt:lpstr>
      <vt:lpstr>EPS資料!外部資料_1419</vt:lpstr>
      <vt:lpstr>EPS資料!外部資料_142</vt:lpstr>
      <vt:lpstr>EPS資料!外部資料_1420</vt:lpstr>
      <vt:lpstr>EPS資料!外部資料_1421</vt:lpstr>
      <vt:lpstr>EPS資料!外部資料_1422</vt:lpstr>
      <vt:lpstr>EPS資料!外部資料_1423</vt:lpstr>
      <vt:lpstr>EPS資料!外部資料_1424</vt:lpstr>
      <vt:lpstr>EPS資料!外部資料_1425</vt:lpstr>
      <vt:lpstr>EPS資料!外部資料_1426</vt:lpstr>
      <vt:lpstr>EPS資料!外部資料_1427</vt:lpstr>
      <vt:lpstr>EPS資料!外部資料_1428</vt:lpstr>
      <vt:lpstr>EPS資料!外部資料_1429</vt:lpstr>
      <vt:lpstr>EPS資料!外部資料_143</vt:lpstr>
      <vt:lpstr>EPS資料!外部資料_1430</vt:lpstr>
      <vt:lpstr>EPS資料!外部資料_1431</vt:lpstr>
      <vt:lpstr>EPS資料!外部資料_1432</vt:lpstr>
      <vt:lpstr>EPS資料!外部資料_1433</vt:lpstr>
      <vt:lpstr>EPS資料!外部資料_1434</vt:lpstr>
      <vt:lpstr>EPS資料!外部資料_1435</vt:lpstr>
      <vt:lpstr>EPS資料!外部資料_1436</vt:lpstr>
      <vt:lpstr>EPS資料!外部資料_1437</vt:lpstr>
      <vt:lpstr>EPS資料!外部資料_1438</vt:lpstr>
      <vt:lpstr>EPS資料!外部資料_1439</vt:lpstr>
      <vt:lpstr>EPS資料!外部資料_144</vt:lpstr>
      <vt:lpstr>EPS資料!外部資料_1440</vt:lpstr>
      <vt:lpstr>EPS資料!外部資料_1441</vt:lpstr>
      <vt:lpstr>EPS資料!外部資料_1442</vt:lpstr>
      <vt:lpstr>EPS資料!外部資料_1443</vt:lpstr>
      <vt:lpstr>EPS資料!外部資料_1444</vt:lpstr>
      <vt:lpstr>EPS資料!外部資料_1445</vt:lpstr>
      <vt:lpstr>EPS資料!外部資料_1446</vt:lpstr>
      <vt:lpstr>EPS資料!外部資料_1447</vt:lpstr>
      <vt:lpstr>EPS資料!外部資料_1448</vt:lpstr>
      <vt:lpstr>EPS資料!外部資料_1449</vt:lpstr>
      <vt:lpstr>EPS資料!外部資料_145</vt:lpstr>
      <vt:lpstr>EPS資料!外部資料_1450</vt:lpstr>
      <vt:lpstr>EPS資料!外部資料_1451</vt:lpstr>
      <vt:lpstr>EPS資料!外部資料_1452</vt:lpstr>
      <vt:lpstr>EPS資料!外部資料_1453</vt:lpstr>
      <vt:lpstr>EPS資料!外部資料_1454</vt:lpstr>
      <vt:lpstr>EPS資料!外部資料_1455</vt:lpstr>
      <vt:lpstr>EPS資料!外部資料_1456</vt:lpstr>
      <vt:lpstr>EPS資料!外部資料_1457</vt:lpstr>
      <vt:lpstr>EPS資料!外部資料_1458</vt:lpstr>
      <vt:lpstr>EPS資料!外部資料_1459</vt:lpstr>
      <vt:lpstr>EPS資料!外部資料_146</vt:lpstr>
      <vt:lpstr>EPS資料!外部資料_1460</vt:lpstr>
      <vt:lpstr>EPS資料!外部資料_1461</vt:lpstr>
      <vt:lpstr>EPS資料!外部資料_1462</vt:lpstr>
      <vt:lpstr>EPS資料!外部資料_1463</vt:lpstr>
      <vt:lpstr>EPS資料!外部資料_1464</vt:lpstr>
      <vt:lpstr>EPS資料!外部資料_1465</vt:lpstr>
      <vt:lpstr>EPS資料!外部資料_1466</vt:lpstr>
      <vt:lpstr>EPS資料!外部資料_1467</vt:lpstr>
      <vt:lpstr>EPS資料!外部資料_1468</vt:lpstr>
      <vt:lpstr>EPS資料!外部資料_1469</vt:lpstr>
      <vt:lpstr>EPS資料!外部資料_147</vt:lpstr>
      <vt:lpstr>EPS資料!外部資料_1470</vt:lpstr>
      <vt:lpstr>EPS資料!外部資料_1471</vt:lpstr>
      <vt:lpstr>EPS資料!外部資料_1472</vt:lpstr>
      <vt:lpstr>EPS資料!外部資料_1473</vt:lpstr>
      <vt:lpstr>EPS資料!外部資料_1474</vt:lpstr>
      <vt:lpstr>EPS資料!外部資料_1475</vt:lpstr>
      <vt:lpstr>EPS資料!外部資料_1476</vt:lpstr>
      <vt:lpstr>EPS資料!外部資料_1477</vt:lpstr>
      <vt:lpstr>EPS資料!外部資料_1478</vt:lpstr>
      <vt:lpstr>EPS資料!外部資料_1479</vt:lpstr>
      <vt:lpstr>EPS資料!外部資料_148</vt:lpstr>
      <vt:lpstr>EPS資料!外部資料_1480</vt:lpstr>
      <vt:lpstr>EPS資料!外部資料_1481</vt:lpstr>
      <vt:lpstr>EPS資料!外部資料_1482</vt:lpstr>
      <vt:lpstr>EPS資料!外部資料_1483</vt:lpstr>
      <vt:lpstr>EPS資料!外部資料_1484</vt:lpstr>
      <vt:lpstr>EPS資料!外部資料_1485</vt:lpstr>
      <vt:lpstr>EPS資料!外部資料_1486</vt:lpstr>
      <vt:lpstr>EPS資料!外部資料_1487</vt:lpstr>
      <vt:lpstr>EPS資料!外部資料_1488</vt:lpstr>
      <vt:lpstr>EPS資料!外部資料_1489</vt:lpstr>
      <vt:lpstr>EPS資料!外部資料_149</vt:lpstr>
      <vt:lpstr>EPS資料!外部資料_1490</vt:lpstr>
      <vt:lpstr>EPS資料!外部資料_1491</vt:lpstr>
      <vt:lpstr>EPS資料!外部資料_1492</vt:lpstr>
      <vt:lpstr>EPS資料!外部資料_1493</vt:lpstr>
      <vt:lpstr>EPS資料!外部資料_1494</vt:lpstr>
      <vt:lpstr>EPS資料!外部資料_1495</vt:lpstr>
      <vt:lpstr>EPS資料!外部資料_1496</vt:lpstr>
      <vt:lpstr>EPS資料!外部資料_1497</vt:lpstr>
      <vt:lpstr>EPS資料!外部資料_1498</vt:lpstr>
      <vt:lpstr>EPS資料!外部資料_1499</vt:lpstr>
      <vt:lpstr>EPS資料!外部資料_15</vt:lpstr>
      <vt:lpstr>EPS資料!外部資料_150</vt:lpstr>
      <vt:lpstr>EPS資料!外部資料_1500</vt:lpstr>
      <vt:lpstr>EPS資料!外部資料_1501</vt:lpstr>
      <vt:lpstr>EPS資料!外部資料_1502</vt:lpstr>
      <vt:lpstr>EPS資料!外部資料_1503</vt:lpstr>
      <vt:lpstr>EPS資料!外部資料_1504</vt:lpstr>
      <vt:lpstr>EPS資料!外部資料_1505</vt:lpstr>
      <vt:lpstr>EPS資料!外部資料_1506</vt:lpstr>
      <vt:lpstr>EPS資料!外部資料_1507</vt:lpstr>
      <vt:lpstr>EPS資料!外部資料_1508</vt:lpstr>
      <vt:lpstr>EPS資料!外部資料_1509</vt:lpstr>
      <vt:lpstr>EPS資料!外部資料_151</vt:lpstr>
      <vt:lpstr>EPS資料!外部資料_1510</vt:lpstr>
      <vt:lpstr>EPS資料!外部資料_1511</vt:lpstr>
      <vt:lpstr>EPS資料!外部資料_1512</vt:lpstr>
      <vt:lpstr>EPS資料!外部資料_1513</vt:lpstr>
      <vt:lpstr>EPS資料!外部資料_1514</vt:lpstr>
      <vt:lpstr>EPS資料!外部資料_1515</vt:lpstr>
      <vt:lpstr>EPS資料!外部資料_1516</vt:lpstr>
      <vt:lpstr>EPS資料!外部資料_1517</vt:lpstr>
      <vt:lpstr>EPS資料!外部資料_1518</vt:lpstr>
      <vt:lpstr>EPS資料!外部資料_1519</vt:lpstr>
      <vt:lpstr>EPS資料!外部資料_152</vt:lpstr>
      <vt:lpstr>EPS資料!外部資料_1520</vt:lpstr>
      <vt:lpstr>EPS資料!外部資料_1521</vt:lpstr>
      <vt:lpstr>EPS資料!外部資料_1522</vt:lpstr>
      <vt:lpstr>EPS資料!外部資料_1523</vt:lpstr>
      <vt:lpstr>EPS資料!外部資料_1524</vt:lpstr>
      <vt:lpstr>EPS資料!外部資料_1525</vt:lpstr>
      <vt:lpstr>EPS資料!外部資料_1526</vt:lpstr>
      <vt:lpstr>EPS資料!外部資料_1527</vt:lpstr>
      <vt:lpstr>EPS資料!外部資料_1528</vt:lpstr>
      <vt:lpstr>EPS資料!外部資料_1529</vt:lpstr>
      <vt:lpstr>EPS資料!外部資料_153</vt:lpstr>
      <vt:lpstr>EPS資料!外部資料_1530</vt:lpstr>
      <vt:lpstr>EPS資料!外部資料_1531</vt:lpstr>
      <vt:lpstr>EPS資料!外部資料_1532</vt:lpstr>
      <vt:lpstr>EPS資料!外部資料_1533</vt:lpstr>
      <vt:lpstr>EPS資料!外部資料_1534</vt:lpstr>
      <vt:lpstr>EPS資料!外部資料_1535</vt:lpstr>
      <vt:lpstr>EPS資料!外部資料_1536</vt:lpstr>
      <vt:lpstr>EPS資料!外部資料_1537</vt:lpstr>
      <vt:lpstr>EPS資料!外部資料_1538</vt:lpstr>
      <vt:lpstr>EPS資料!外部資料_1539</vt:lpstr>
      <vt:lpstr>EPS資料!外部資料_154</vt:lpstr>
      <vt:lpstr>EPS資料!外部資料_1540</vt:lpstr>
      <vt:lpstr>EPS資料!外部資料_1541</vt:lpstr>
      <vt:lpstr>EPS資料!外部資料_1542</vt:lpstr>
      <vt:lpstr>EPS資料!外部資料_1543</vt:lpstr>
      <vt:lpstr>EPS資料!外部資料_1544</vt:lpstr>
      <vt:lpstr>EPS資料!外部資料_1545</vt:lpstr>
      <vt:lpstr>EPS資料!外部資料_1546</vt:lpstr>
      <vt:lpstr>EPS資料!外部資料_1547</vt:lpstr>
      <vt:lpstr>EPS資料!外部資料_1548</vt:lpstr>
      <vt:lpstr>EPS資料!外部資料_1549</vt:lpstr>
      <vt:lpstr>EPS資料!外部資料_155</vt:lpstr>
      <vt:lpstr>EPS資料!外部資料_1550</vt:lpstr>
      <vt:lpstr>EPS資料!外部資料_1551</vt:lpstr>
      <vt:lpstr>EPS資料!外部資料_1552</vt:lpstr>
      <vt:lpstr>EPS資料!外部資料_1553</vt:lpstr>
      <vt:lpstr>EPS資料!外部資料_1554</vt:lpstr>
      <vt:lpstr>EPS資料!外部資料_1555</vt:lpstr>
      <vt:lpstr>EPS資料!外部資料_1556</vt:lpstr>
      <vt:lpstr>EPS資料!外部資料_1557</vt:lpstr>
      <vt:lpstr>EPS資料!外部資料_1558</vt:lpstr>
      <vt:lpstr>EPS資料!外部資料_1559</vt:lpstr>
      <vt:lpstr>EPS資料!外部資料_156</vt:lpstr>
      <vt:lpstr>EPS資料!外部資料_1560</vt:lpstr>
      <vt:lpstr>EPS資料!外部資料_1561</vt:lpstr>
      <vt:lpstr>EPS資料!外部資料_1562</vt:lpstr>
      <vt:lpstr>EPS資料!外部資料_1563</vt:lpstr>
      <vt:lpstr>EPS資料!外部資料_1564</vt:lpstr>
      <vt:lpstr>EPS資料!外部資料_1565</vt:lpstr>
      <vt:lpstr>EPS資料!外部資料_1566</vt:lpstr>
      <vt:lpstr>EPS資料!外部資料_1567</vt:lpstr>
      <vt:lpstr>EPS資料!外部資料_1568</vt:lpstr>
      <vt:lpstr>EPS資料!外部資料_1569</vt:lpstr>
      <vt:lpstr>EPS資料!外部資料_157</vt:lpstr>
      <vt:lpstr>EPS資料!外部資料_1570</vt:lpstr>
      <vt:lpstr>EPS資料!外部資料_1571</vt:lpstr>
      <vt:lpstr>EPS資料!外部資料_1572</vt:lpstr>
      <vt:lpstr>EPS資料!外部資料_1573</vt:lpstr>
      <vt:lpstr>EPS資料!外部資料_1574</vt:lpstr>
      <vt:lpstr>EPS資料!外部資料_1575</vt:lpstr>
      <vt:lpstr>EPS資料!外部資料_1576</vt:lpstr>
      <vt:lpstr>EPS資料!外部資料_1577</vt:lpstr>
      <vt:lpstr>EPS資料!外部資料_1578</vt:lpstr>
      <vt:lpstr>EPS資料!外部資料_1579</vt:lpstr>
      <vt:lpstr>EPS資料!外部資料_158</vt:lpstr>
      <vt:lpstr>EPS資料!外部資料_1580</vt:lpstr>
      <vt:lpstr>EPS資料!外部資料_1581</vt:lpstr>
      <vt:lpstr>EPS資料!外部資料_1582</vt:lpstr>
      <vt:lpstr>EPS資料!外部資料_1583</vt:lpstr>
      <vt:lpstr>EPS資料!外部資料_1584</vt:lpstr>
      <vt:lpstr>EPS資料!外部資料_1585</vt:lpstr>
      <vt:lpstr>EPS資料!外部資料_1586</vt:lpstr>
      <vt:lpstr>EPS資料!外部資料_1587</vt:lpstr>
      <vt:lpstr>EPS資料!外部資料_1588</vt:lpstr>
      <vt:lpstr>EPS資料!外部資料_1589</vt:lpstr>
      <vt:lpstr>EPS資料!外部資料_159</vt:lpstr>
      <vt:lpstr>EPS資料!外部資料_1590</vt:lpstr>
      <vt:lpstr>EPS資料!外部資料_1591</vt:lpstr>
      <vt:lpstr>EPS資料!外部資料_1592</vt:lpstr>
      <vt:lpstr>EPS資料!外部資料_1593</vt:lpstr>
      <vt:lpstr>EPS資料!外部資料_1594</vt:lpstr>
      <vt:lpstr>EPS資料!外部資料_1595</vt:lpstr>
      <vt:lpstr>EPS資料!外部資料_1596</vt:lpstr>
      <vt:lpstr>EPS資料!外部資料_1597</vt:lpstr>
      <vt:lpstr>EPS資料!外部資料_1598</vt:lpstr>
      <vt:lpstr>EPS資料!外部資料_1599</vt:lpstr>
      <vt:lpstr>EPS資料!外部資料_16</vt:lpstr>
      <vt:lpstr>EPS資料!外部資料_160</vt:lpstr>
      <vt:lpstr>EPS資料!外部資料_1600</vt:lpstr>
      <vt:lpstr>EPS資料!外部資料_1601</vt:lpstr>
      <vt:lpstr>EPS資料!外部資料_1602</vt:lpstr>
      <vt:lpstr>EPS資料!外部資料_1603</vt:lpstr>
      <vt:lpstr>EPS資料!外部資料_1604</vt:lpstr>
      <vt:lpstr>EPS資料!外部資料_1605</vt:lpstr>
      <vt:lpstr>EPS資料!外部資料_1606</vt:lpstr>
      <vt:lpstr>EPS資料!外部資料_1607</vt:lpstr>
      <vt:lpstr>EPS資料!外部資料_1608</vt:lpstr>
      <vt:lpstr>EPS資料!外部資料_1609</vt:lpstr>
      <vt:lpstr>EPS資料!外部資料_161</vt:lpstr>
      <vt:lpstr>EPS資料!外部資料_1610</vt:lpstr>
      <vt:lpstr>EPS資料!外部資料_1611</vt:lpstr>
      <vt:lpstr>EPS資料!外部資料_1612</vt:lpstr>
      <vt:lpstr>EPS資料!外部資料_1613</vt:lpstr>
      <vt:lpstr>EPS資料!外部資料_1614</vt:lpstr>
      <vt:lpstr>EPS資料!外部資料_1615</vt:lpstr>
      <vt:lpstr>EPS資料!外部資料_1616</vt:lpstr>
      <vt:lpstr>EPS資料!外部資料_1617</vt:lpstr>
      <vt:lpstr>EPS資料!外部資料_1618</vt:lpstr>
      <vt:lpstr>EPS資料!外部資料_1619</vt:lpstr>
      <vt:lpstr>EPS資料!外部資料_162</vt:lpstr>
      <vt:lpstr>EPS資料!外部資料_1620</vt:lpstr>
      <vt:lpstr>EPS資料!外部資料_1621</vt:lpstr>
      <vt:lpstr>EPS資料!外部資料_1622</vt:lpstr>
      <vt:lpstr>EPS資料!外部資料_1623</vt:lpstr>
      <vt:lpstr>EPS資料!外部資料_1624</vt:lpstr>
      <vt:lpstr>EPS資料!外部資料_1625</vt:lpstr>
      <vt:lpstr>EPS資料!外部資料_1626</vt:lpstr>
      <vt:lpstr>EPS資料!外部資料_1627</vt:lpstr>
      <vt:lpstr>EPS資料!外部資料_1628</vt:lpstr>
      <vt:lpstr>EPS資料!外部資料_1629</vt:lpstr>
      <vt:lpstr>EPS資料!外部資料_163</vt:lpstr>
      <vt:lpstr>EPS資料!外部資料_1630</vt:lpstr>
      <vt:lpstr>EPS資料!外部資料_1631</vt:lpstr>
      <vt:lpstr>EPS資料!外部資料_1632</vt:lpstr>
      <vt:lpstr>EPS資料!外部資料_1633</vt:lpstr>
      <vt:lpstr>EPS資料!外部資料_1634</vt:lpstr>
      <vt:lpstr>EPS資料!外部資料_1635</vt:lpstr>
      <vt:lpstr>EPS資料!外部資料_1636</vt:lpstr>
      <vt:lpstr>EPS資料!外部資料_1637</vt:lpstr>
      <vt:lpstr>EPS資料!外部資料_1638</vt:lpstr>
      <vt:lpstr>EPS資料!外部資料_1639</vt:lpstr>
      <vt:lpstr>EPS資料!外部資料_164</vt:lpstr>
      <vt:lpstr>EPS資料!外部資料_1640</vt:lpstr>
      <vt:lpstr>EPS資料!外部資料_1641</vt:lpstr>
      <vt:lpstr>EPS資料!外部資料_1642</vt:lpstr>
      <vt:lpstr>EPS資料!外部資料_1643</vt:lpstr>
      <vt:lpstr>EPS資料!外部資料_1644</vt:lpstr>
      <vt:lpstr>EPS資料!外部資料_1645</vt:lpstr>
      <vt:lpstr>EPS資料!外部資料_1646</vt:lpstr>
      <vt:lpstr>EPS資料!外部資料_1647</vt:lpstr>
      <vt:lpstr>EPS資料!外部資料_1648</vt:lpstr>
      <vt:lpstr>EPS資料!外部資料_1649</vt:lpstr>
      <vt:lpstr>EPS資料!外部資料_165</vt:lpstr>
      <vt:lpstr>EPS資料!外部資料_1650</vt:lpstr>
      <vt:lpstr>EPS資料!外部資料_1651</vt:lpstr>
      <vt:lpstr>EPS資料!外部資料_1652</vt:lpstr>
      <vt:lpstr>EPS資料!外部資料_1653</vt:lpstr>
      <vt:lpstr>EPS資料!外部資料_1654</vt:lpstr>
      <vt:lpstr>EPS資料!外部資料_1655</vt:lpstr>
      <vt:lpstr>EPS資料!外部資料_1656</vt:lpstr>
      <vt:lpstr>EPS資料!外部資料_1657</vt:lpstr>
      <vt:lpstr>EPS資料!外部資料_1658</vt:lpstr>
      <vt:lpstr>EPS資料!外部資料_1659</vt:lpstr>
      <vt:lpstr>EPS資料!外部資料_166</vt:lpstr>
      <vt:lpstr>EPS資料!外部資料_1660</vt:lpstr>
      <vt:lpstr>EPS資料!外部資料_1661</vt:lpstr>
      <vt:lpstr>EPS資料!外部資料_1662</vt:lpstr>
      <vt:lpstr>EPS資料!外部資料_1663</vt:lpstr>
      <vt:lpstr>EPS資料!外部資料_1664</vt:lpstr>
      <vt:lpstr>EPS資料!外部資料_1665</vt:lpstr>
      <vt:lpstr>EPS資料!外部資料_1666</vt:lpstr>
      <vt:lpstr>EPS資料!外部資料_1667</vt:lpstr>
      <vt:lpstr>EPS資料!外部資料_1668</vt:lpstr>
      <vt:lpstr>EPS資料!外部資料_1669</vt:lpstr>
      <vt:lpstr>EPS資料!外部資料_167</vt:lpstr>
      <vt:lpstr>EPS資料!外部資料_1670</vt:lpstr>
      <vt:lpstr>EPS資料!外部資料_1671</vt:lpstr>
      <vt:lpstr>EPS資料!外部資料_1672</vt:lpstr>
      <vt:lpstr>EPS資料!外部資料_1673</vt:lpstr>
      <vt:lpstr>EPS資料!外部資料_1674</vt:lpstr>
      <vt:lpstr>EPS資料!外部資料_1675</vt:lpstr>
      <vt:lpstr>EPS資料!外部資料_1676</vt:lpstr>
      <vt:lpstr>EPS資料!外部資料_1677</vt:lpstr>
      <vt:lpstr>EPS資料!外部資料_1678</vt:lpstr>
      <vt:lpstr>EPS資料!外部資料_1679</vt:lpstr>
      <vt:lpstr>EPS資料!外部資料_168</vt:lpstr>
      <vt:lpstr>EPS資料!外部資料_1680</vt:lpstr>
      <vt:lpstr>EPS資料!外部資料_1681</vt:lpstr>
      <vt:lpstr>EPS資料!外部資料_1682</vt:lpstr>
      <vt:lpstr>EPS資料!外部資料_1683</vt:lpstr>
      <vt:lpstr>EPS資料!外部資料_1684</vt:lpstr>
      <vt:lpstr>EPS資料!外部資料_1685</vt:lpstr>
      <vt:lpstr>EPS資料!外部資料_1686</vt:lpstr>
      <vt:lpstr>EPS資料!外部資料_1687</vt:lpstr>
      <vt:lpstr>EPS資料!外部資料_1688</vt:lpstr>
      <vt:lpstr>EPS資料!外部資料_1689</vt:lpstr>
      <vt:lpstr>EPS資料!外部資料_169</vt:lpstr>
      <vt:lpstr>EPS資料!外部資料_1690</vt:lpstr>
      <vt:lpstr>EPS資料!外部資料_1691</vt:lpstr>
      <vt:lpstr>EPS資料!外部資料_1692</vt:lpstr>
      <vt:lpstr>EPS資料!外部資料_1693</vt:lpstr>
      <vt:lpstr>EPS資料!外部資料_1694</vt:lpstr>
      <vt:lpstr>EPS資料!外部資料_1695</vt:lpstr>
      <vt:lpstr>EPS資料!外部資料_1696</vt:lpstr>
      <vt:lpstr>EPS資料!外部資料_1697</vt:lpstr>
      <vt:lpstr>EPS資料!外部資料_1698</vt:lpstr>
      <vt:lpstr>EPS資料!外部資料_1699</vt:lpstr>
      <vt:lpstr>EPS資料!外部資料_17</vt:lpstr>
      <vt:lpstr>EPS資料!外部資料_170</vt:lpstr>
      <vt:lpstr>EPS資料!外部資料_1700</vt:lpstr>
      <vt:lpstr>EPS資料!外部資料_1701</vt:lpstr>
      <vt:lpstr>EPS資料!外部資料_1702</vt:lpstr>
      <vt:lpstr>EPS資料!外部資料_1703</vt:lpstr>
      <vt:lpstr>EPS資料!外部資料_1704</vt:lpstr>
      <vt:lpstr>EPS資料!外部資料_1705</vt:lpstr>
      <vt:lpstr>EPS資料!外部資料_1706</vt:lpstr>
      <vt:lpstr>EPS資料!外部資料_1707</vt:lpstr>
      <vt:lpstr>EPS資料!外部資料_1708</vt:lpstr>
      <vt:lpstr>EPS資料!外部資料_1709</vt:lpstr>
      <vt:lpstr>EPS資料!外部資料_171</vt:lpstr>
      <vt:lpstr>EPS資料!外部資料_1710</vt:lpstr>
      <vt:lpstr>EPS資料!外部資料_1711</vt:lpstr>
      <vt:lpstr>EPS資料!外部資料_1712</vt:lpstr>
      <vt:lpstr>EPS資料!外部資料_1713</vt:lpstr>
      <vt:lpstr>EPS資料!外部資料_1714</vt:lpstr>
      <vt:lpstr>EPS資料!外部資料_1715</vt:lpstr>
      <vt:lpstr>EPS資料!外部資料_1716</vt:lpstr>
      <vt:lpstr>EPS資料!外部資料_1717</vt:lpstr>
      <vt:lpstr>EPS資料!外部資料_1718</vt:lpstr>
      <vt:lpstr>EPS資料!外部資料_1719</vt:lpstr>
      <vt:lpstr>EPS資料!外部資料_172</vt:lpstr>
      <vt:lpstr>EPS資料!外部資料_1720</vt:lpstr>
      <vt:lpstr>EPS資料!外部資料_1721</vt:lpstr>
      <vt:lpstr>EPS資料!外部資料_1722</vt:lpstr>
      <vt:lpstr>EPS資料!外部資料_1723</vt:lpstr>
      <vt:lpstr>EPS資料!外部資料_1724</vt:lpstr>
      <vt:lpstr>EPS資料!外部資料_1725</vt:lpstr>
      <vt:lpstr>EPS資料!外部資料_1726</vt:lpstr>
      <vt:lpstr>EPS資料!外部資料_1727</vt:lpstr>
      <vt:lpstr>EPS資料!外部資料_1728</vt:lpstr>
      <vt:lpstr>EPS資料!外部資料_1729</vt:lpstr>
      <vt:lpstr>EPS資料!外部資料_173</vt:lpstr>
      <vt:lpstr>EPS資料!外部資料_1730</vt:lpstr>
      <vt:lpstr>EPS資料!外部資料_1731</vt:lpstr>
      <vt:lpstr>EPS資料!外部資料_1732</vt:lpstr>
      <vt:lpstr>EPS資料!外部資料_1733</vt:lpstr>
      <vt:lpstr>EPS資料!外部資料_1734</vt:lpstr>
      <vt:lpstr>EPS資料!外部資料_1735</vt:lpstr>
      <vt:lpstr>EPS資料!外部資料_1736</vt:lpstr>
      <vt:lpstr>EPS資料!外部資料_1737</vt:lpstr>
      <vt:lpstr>EPS資料!外部資料_1738</vt:lpstr>
      <vt:lpstr>EPS資料!外部資料_1739</vt:lpstr>
      <vt:lpstr>EPS資料!外部資料_174</vt:lpstr>
      <vt:lpstr>EPS資料!外部資料_1740</vt:lpstr>
      <vt:lpstr>EPS資料!外部資料_1741</vt:lpstr>
      <vt:lpstr>EPS資料!外部資料_1742</vt:lpstr>
      <vt:lpstr>EPS資料!外部資料_1743</vt:lpstr>
      <vt:lpstr>EPS資料!外部資料_1744</vt:lpstr>
      <vt:lpstr>EPS資料!外部資料_1745</vt:lpstr>
      <vt:lpstr>EPS資料!外部資料_1746</vt:lpstr>
      <vt:lpstr>EPS資料!外部資料_1747</vt:lpstr>
      <vt:lpstr>EPS資料!外部資料_1748</vt:lpstr>
      <vt:lpstr>EPS資料!外部資料_1749</vt:lpstr>
      <vt:lpstr>EPS資料!外部資料_175</vt:lpstr>
      <vt:lpstr>EPS資料!外部資料_1750</vt:lpstr>
      <vt:lpstr>EPS資料!外部資料_1751</vt:lpstr>
      <vt:lpstr>EPS資料!外部資料_1752</vt:lpstr>
      <vt:lpstr>EPS資料!外部資料_1753</vt:lpstr>
      <vt:lpstr>EPS資料!外部資料_1754</vt:lpstr>
      <vt:lpstr>EPS資料!外部資料_1755</vt:lpstr>
      <vt:lpstr>EPS資料!外部資料_1756</vt:lpstr>
      <vt:lpstr>EPS資料!外部資料_1757</vt:lpstr>
      <vt:lpstr>EPS資料!外部資料_1758</vt:lpstr>
      <vt:lpstr>EPS資料!外部資料_1759</vt:lpstr>
      <vt:lpstr>EPS資料!外部資料_176</vt:lpstr>
      <vt:lpstr>EPS資料!外部資料_1760</vt:lpstr>
      <vt:lpstr>EPS資料!外部資料_1761</vt:lpstr>
      <vt:lpstr>EPS資料!外部資料_1762</vt:lpstr>
      <vt:lpstr>EPS資料!外部資料_1763</vt:lpstr>
      <vt:lpstr>EPS資料!外部資料_1764</vt:lpstr>
      <vt:lpstr>EPS資料!外部資料_1765</vt:lpstr>
      <vt:lpstr>EPS資料!外部資料_1766</vt:lpstr>
      <vt:lpstr>EPS資料!外部資料_1767</vt:lpstr>
      <vt:lpstr>EPS資料!外部資料_1768</vt:lpstr>
      <vt:lpstr>EPS資料!外部資料_1769</vt:lpstr>
      <vt:lpstr>EPS資料!外部資料_177</vt:lpstr>
      <vt:lpstr>EPS資料!外部資料_1770</vt:lpstr>
      <vt:lpstr>EPS資料!外部資料_1771</vt:lpstr>
      <vt:lpstr>EPS資料!外部資料_1772</vt:lpstr>
      <vt:lpstr>EPS資料!外部資料_1773</vt:lpstr>
      <vt:lpstr>EPS資料!外部資料_1774</vt:lpstr>
      <vt:lpstr>EPS資料!外部資料_1776</vt:lpstr>
      <vt:lpstr>EPS資料!外部資料_1777</vt:lpstr>
      <vt:lpstr>EPS資料!外部資料_1778</vt:lpstr>
      <vt:lpstr>EPS資料!外部資料_178</vt:lpstr>
      <vt:lpstr>EPS資料!外部資料_179</vt:lpstr>
      <vt:lpstr>EPS資料!外部資料_18</vt:lpstr>
      <vt:lpstr>EPS資料!外部資料_180</vt:lpstr>
      <vt:lpstr>EPS資料!外部資料_181</vt:lpstr>
      <vt:lpstr>EPS資料!外部資料_182</vt:lpstr>
      <vt:lpstr>EPS資料!外部資料_183</vt:lpstr>
      <vt:lpstr>EPS資料!外部資料_184</vt:lpstr>
      <vt:lpstr>EPS資料!外部資料_185</vt:lpstr>
      <vt:lpstr>EPS資料!外部資料_186</vt:lpstr>
      <vt:lpstr>EPS資料!外部資料_187</vt:lpstr>
      <vt:lpstr>EPS資料!外部資料_188</vt:lpstr>
      <vt:lpstr>EPS資料!外部資料_189</vt:lpstr>
      <vt:lpstr>EPS資料!外部資料_19</vt:lpstr>
      <vt:lpstr>EPS資料!外部資料_190</vt:lpstr>
      <vt:lpstr>EPS資料!外部資料_191</vt:lpstr>
      <vt:lpstr>EPS資料!外部資料_192</vt:lpstr>
      <vt:lpstr>EPS資料!外部資料_193</vt:lpstr>
      <vt:lpstr>EPS資料!外部資料_194</vt:lpstr>
      <vt:lpstr>EPS資料!外部資料_195</vt:lpstr>
      <vt:lpstr>EPS資料!外部資料_196</vt:lpstr>
      <vt:lpstr>EPS資料!外部資料_197</vt:lpstr>
      <vt:lpstr>EPS資料!外部資料_198</vt:lpstr>
      <vt:lpstr>EPS資料!外部資料_199</vt:lpstr>
      <vt:lpstr>EPS資料!外部資料_2</vt:lpstr>
      <vt:lpstr>EPS資料!外部資料_20</vt:lpstr>
      <vt:lpstr>EPS資料!外部資料_200</vt:lpstr>
      <vt:lpstr>EPS資料!外部資料_201</vt:lpstr>
      <vt:lpstr>EPS資料!外部資料_202</vt:lpstr>
      <vt:lpstr>EPS資料!外部資料_203</vt:lpstr>
      <vt:lpstr>EPS資料!外部資料_204</vt:lpstr>
      <vt:lpstr>EPS資料!外部資料_205</vt:lpstr>
      <vt:lpstr>EPS資料!外部資料_206</vt:lpstr>
      <vt:lpstr>EPS資料!外部資料_207</vt:lpstr>
      <vt:lpstr>EPS資料!外部資料_208</vt:lpstr>
      <vt:lpstr>EPS資料!外部資料_209</vt:lpstr>
      <vt:lpstr>EPS資料!外部資料_21</vt:lpstr>
      <vt:lpstr>EPS資料!外部資料_210</vt:lpstr>
      <vt:lpstr>EPS資料!外部資料_211</vt:lpstr>
      <vt:lpstr>EPS資料!外部資料_212</vt:lpstr>
      <vt:lpstr>EPS資料!外部資料_213</vt:lpstr>
      <vt:lpstr>EPS資料!外部資料_214</vt:lpstr>
      <vt:lpstr>EPS資料!外部資料_215</vt:lpstr>
      <vt:lpstr>EPS資料!外部資料_216</vt:lpstr>
      <vt:lpstr>EPS資料!外部資料_217</vt:lpstr>
      <vt:lpstr>EPS資料!外部資料_218</vt:lpstr>
      <vt:lpstr>EPS資料!外部資料_219</vt:lpstr>
      <vt:lpstr>EPS資料!外部資料_22</vt:lpstr>
      <vt:lpstr>EPS資料!外部資料_220</vt:lpstr>
      <vt:lpstr>EPS資料!外部資料_221</vt:lpstr>
      <vt:lpstr>EPS資料!外部資料_222</vt:lpstr>
      <vt:lpstr>EPS資料!外部資料_223</vt:lpstr>
      <vt:lpstr>EPS資料!外部資料_224</vt:lpstr>
      <vt:lpstr>EPS資料!外部資料_225</vt:lpstr>
      <vt:lpstr>EPS資料!外部資料_226</vt:lpstr>
      <vt:lpstr>EPS資料!外部資料_227</vt:lpstr>
      <vt:lpstr>EPS資料!外部資料_228</vt:lpstr>
      <vt:lpstr>EPS資料!外部資料_229</vt:lpstr>
      <vt:lpstr>EPS資料!外部資料_23</vt:lpstr>
      <vt:lpstr>EPS資料!外部資料_230</vt:lpstr>
      <vt:lpstr>EPS資料!外部資料_231</vt:lpstr>
      <vt:lpstr>EPS資料!外部資料_232</vt:lpstr>
      <vt:lpstr>EPS資料!外部資料_233</vt:lpstr>
      <vt:lpstr>EPS資料!外部資料_234</vt:lpstr>
      <vt:lpstr>EPS資料!外部資料_235</vt:lpstr>
      <vt:lpstr>EPS資料!外部資料_236</vt:lpstr>
      <vt:lpstr>EPS資料!外部資料_237</vt:lpstr>
      <vt:lpstr>EPS資料!外部資料_238</vt:lpstr>
      <vt:lpstr>EPS資料!外部資料_239</vt:lpstr>
      <vt:lpstr>EPS資料!外部資料_24</vt:lpstr>
      <vt:lpstr>EPS資料!外部資料_240</vt:lpstr>
      <vt:lpstr>EPS資料!外部資料_241</vt:lpstr>
      <vt:lpstr>EPS資料!外部資料_242</vt:lpstr>
      <vt:lpstr>EPS資料!外部資料_243</vt:lpstr>
      <vt:lpstr>EPS資料!外部資料_244</vt:lpstr>
      <vt:lpstr>EPS資料!外部資料_245</vt:lpstr>
      <vt:lpstr>EPS資料!外部資料_246</vt:lpstr>
      <vt:lpstr>EPS資料!外部資料_247</vt:lpstr>
      <vt:lpstr>EPS資料!外部資料_248</vt:lpstr>
      <vt:lpstr>EPS資料!外部資料_249</vt:lpstr>
      <vt:lpstr>EPS資料!外部資料_25</vt:lpstr>
      <vt:lpstr>EPS資料!外部資料_250</vt:lpstr>
      <vt:lpstr>EPS資料!外部資料_251</vt:lpstr>
      <vt:lpstr>EPS資料!外部資料_252</vt:lpstr>
      <vt:lpstr>EPS資料!外部資料_253</vt:lpstr>
      <vt:lpstr>EPS資料!外部資料_254</vt:lpstr>
      <vt:lpstr>EPS資料!外部資料_255</vt:lpstr>
      <vt:lpstr>EPS資料!外部資料_256</vt:lpstr>
      <vt:lpstr>EPS資料!外部資料_257</vt:lpstr>
      <vt:lpstr>EPS資料!外部資料_258</vt:lpstr>
      <vt:lpstr>EPS資料!外部資料_259</vt:lpstr>
      <vt:lpstr>EPS資料!外部資料_26</vt:lpstr>
      <vt:lpstr>EPS資料!外部資料_260</vt:lpstr>
      <vt:lpstr>EPS資料!外部資料_261</vt:lpstr>
      <vt:lpstr>EPS資料!外部資料_262</vt:lpstr>
      <vt:lpstr>EPS資料!外部資料_263</vt:lpstr>
      <vt:lpstr>EPS資料!外部資料_264</vt:lpstr>
      <vt:lpstr>EPS資料!外部資料_265</vt:lpstr>
      <vt:lpstr>EPS資料!外部資料_266</vt:lpstr>
      <vt:lpstr>EPS資料!外部資料_267</vt:lpstr>
      <vt:lpstr>EPS資料!外部資料_268</vt:lpstr>
      <vt:lpstr>EPS資料!外部資料_269</vt:lpstr>
      <vt:lpstr>EPS資料!外部資料_27</vt:lpstr>
      <vt:lpstr>EPS資料!外部資料_270</vt:lpstr>
      <vt:lpstr>EPS資料!外部資料_271</vt:lpstr>
      <vt:lpstr>EPS資料!外部資料_272</vt:lpstr>
      <vt:lpstr>EPS資料!外部資料_273</vt:lpstr>
      <vt:lpstr>EPS資料!外部資料_274</vt:lpstr>
      <vt:lpstr>EPS資料!外部資料_275</vt:lpstr>
      <vt:lpstr>EPS資料!外部資料_276</vt:lpstr>
      <vt:lpstr>EPS資料!外部資料_277</vt:lpstr>
      <vt:lpstr>EPS資料!外部資料_278</vt:lpstr>
      <vt:lpstr>EPS資料!外部資料_279</vt:lpstr>
      <vt:lpstr>EPS資料!外部資料_28</vt:lpstr>
      <vt:lpstr>EPS資料!外部資料_280</vt:lpstr>
      <vt:lpstr>EPS資料!外部資料_281</vt:lpstr>
      <vt:lpstr>EPS資料!外部資料_282</vt:lpstr>
      <vt:lpstr>EPS資料!外部資料_283</vt:lpstr>
      <vt:lpstr>EPS資料!外部資料_284</vt:lpstr>
      <vt:lpstr>EPS資料!外部資料_285</vt:lpstr>
      <vt:lpstr>EPS資料!外部資料_286</vt:lpstr>
      <vt:lpstr>EPS資料!外部資料_287</vt:lpstr>
      <vt:lpstr>EPS資料!外部資料_288</vt:lpstr>
      <vt:lpstr>EPS資料!外部資料_289</vt:lpstr>
      <vt:lpstr>EPS資料!外部資料_29</vt:lpstr>
      <vt:lpstr>EPS資料!外部資料_290</vt:lpstr>
      <vt:lpstr>EPS資料!外部資料_291</vt:lpstr>
      <vt:lpstr>EPS資料!外部資料_292</vt:lpstr>
      <vt:lpstr>EPS資料!外部資料_293</vt:lpstr>
      <vt:lpstr>EPS資料!外部資料_294</vt:lpstr>
      <vt:lpstr>EPS資料!外部資料_295</vt:lpstr>
      <vt:lpstr>EPS資料!外部資料_296</vt:lpstr>
      <vt:lpstr>EPS資料!外部資料_297</vt:lpstr>
      <vt:lpstr>EPS資料!外部資料_298</vt:lpstr>
      <vt:lpstr>EPS資料!外部資料_299</vt:lpstr>
      <vt:lpstr>EPS資料!外部資料_3</vt:lpstr>
      <vt:lpstr>EPS資料!外部資料_30</vt:lpstr>
      <vt:lpstr>EPS資料!外部資料_300</vt:lpstr>
      <vt:lpstr>EPS資料!外部資料_301</vt:lpstr>
      <vt:lpstr>EPS資料!外部資料_302</vt:lpstr>
      <vt:lpstr>EPS資料!外部資料_303</vt:lpstr>
      <vt:lpstr>EPS資料!外部資料_304</vt:lpstr>
      <vt:lpstr>EPS資料!外部資料_305</vt:lpstr>
      <vt:lpstr>EPS資料!外部資料_306</vt:lpstr>
      <vt:lpstr>EPS資料!外部資料_307</vt:lpstr>
      <vt:lpstr>EPS資料!外部資料_308</vt:lpstr>
      <vt:lpstr>EPS資料!外部資料_309</vt:lpstr>
      <vt:lpstr>EPS資料!外部資料_31</vt:lpstr>
      <vt:lpstr>EPS資料!外部資料_310</vt:lpstr>
      <vt:lpstr>EPS資料!外部資料_311</vt:lpstr>
      <vt:lpstr>EPS資料!外部資料_312</vt:lpstr>
      <vt:lpstr>EPS資料!外部資料_313</vt:lpstr>
      <vt:lpstr>EPS資料!外部資料_314</vt:lpstr>
      <vt:lpstr>EPS資料!外部資料_315</vt:lpstr>
      <vt:lpstr>EPS資料!外部資料_316</vt:lpstr>
      <vt:lpstr>EPS資料!外部資料_317</vt:lpstr>
      <vt:lpstr>EPS資料!外部資料_318</vt:lpstr>
      <vt:lpstr>EPS資料!外部資料_319</vt:lpstr>
      <vt:lpstr>EPS資料!外部資料_32</vt:lpstr>
      <vt:lpstr>EPS資料!外部資料_320</vt:lpstr>
      <vt:lpstr>EPS資料!外部資料_321</vt:lpstr>
      <vt:lpstr>EPS資料!外部資料_322</vt:lpstr>
      <vt:lpstr>EPS資料!外部資料_323</vt:lpstr>
      <vt:lpstr>EPS資料!外部資料_324</vt:lpstr>
      <vt:lpstr>EPS資料!外部資料_325</vt:lpstr>
      <vt:lpstr>EPS資料!外部資料_326</vt:lpstr>
      <vt:lpstr>EPS資料!外部資料_327</vt:lpstr>
      <vt:lpstr>EPS資料!外部資料_328</vt:lpstr>
      <vt:lpstr>EPS資料!外部資料_329</vt:lpstr>
      <vt:lpstr>EPS資料!外部資料_33</vt:lpstr>
      <vt:lpstr>EPS資料!外部資料_330</vt:lpstr>
      <vt:lpstr>EPS資料!外部資料_331</vt:lpstr>
      <vt:lpstr>EPS資料!外部資料_332</vt:lpstr>
      <vt:lpstr>EPS資料!外部資料_333</vt:lpstr>
      <vt:lpstr>EPS資料!外部資料_334</vt:lpstr>
      <vt:lpstr>EPS資料!外部資料_335</vt:lpstr>
      <vt:lpstr>EPS資料!外部資料_336</vt:lpstr>
      <vt:lpstr>EPS資料!外部資料_337</vt:lpstr>
      <vt:lpstr>EPS資料!外部資料_338</vt:lpstr>
      <vt:lpstr>EPS資料!外部資料_339</vt:lpstr>
      <vt:lpstr>EPS資料!外部資料_34</vt:lpstr>
      <vt:lpstr>EPS資料!外部資料_340</vt:lpstr>
      <vt:lpstr>EPS資料!外部資料_341</vt:lpstr>
      <vt:lpstr>EPS資料!外部資料_342</vt:lpstr>
      <vt:lpstr>EPS資料!外部資料_343</vt:lpstr>
      <vt:lpstr>EPS資料!外部資料_344</vt:lpstr>
      <vt:lpstr>EPS資料!外部資料_345</vt:lpstr>
      <vt:lpstr>EPS資料!外部資料_346</vt:lpstr>
      <vt:lpstr>EPS資料!外部資料_347</vt:lpstr>
      <vt:lpstr>EPS資料!外部資料_348</vt:lpstr>
      <vt:lpstr>EPS資料!外部資料_349</vt:lpstr>
      <vt:lpstr>EPS資料!外部資料_35</vt:lpstr>
      <vt:lpstr>EPS資料!外部資料_350</vt:lpstr>
      <vt:lpstr>EPS資料!外部資料_351</vt:lpstr>
      <vt:lpstr>EPS資料!外部資料_352</vt:lpstr>
      <vt:lpstr>EPS資料!外部資料_353</vt:lpstr>
      <vt:lpstr>EPS資料!外部資料_354</vt:lpstr>
      <vt:lpstr>EPS資料!外部資料_355</vt:lpstr>
      <vt:lpstr>EPS資料!外部資料_356</vt:lpstr>
      <vt:lpstr>EPS資料!外部資料_357</vt:lpstr>
      <vt:lpstr>EPS資料!外部資料_358</vt:lpstr>
      <vt:lpstr>EPS資料!外部資料_359</vt:lpstr>
      <vt:lpstr>EPS資料!外部資料_36</vt:lpstr>
      <vt:lpstr>EPS資料!外部資料_360</vt:lpstr>
      <vt:lpstr>EPS資料!外部資料_361</vt:lpstr>
      <vt:lpstr>EPS資料!外部資料_362</vt:lpstr>
      <vt:lpstr>EPS資料!外部資料_363</vt:lpstr>
      <vt:lpstr>EPS資料!外部資料_364</vt:lpstr>
      <vt:lpstr>EPS資料!外部資料_365</vt:lpstr>
      <vt:lpstr>EPS資料!外部資料_366</vt:lpstr>
      <vt:lpstr>EPS資料!外部資料_367</vt:lpstr>
      <vt:lpstr>EPS資料!外部資料_368</vt:lpstr>
      <vt:lpstr>EPS資料!外部資料_369</vt:lpstr>
      <vt:lpstr>EPS資料!外部資料_37</vt:lpstr>
      <vt:lpstr>EPS資料!外部資料_370</vt:lpstr>
      <vt:lpstr>EPS資料!外部資料_371</vt:lpstr>
      <vt:lpstr>EPS資料!外部資料_372</vt:lpstr>
      <vt:lpstr>EPS資料!外部資料_373</vt:lpstr>
      <vt:lpstr>EPS資料!外部資料_374</vt:lpstr>
      <vt:lpstr>EPS資料!外部資料_375</vt:lpstr>
      <vt:lpstr>EPS資料!外部資料_376</vt:lpstr>
      <vt:lpstr>EPS資料!外部資料_377</vt:lpstr>
      <vt:lpstr>EPS資料!外部資料_378</vt:lpstr>
      <vt:lpstr>EPS資料!外部資料_379</vt:lpstr>
      <vt:lpstr>EPS資料!外部資料_38</vt:lpstr>
      <vt:lpstr>EPS資料!外部資料_380</vt:lpstr>
      <vt:lpstr>EPS資料!外部資料_381</vt:lpstr>
      <vt:lpstr>EPS資料!外部資料_382</vt:lpstr>
      <vt:lpstr>EPS資料!外部資料_383</vt:lpstr>
      <vt:lpstr>EPS資料!外部資料_384</vt:lpstr>
      <vt:lpstr>EPS資料!外部資料_385</vt:lpstr>
      <vt:lpstr>EPS資料!外部資料_386</vt:lpstr>
      <vt:lpstr>EPS資料!外部資料_387</vt:lpstr>
      <vt:lpstr>EPS資料!外部資料_388</vt:lpstr>
      <vt:lpstr>EPS資料!外部資料_389</vt:lpstr>
      <vt:lpstr>EPS資料!外部資料_39</vt:lpstr>
      <vt:lpstr>EPS資料!外部資料_390</vt:lpstr>
      <vt:lpstr>EPS資料!外部資料_391</vt:lpstr>
      <vt:lpstr>EPS資料!外部資料_392</vt:lpstr>
      <vt:lpstr>EPS資料!外部資料_393</vt:lpstr>
      <vt:lpstr>EPS資料!外部資料_394</vt:lpstr>
      <vt:lpstr>EPS資料!外部資料_395</vt:lpstr>
      <vt:lpstr>EPS資料!外部資料_396</vt:lpstr>
      <vt:lpstr>EPS資料!外部資料_397</vt:lpstr>
      <vt:lpstr>EPS資料!外部資料_398</vt:lpstr>
      <vt:lpstr>EPS資料!外部資料_399</vt:lpstr>
      <vt:lpstr>EPS資料!外部資料_4</vt:lpstr>
      <vt:lpstr>EPS資料!外部資料_40</vt:lpstr>
      <vt:lpstr>EPS資料!外部資料_400</vt:lpstr>
      <vt:lpstr>EPS資料!外部資料_401</vt:lpstr>
      <vt:lpstr>EPS資料!外部資料_402</vt:lpstr>
      <vt:lpstr>EPS資料!外部資料_403</vt:lpstr>
      <vt:lpstr>EPS資料!外部資料_404</vt:lpstr>
      <vt:lpstr>EPS資料!外部資料_405</vt:lpstr>
      <vt:lpstr>EPS資料!外部資料_406</vt:lpstr>
      <vt:lpstr>EPS資料!外部資料_407</vt:lpstr>
      <vt:lpstr>EPS資料!外部資料_408</vt:lpstr>
      <vt:lpstr>EPS資料!外部資料_409</vt:lpstr>
      <vt:lpstr>EPS資料!外部資料_41</vt:lpstr>
      <vt:lpstr>EPS資料!外部資料_410</vt:lpstr>
      <vt:lpstr>EPS資料!外部資料_411</vt:lpstr>
      <vt:lpstr>EPS資料!外部資料_412</vt:lpstr>
      <vt:lpstr>EPS資料!外部資料_413</vt:lpstr>
      <vt:lpstr>EPS資料!外部資料_414</vt:lpstr>
      <vt:lpstr>EPS資料!外部資料_415</vt:lpstr>
      <vt:lpstr>EPS資料!外部資料_416</vt:lpstr>
      <vt:lpstr>EPS資料!外部資料_417</vt:lpstr>
      <vt:lpstr>EPS資料!外部資料_418</vt:lpstr>
      <vt:lpstr>EPS資料!外部資料_419</vt:lpstr>
      <vt:lpstr>EPS資料!外部資料_42</vt:lpstr>
      <vt:lpstr>EPS資料!外部資料_420</vt:lpstr>
      <vt:lpstr>EPS資料!外部資料_421</vt:lpstr>
      <vt:lpstr>EPS資料!外部資料_422</vt:lpstr>
      <vt:lpstr>EPS資料!外部資料_423</vt:lpstr>
      <vt:lpstr>EPS資料!外部資料_424</vt:lpstr>
      <vt:lpstr>EPS資料!外部資料_425</vt:lpstr>
      <vt:lpstr>EPS資料!外部資料_426</vt:lpstr>
      <vt:lpstr>EPS資料!外部資料_427</vt:lpstr>
      <vt:lpstr>EPS資料!外部資料_428</vt:lpstr>
      <vt:lpstr>EPS資料!外部資料_429</vt:lpstr>
      <vt:lpstr>EPS資料!外部資料_43</vt:lpstr>
      <vt:lpstr>EPS資料!外部資料_430</vt:lpstr>
      <vt:lpstr>EPS資料!外部資料_431</vt:lpstr>
      <vt:lpstr>EPS資料!外部資料_432</vt:lpstr>
      <vt:lpstr>EPS資料!外部資料_433</vt:lpstr>
      <vt:lpstr>EPS資料!外部資料_434</vt:lpstr>
      <vt:lpstr>EPS資料!外部資料_435</vt:lpstr>
      <vt:lpstr>EPS資料!外部資料_436</vt:lpstr>
      <vt:lpstr>EPS資料!外部資料_437</vt:lpstr>
      <vt:lpstr>EPS資料!外部資料_438</vt:lpstr>
      <vt:lpstr>EPS資料!外部資料_439</vt:lpstr>
      <vt:lpstr>EPS資料!外部資料_44</vt:lpstr>
      <vt:lpstr>EPS資料!外部資料_440</vt:lpstr>
      <vt:lpstr>EPS資料!外部資料_441</vt:lpstr>
      <vt:lpstr>EPS資料!外部資料_442</vt:lpstr>
      <vt:lpstr>EPS資料!外部資料_443</vt:lpstr>
      <vt:lpstr>EPS資料!外部資料_444</vt:lpstr>
      <vt:lpstr>EPS資料!外部資料_445</vt:lpstr>
      <vt:lpstr>EPS資料!外部資料_446</vt:lpstr>
      <vt:lpstr>EPS資料!外部資料_447</vt:lpstr>
      <vt:lpstr>EPS資料!外部資料_448</vt:lpstr>
      <vt:lpstr>EPS資料!外部資料_449</vt:lpstr>
      <vt:lpstr>EPS資料!外部資料_45</vt:lpstr>
      <vt:lpstr>EPS資料!外部資料_450</vt:lpstr>
      <vt:lpstr>EPS資料!外部資料_451</vt:lpstr>
      <vt:lpstr>EPS資料!外部資料_452</vt:lpstr>
      <vt:lpstr>EPS資料!外部資料_453</vt:lpstr>
      <vt:lpstr>EPS資料!外部資料_454</vt:lpstr>
      <vt:lpstr>EPS資料!外部資料_455</vt:lpstr>
      <vt:lpstr>EPS資料!外部資料_456</vt:lpstr>
      <vt:lpstr>EPS資料!外部資料_457</vt:lpstr>
      <vt:lpstr>EPS資料!外部資料_458</vt:lpstr>
      <vt:lpstr>EPS資料!外部資料_459</vt:lpstr>
      <vt:lpstr>EPS資料!外部資料_46</vt:lpstr>
      <vt:lpstr>EPS資料!外部資料_460</vt:lpstr>
      <vt:lpstr>EPS資料!外部資料_461</vt:lpstr>
      <vt:lpstr>EPS資料!外部資料_462</vt:lpstr>
      <vt:lpstr>EPS資料!外部資料_463</vt:lpstr>
      <vt:lpstr>EPS資料!外部資料_464</vt:lpstr>
      <vt:lpstr>EPS資料!外部資料_465</vt:lpstr>
      <vt:lpstr>EPS資料!外部資料_466</vt:lpstr>
      <vt:lpstr>EPS資料!外部資料_467</vt:lpstr>
      <vt:lpstr>EPS資料!外部資料_468</vt:lpstr>
      <vt:lpstr>EPS資料!外部資料_469</vt:lpstr>
      <vt:lpstr>EPS資料!外部資料_47</vt:lpstr>
      <vt:lpstr>EPS資料!外部資料_470</vt:lpstr>
      <vt:lpstr>EPS資料!外部資料_471</vt:lpstr>
      <vt:lpstr>EPS資料!外部資料_472</vt:lpstr>
      <vt:lpstr>EPS資料!外部資料_473</vt:lpstr>
      <vt:lpstr>EPS資料!外部資料_474</vt:lpstr>
      <vt:lpstr>EPS資料!外部資料_475</vt:lpstr>
      <vt:lpstr>EPS資料!外部資料_476</vt:lpstr>
      <vt:lpstr>EPS資料!外部資料_477</vt:lpstr>
      <vt:lpstr>EPS資料!外部資料_478</vt:lpstr>
      <vt:lpstr>EPS資料!外部資料_479</vt:lpstr>
      <vt:lpstr>EPS資料!外部資料_48</vt:lpstr>
      <vt:lpstr>EPS資料!外部資料_480</vt:lpstr>
      <vt:lpstr>EPS資料!外部資料_481</vt:lpstr>
      <vt:lpstr>EPS資料!外部資料_482</vt:lpstr>
      <vt:lpstr>EPS資料!外部資料_483</vt:lpstr>
      <vt:lpstr>EPS資料!外部資料_484</vt:lpstr>
      <vt:lpstr>EPS資料!外部資料_485</vt:lpstr>
      <vt:lpstr>EPS資料!外部資料_486</vt:lpstr>
      <vt:lpstr>EPS資料!外部資料_487</vt:lpstr>
      <vt:lpstr>EPS資料!外部資料_488</vt:lpstr>
      <vt:lpstr>EPS資料!外部資料_489</vt:lpstr>
      <vt:lpstr>EPS資料!外部資料_49</vt:lpstr>
      <vt:lpstr>EPS資料!外部資料_490</vt:lpstr>
      <vt:lpstr>EPS資料!外部資料_491</vt:lpstr>
      <vt:lpstr>EPS資料!外部資料_492</vt:lpstr>
      <vt:lpstr>EPS資料!外部資料_493</vt:lpstr>
      <vt:lpstr>EPS資料!外部資料_494</vt:lpstr>
      <vt:lpstr>EPS資料!外部資料_495</vt:lpstr>
      <vt:lpstr>EPS資料!外部資料_496</vt:lpstr>
      <vt:lpstr>EPS資料!外部資料_497</vt:lpstr>
      <vt:lpstr>EPS資料!外部資料_498</vt:lpstr>
      <vt:lpstr>EPS資料!外部資料_499</vt:lpstr>
      <vt:lpstr>EPS資料!外部資料_5</vt:lpstr>
      <vt:lpstr>EPS資料!外部資料_50</vt:lpstr>
      <vt:lpstr>EPS資料!外部資料_500</vt:lpstr>
      <vt:lpstr>EPS資料!外部資料_501</vt:lpstr>
      <vt:lpstr>EPS資料!外部資料_502</vt:lpstr>
      <vt:lpstr>EPS資料!外部資料_503</vt:lpstr>
      <vt:lpstr>EPS資料!外部資料_504</vt:lpstr>
      <vt:lpstr>EPS資料!外部資料_505</vt:lpstr>
      <vt:lpstr>EPS資料!外部資料_506</vt:lpstr>
      <vt:lpstr>EPS資料!外部資料_507</vt:lpstr>
      <vt:lpstr>EPS資料!外部資料_508</vt:lpstr>
      <vt:lpstr>EPS資料!外部資料_509</vt:lpstr>
      <vt:lpstr>EPS資料!外部資料_51</vt:lpstr>
      <vt:lpstr>EPS資料!外部資料_510</vt:lpstr>
      <vt:lpstr>EPS資料!外部資料_511</vt:lpstr>
      <vt:lpstr>EPS資料!外部資料_512</vt:lpstr>
      <vt:lpstr>EPS資料!外部資料_513</vt:lpstr>
      <vt:lpstr>EPS資料!外部資料_514</vt:lpstr>
      <vt:lpstr>EPS資料!外部資料_515</vt:lpstr>
      <vt:lpstr>EPS資料!外部資料_516</vt:lpstr>
      <vt:lpstr>EPS資料!外部資料_517</vt:lpstr>
      <vt:lpstr>EPS資料!外部資料_518</vt:lpstr>
      <vt:lpstr>EPS資料!外部資料_519</vt:lpstr>
      <vt:lpstr>EPS資料!外部資料_52</vt:lpstr>
      <vt:lpstr>EPS資料!外部資料_520</vt:lpstr>
      <vt:lpstr>EPS資料!外部資料_521</vt:lpstr>
      <vt:lpstr>EPS資料!外部資料_522</vt:lpstr>
      <vt:lpstr>EPS資料!外部資料_523</vt:lpstr>
      <vt:lpstr>EPS資料!外部資料_524</vt:lpstr>
      <vt:lpstr>EPS資料!外部資料_525</vt:lpstr>
      <vt:lpstr>EPS資料!外部資料_526</vt:lpstr>
      <vt:lpstr>EPS資料!外部資料_527</vt:lpstr>
      <vt:lpstr>EPS資料!外部資料_528</vt:lpstr>
      <vt:lpstr>EPS資料!外部資料_529</vt:lpstr>
      <vt:lpstr>EPS資料!外部資料_53</vt:lpstr>
      <vt:lpstr>EPS資料!外部資料_530</vt:lpstr>
      <vt:lpstr>EPS資料!外部資料_531</vt:lpstr>
      <vt:lpstr>EPS資料!外部資料_532</vt:lpstr>
      <vt:lpstr>EPS資料!外部資料_533</vt:lpstr>
      <vt:lpstr>EPS資料!外部資料_534</vt:lpstr>
      <vt:lpstr>EPS資料!外部資料_535</vt:lpstr>
      <vt:lpstr>EPS資料!外部資料_536</vt:lpstr>
      <vt:lpstr>EPS資料!外部資料_537</vt:lpstr>
      <vt:lpstr>EPS資料!外部資料_538</vt:lpstr>
      <vt:lpstr>EPS資料!外部資料_539</vt:lpstr>
      <vt:lpstr>EPS資料!外部資料_54</vt:lpstr>
      <vt:lpstr>EPS資料!外部資料_540</vt:lpstr>
      <vt:lpstr>EPS資料!外部資料_541</vt:lpstr>
      <vt:lpstr>EPS資料!外部資料_542</vt:lpstr>
      <vt:lpstr>EPS資料!外部資料_543</vt:lpstr>
      <vt:lpstr>EPS資料!外部資料_544</vt:lpstr>
      <vt:lpstr>EPS資料!外部資料_545</vt:lpstr>
      <vt:lpstr>EPS資料!外部資料_546</vt:lpstr>
      <vt:lpstr>EPS資料!外部資料_547</vt:lpstr>
      <vt:lpstr>EPS資料!外部資料_548</vt:lpstr>
      <vt:lpstr>EPS資料!外部資料_549</vt:lpstr>
      <vt:lpstr>EPS資料!外部資料_55</vt:lpstr>
      <vt:lpstr>EPS資料!外部資料_550</vt:lpstr>
      <vt:lpstr>EPS資料!外部資料_551</vt:lpstr>
      <vt:lpstr>EPS資料!外部資料_552</vt:lpstr>
      <vt:lpstr>EPS資料!外部資料_553</vt:lpstr>
      <vt:lpstr>EPS資料!外部資料_554</vt:lpstr>
      <vt:lpstr>EPS資料!外部資料_555</vt:lpstr>
      <vt:lpstr>EPS資料!外部資料_556</vt:lpstr>
      <vt:lpstr>EPS資料!外部資料_557</vt:lpstr>
      <vt:lpstr>EPS資料!外部資料_558</vt:lpstr>
      <vt:lpstr>EPS資料!外部資料_559</vt:lpstr>
      <vt:lpstr>EPS資料!外部資料_56</vt:lpstr>
      <vt:lpstr>EPS資料!外部資料_560</vt:lpstr>
      <vt:lpstr>EPS資料!外部資料_561</vt:lpstr>
      <vt:lpstr>EPS資料!外部資料_562</vt:lpstr>
      <vt:lpstr>EPS資料!外部資料_563</vt:lpstr>
      <vt:lpstr>EPS資料!外部資料_564</vt:lpstr>
      <vt:lpstr>EPS資料!外部資料_565</vt:lpstr>
      <vt:lpstr>EPS資料!外部資料_566</vt:lpstr>
      <vt:lpstr>EPS資料!外部資料_567</vt:lpstr>
      <vt:lpstr>EPS資料!外部資料_568</vt:lpstr>
      <vt:lpstr>EPS資料!外部資料_569</vt:lpstr>
      <vt:lpstr>EPS資料!外部資料_57</vt:lpstr>
      <vt:lpstr>EPS資料!外部資料_570</vt:lpstr>
      <vt:lpstr>EPS資料!外部資料_571</vt:lpstr>
      <vt:lpstr>EPS資料!外部資料_572</vt:lpstr>
      <vt:lpstr>EPS資料!外部資料_573</vt:lpstr>
      <vt:lpstr>EPS資料!外部資料_574</vt:lpstr>
      <vt:lpstr>EPS資料!外部資料_575</vt:lpstr>
      <vt:lpstr>EPS資料!外部資料_576</vt:lpstr>
      <vt:lpstr>EPS資料!外部資料_577</vt:lpstr>
      <vt:lpstr>EPS資料!外部資料_578</vt:lpstr>
      <vt:lpstr>EPS資料!外部資料_579</vt:lpstr>
      <vt:lpstr>EPS資料!外部資料_58</vt:lpstr>
      <vt:lpstr>EPS資料!外部資料_580</vt:lpstr>
      <vt:lpstr>EPS資料!外部資料_581</vt:lpstr>
      <vt:lpstr>EPS資料!外部資料_582</vt:lpstr>
      <vt:lpstr>EPS資料!外部資料_583</vt:lpstr>
      <vt:lpstr>EPS資料!外部資料_584</vt:lpstr>
      <vt:lpstr>EPS資料!外部資料_585</vt:lpstr>
      <vt:lpstr>EPS資料!外部資料_586</vt:lpstr>
      <vt:lpstr>EPS資料!外部資料_587</vt:lpstr>
      <vt:lpstr>EPS資料!外部資料_588</vt:lpstr>
      <vt:lpstr>EPS資料!外部資料_589</vt:lpstr>
      <vt:lpstr>EPS資料!外部資料_59</vt:lpstr>
      <vt:lpstr>EPS資料!外部資料_590</vt:lpstr>
      <vt:lpstr>EPS資料!外部資料_591</vt:lpstr>
      <vt:lpstr>EPS資料!外部資料_592</vt:lpstr>
      <vt:lpstr>EPS資料!外部資料_593</vt:lpstr>
      <vt:lpstr>EPS資料!外部資料_594</vt:lpstr>
      <vt:lpstr>EPS資料!外部資料_595</vt:lpstr>
      <vt:lpstr>EPS資料!外部資料_596</vt:lpstr>
      <vt:lpstr>EPS資料!外部資料_597</vt:lpstr>
      <vt:lpstr>EPS資料!外部資料_598</vt:lpstr>
      <vt:lpstr>EPS資料!外部資料_599</vt:lpstr>
      <vt:lpstr>EPS資料!外部資料_6</vt:lpstr>
      <vt:lpstr>EPS資料!外部資料_60</vt:lpstr>
      <vt:lpstr>EPS資料!外部資料_600</vt:lpstr>
      <vt:lpstr>EPS資料!外部資料_601</vt:lpstr>
      <vt:lpstr>EPS資料!外部資料_602</vt:lpstr>
      <vt:lpstr>EPS資料!外部資料_603</vt:lpstr>
      <vt:lpstr>EPS資料!外部資料_604</vt:lpstr>
      <vt:lpstr>EPS資料!外部資料_605</vt:lpstr>
      <vt:lpstr>EPS資料!外部資料_606</vt:lpstr>
      <vt:lpstr>EPS資料!外部資料_607</vt:lpstr>
      <vt:lpstr>EPS資料!外部資料_608</vt:lpstr>
      <vt:lpstr>EPS資料!外部資料_609</vt:lpstr>
      <vt:lpstr>EPS資料!外部資料_61</vt:lpstr>
      <vt:lpstr>EPS資料!外部資料_610</vt:lpstr>
      <vt:lpstr>EPS資料!外部資料_611</vt:lpstr>
      <vt:lpstr>EPS資料!外部資料_612</vt:lpstr>
      <vt:lpstr>EPS資料!外部資料_613</vt:lpstr>
      <vt:lpstr>EPS資料!外部資料_614</vt:lpstr>
      <vt:lpstr>EPS資料!外部資料_615</vt:lpstr>
      <vt:lpstr>EPS資料!外部資料_616</vt:lpstr>
      <vt:lpstr>EPS資料!外部資料_617</vt:lpstr>
      <vt:lpstr>EPS資料!外部資料_618</vt:lpstr>
      <vt:lpstr>EPS資料!外部資料_619</vt:lpstr>
      <vt:lpstr>EPS資料!外部資料_62</vt:lpstr>
      <vt:lpstr>EPS資料!外部資料_620</vt:lpstr>
      <vt:lpstr>EPS資料!外部資料_621</vt:lpstr>
      <vt:lpstr>EPS資料!外部資料_622</vt:lpstr>
      <vt:lpstr>EPS資料!外部資料_623</vt:lpstr>
      <vt:lpstr>EPS資料!外部資料_624</vt:lpstr>
      <vt:lpstr>EPS資料!外部資料_625</vt:lpstr>
      <vt:lpstr>EPS資料!外部資料_626</vt:lpstr>
      <vt:lpstr>EPS資料!外部資料_627</vt:lpstr>
      <vt:lpstr>EPS資料!外部資料_628</vt:lpstr>
      <vt:lpstr>EPS資料!外部資料_629</vt:lpstr>
      <vt:lpstr>EPS資料!外部資料_63</vt:lpstr>
      <vt:lpstr>EPS資料!外部資料_630</vt:lpstr>
      <vt:lpstr>EPS資料!外部資料_631</vt:lpstr>
      <vt:lpstr>EPS資料!外部資料_632</vt:lpstr>
      <vt:lpstr>EPS資料!外部資料_633</vt:lpstr>
      <vt:lpstr>EPS資料!外部資料_634</vt:lpstr>
      <vt:lpstr>EPS資料!外部資料_635</vt:lpstr>
      <vt:lpstr>EPS資料!外部資料_636</vt:lpstr>
      <vt:lpstr>EPS資料!外部資料_637</vt:lpstr>
      <vt:lpstr>EPS資料!外部資料_638</vt:lpstr>
      <vt:lpstr>EPS資料!外部資料_639</vt:lpstr>
      <vt:lpstr>EPS資料!外部資料_64</vt:lpstr>
      <vt:lpstr>EPS資料!外部資料_640</vt:lpstr>
      <vt:lpstr>EPS資料!外部資料_641</vt:lpstr>
      <vt:lpstr>EPS資料!外部資料_642</vt:lpstr>
      <vt:lpstr>EPS資料!外部資料_643</vt:lpstr>
      <vt:lpstr>EPS資料!外部資料_644</vt:lpstr>
      <vt:lpstr>EPS資料!外部資料_645</vt:lpstr>
      <vt:lpstr>EPS資料!外部資料_646</vt:lpstr>
      <vt:lpstr>EPS資料!外部資料_647</vt:lpstr>
      <vt:lpstr>EPS資料!外部資料_648</vt:lpstr>
      <vt:lpstr>EPS資料!外部資料_649</vt:lpstr>
      <vt:lpstr>EPS資料!外部資料_65</vt:lpstr>
      <vt:lpstr>EPS資料!外部資料_650</vt:lpstr>
      <vt:lpstr>EPS資料!外部資料_651</vt:lpstr>
      <vt:lpstr>EPS資料!外部資料_652</vt:lpstr>
      <vt:lpstr>EPS資料!外部資料_653</vt:lpstr>
      <vt:lpstr>EPS資料!外部資料_654</vt:lpstr>
      <vt:lpstr>EPS資料!外部資料_655</vt:lpstr>
      <vt:lpstr>EPS資料!外部資料_656</vt:lpstr>
      <vt:lpstr>EPS資料!外部資料_657</vt:lpstr>
      <vt:lpstr>EPS資料!外部資料_658</vt:lpstr>
      <vt:lpstr>EPS資料!外部資料_659</vt:lpstr>
      <vt:lpstr>EPS資料!外部資料_66</vt:lpstr>
      <vt:lpstr>EPS資料!外部資料_660</vt:lpstr>
      <vt:lpstr>EPS資料!外部資料_661</vt:lpstr>
      <vt:lpstr>EPS資料!外部資料_662</vt:lpstr>
      <vt:lpstr>EPS資料!外部資料_663</vt:lpstr>
      <vt:lpstr>EPS資料!外部資料_664</vt:lpstr>
      <vt:lpstr>EPS資料!外部資料_665</vt:lpstr>
      <vt:lpstr>EPS資料!外部資料_666</vt:lpstr>
      <vt:lpstr>EPS資料!外部資料_667</vt:lpstr>
      <vt:lpstr>EPS資料!外部資料_668</vt:lpstr>
      <vt:lpstr>EPS資料!外部資料_669</vt:lpstr>
      <vt:lpstr>EPS資料!外部資料_67</vt:lpstr>
      <vt:lpstr>EPS資料!外部資料_670</vt:lpstr>
      <vt:lpstr>EPS資料!外部資料_671</vt:lpstr>
      <vt:lpstr>EPS資料!外部資料_672</vt:lpstr>
      <vt:lpstr>EPS資料!外部資料_673</vt:lpstr>
      <vt:lpstr>EPS資料!外部資料_674</vt:lpstr>
      <vt:lpstr>EPS資料!外部資料_675</vt:lpstr>
      <vt:lpstr>EPS資料!外部資料_676</vt:lpstr>
      <vt:lpstr>EPS資料!外部資料_677</vt:lpstr>
      <vt:lpstr>EPS資料!外部資料_678</vt:lpstr>
      <vt:lpstr>EPS資料!外部資料_679</vt:lpstr>
      <vt:lpstr>EPS資料!外部資料_68</vt:lpstr>
      <vt:lpstr>EPS資料!外部資料_680</vt:lpstr>
      <vt:lpstr>EPS資料!外部資料_681</vt:lpstr>
      <vt:lpstr>EPS資料!外部資料_682</vt:lpstr>
      <vt:lpstr>EPS資料!外部資料_683</vt:lpstr>
      <vt:lpstr>EPS資料!外部資料_684</vt:lpstr>
      <vt:lpstr>EPS資料!外部資料_685</vt:lpstr>
      <vt:lpstr>EPS資料!外部資料_686</vt:lpstr>
      <vt:lpstr>EPS資料!外部資料_687</vt:lpstr>
      <vt:lpstr>EPS資料!外部資料_688</vt:lpstr>
      <vt:lpstr>EPS資料!外部資料_689</vt:lpstr>
      <vt:lpstr>EPS資料!外部資料_69</vt:lpstr>
      <vt:lpstr>EPS資料!外部資料_690</vt:lpstr>
      <vt:lpstr>EPS資料!外部資料_691</vt:lpstr>
      <vt:lpstr>EPS資料!外部資料_692</vt:lpstr>
      <vt:lpstr>EPS資料!外部資料_693</vt:lpstr>
      <vt:lpstr>EPS資料!外部資料_694</vt:lpstr>
      <vt:lpstr>EPS資料!外部資料_695</vt:lpstr>
      <vt:lpstr>EPS資料!外部資料_696</vt:lpstr>
      <vt:lpstr>EPS資料!外部資料_697</vt:lpstr>
      <vt:lpstr>EPS資料!外部資料_698</vt:lpstr>
      <vt:lpstr>EPS資料!外部資料_699</vt:lpstr>
      <vt:lpstr>EPS資料!外部資料_7</vt:lpstr>
      <vt:lpstr>EPS資料!外部資料_70</vt:lpstr>
      <vt:lpstr>EPS資料!外部資料_700</vt:lpstr>
      <vt:lpstr>EPS資料!外部資料_701</vt:lpstr>
      <vt:lpstr>EPS資料!外部資料_702</vt:lpstr>
      <vt:lpstr>EPS資料!外部資料_703</vt:lpstr>
      <vt:lpstr>EPS資料!外部資料_704</vt:lpstr>
      <vt:lpstr>EPS資料!外部資料_705</vt:lpstr>
      <vt:lpstr>EPS資料!外部資料_706</vt:lpstr>
      <vt:lpstr>EPS資料!外部資料_707</vt:lpstr>
      <vt:lpstr>EPS資料!外部資料_708</vt:lpstr>
      <vt:lpstr>EPS資料!外部資料_709</vt:lpstr>
      <vt:lpstr>EPS資料!外部資料_71</vt:lpstr>
      <vt:lpstr>EPS資料!外部資料_710</vt:lpstr>
      <vt:lpstr>EPS資料!外部資料_711</vt:lpstr>
      <vt:lpstr>EPS資料!外部資料_712</vt:lpstr>
      <vt:lpstr>EPS資料!外部資料_713</vt:lpstr>
      <vt:lpstr>EPS資料!外部資料_714</vt:lpstr>
      <vt:lpstr>EPS資料!外部資料_715</vt:lpstr>
      <vt:lpstr>EPS資料!外部資料_716</vt:lpstr>
      <vt:lpstr>EPS資料!外部資料_717</vt:lpstr>
      <vt:lpstr>EPS資料!外部資料_718</vt:lpstr>
      <vt:lpstr>EPS資料!外部資料_719</vt:lpstr>
      <vt:lpstr>EPS資料!外部資料_72</vt:lpstr>
      <vt:lpstr>EPS資料!外部資料_720</vt:lpstr>
      <vt:lpstr>EPS資料!外部資料_721</vt:lpstr>
      <vt:lpstr>EPS資料!外部資料_722</vt:lpstr>
      <vt:lpstr>EPS資料!外部資料_723</vt:lpstr>
      <vt:lpstr>EPS資料!外部資料_724</vt:lpstr>
      <vt:lpstr>EPS資料!外部資料_725</vt:lpstr>
      <vt:lpstr>EPS資料!外部資料_726</vt:lpstr>
      <vt:lpstr>EPS資料!外部資料_727</vt:lpstr>
      <vt:lpstr>EPS資料!外部資料_728</vt:lpstr>
      <vt:lpstr>EPS資料!外部資料_729</vt:lpstr>
      <vt:lpstr>EPS資料!外部資料_73</vt:lpstr>
      <vt:lpstr>EPS資料!外部資料_730</vt:lpstr>
      <vt:lpstr>EPS資料!外部資料_731</vt:lpstr>
      <vt:lpstr>EPS資料!外部資料_732</vt:lpstr>
      <vt:lpstr>EPS資料!外部資料_733</vt:lpstr>
      <vt:lpstr>EPS資料!外部資料_734</vt:lpstr>
      <vt:lpstr>EPS資料!外部資料_735</vt:lpstr>
      <vt:lpstr>EPS資料!外部資料_736</vt:lpstr>
      <vt:lpstr>EPS資料!外部資料_737</vt:lpstr>
      <vt:lpstr>EPS資料!外部資料_738</vt:lpstr>
      <vt:lpstr>EPS資料!外部資料_739</vt:lpstr>
      <vt:lpstr>EPS資料!外部資料_74</vt:lpstr>
      <vt:lpstr>EPS資料!外部資料_740</vt:lpstr>
      <vt:lpstr>EPS資料!外部資料_741</vt:lpstr>
      <vt:lpstr>EPS資料!外部資料_742</vt:lpstr>
      <vt:lpstr>EPS資料!外部資料_743</vt:lpstr>
      <vt:lpstr>EPS資料!外部資料_744</vt:lpstr>
      <vt:lpstr>EPS資料!外部資料_745</vt:lpstr>
      <vt:lpstr>EPS資料!外部資料_746</vt:lpstr>
      <vt:lpstr>EPS資料!外部資料_747</vt:lpstr>
      <vt:lpstr>EPS資料!外部資料_748</vt:lpstr>
      <vt:lpstr>EPS資料!外部資料_749</vt:lpstr>
      <vt:lpstr>EPS資料!外部資料_75</vt:lpstr>
      <vt:lpstr>EPS資料!外部資料_750</vt:lpstr>
      <vt:lpstr>EPS資料!外部資料_751</vt:lpstr>
      <vt:lpstr>EPS資料!外部資料_752</vt:lpstr>
      <vt:lpstr>EPS資料!外部資料_753</vt:lpstr>
      <vt:lpstr>EPS資料!外部資料_754</vt:lpstr>
      <vt:lpstr>EPS資料!外部資料_755</vt:lpstr>
      <vt:lpstr>EPS資料!外部資料_756</vt:lpstr>
      <vt:lpstr>EPS資料!外部資料_757</vt:lpstr>
      <vt:lpstr>EPS資料!外部資料_758</vt:lpstr>
      <vt:lpstr>EPS資料!外部資料_759</vt:lpstr>
      <vt:lpstr>EPS資料!外部資料_76</vt:lpstr>
      <vt:lpstr>EPS資料!外部資料_760</vt:lpstr>
      <vt:lpstr>EPS資料!外部資料_761</vt:lpstr>
      <vt:lpstr>EPS資料!外部資料_762</vt:lpstr>
      <vt:lpstr>EPS資料!外部資料_763</vt:lpstr>
      <vt:lpstr>EPS資料!外部資料_764</vt:lpstr>
      <vt:lpstr>EPS資料!外部資料_765</vt:lpstr>
      <vt:lpstr>EPS資料!外部資料_766</vt:lpstr>
      <vt:lpstr>EPS資料!外部資料_767</vt:lpstr>
      <vt:lpstr>EPS資料!外部資料_768</vt:lpstr>
      <vt:lpstr>EPS資料!外部資料_769</vt:lpstr>
      <vt:lpstr>EPS資料!外部資料_77</vt:lpstr>
      <vt:lpstr>EPS資料!外部資料_770</vt:lpstr>
      <vt:lpstr>EPS資料!外部資料_771</vt:lpstr>
      <vt:lpstr>EPS資料!外部資料_772</vt:lpstr>
      <vt:lpstr>EPS資料!外部資料_773</vt:lpstr>
      <vt:lpstr>EPS資料!外部資料_774</vt:lpstr>
      <vt:lpstr>EPS資料!外部資料_775</vt:lpstr>
      <vt:lpstr>EPS資料!外部資料_776</vt:lpstr>
      <vt:lpstr>EPS資料!外部資料_777</vt:lpstr>
      <vt:lpstr>EPS資料!外部資料_778</vt:lpstr>
      <vt:lpstr>EPS資料!外部資料_779</vt:lpstr>
      <vt:lpstr>EPS資料!外部資料_78</vt:lpstr>
      <vt:lpstr>EPS資料!外部資料_780</vt:lpstr>
      <vt:lpstr>EPS資料!外部資料_781</vt:lpstr>
      <vt:lpstr>EPS資料!外部資料_782</vt:lpstr>
      <vt:lpstr>EPS資料!外部資料_783</vt:lpstr>
      <vt:lpstr>EPS資料!外部資料_784</vt:lpstr>
      <vt:lpstr>EPS資料!外部資料_785</vt:lpstr>
      <vt:lpstr>EPS資料!外部資料_786</vt:lpstr>
      <vt:lpstr>EPS資料!外部資料_787</vt:lpstr>
      <vt:lpstr>EPS資料!外部資料_788</vt:lpstr>
      <vt:lpstr>EPS資料!外部資料_789</vt:lpstr>
      <vt:lpstr>EPS資料!外部資料_79</vt:lpstr>
      <vt:lpstr>EPS資料!外部資料_790</vt:lpstr>
      <vt:lpstr>EPS資料!外部資料_791</vt:lpstr>
      <vt:lpstr>EPS資料!外部資料_792</vt:lpstr>
      <vt:lpstr>EPS資料!外部資料_793</vt:lpstr>
      <vt:lpstr>EPS資料!外部資料_794</vt:lpstr>
      <vt:lpstr>EPS資料!外部資料_795</vt:lpstr>
      <vt:lpstr>EPS資料!外部資料_796</vt:lpstr>
      <vt:lpstr>EPS資料!外部資料_797</vt:lpstr>
      <vt:lpstr>EPS資料!外部資料_798</vt:lpstr>
      <vt:lpstr>EPS資料!外部資料_799</vt:lpstr>
      <vt:lpstr>EPS資料!外部資料_8</vt:lpstr>
      <vt:lpstr>EPS資料!外部資料_80</vt:lpstr>
      <vt:lpstr>EPS資料!外部資料_800</vt:lpstr>
      <vt:lpstr>EPS資料!外部資料_801</vt:lpstr>
      <vt:lpstr>EPS資料!外部資料_802</vt:lpstr>
      <vt:lpstr>EPS資料!外部資料_803</vt:lpstr>
      <vt:lpstr>EPS資料!外部資料_804</vt:lpstr>
      <vt:lpstr>EPS資料!外部資料_805</vt:lpstr>
      <vt:lpstr>EPS資料!外部資料_806</vt:lpstr>
      <vt:lpstr>EPS資料!外部資料_807</vt:lpstr>
      <vt:lpstr>EPS資料!外部資料_808</vt:lpstr>
      <vt:lpstr>EPS資料!外部資料_809</vt:lpstr>
      <vt:lpstr>EPS資料!外部資料_81</vt:lpstr>
      <vt:lpstr>EPS資料!外部資料_810</vt:lpstr>
      <vt:lpstr>EPS資料!外部資料_811</vt:lpstr>
      <vt:lpstr>EPS資料!外部資料_812</vt:lpstr>
      <vt:lpstr>EPS資料!外部資料_813</vt:lpstr>
      <vt:lpstr>EPS資料!外部資料_814</vt:lpstr>
      <vt:lpstr>EPS資料!外部資料_815</vt:lpstr>
      <vt:lpstr>EPS資料!外部資料_816</vt:lpstr>
      <vt:lpstr>EPS資料!外部資料_817</vt:lpstr>
      <vt:lpstr>EPS資料!外部資料_818</vt:lpstr>
      <vt:lpstr>EPS資料!外部資料_819</vt:lpstr>
      <vt:lpstr>EPS資料!外部資料_82</vt:lpstr>
      <vt:lpstr>EPS資料!外部資料_820</vt:lpstr>
      <vt:lpstr>EPS資料!外部資料_821</vt:lpstr>
      <vt:lpstr>EPS資料!外部資料_822</vt:lpstr>
      <vt:lpstr>EPS資料!外部資料_823</vt:lpstr>
      <vt:lpstr>EPS資料!外部資料_824</vt:lpstr>
      <vt:lpstr>EPS資料!外部資料_825</vt:lpstr>
      <vt:lpstr>EPS資料!外部資料_826</vt:lpstr>
      <vt:lpstr>EPS資料!外部資料_827</vt:lpstr>
      <vt:lpstr>EPS資料!外部資料_828</vt:lpstr>
      <vt:lpstr>EPS資料!外部資料_829</vt:lpstr>
      <vt:lpstr>EPS資料!外部資料_83</vt:lpstr>
      <vt:lpstr>EPS資料!外部資料_830</vt:lpstr>
      <vt:lpstr>EPS資料!外部資料_831</vt:lpstr>
      <vt:lpstr>EPS資料!外部資料_832</vt:lpstr>
      <vt:lpstr>EPS資料!外部資料_833</vt:lpstr>
      <vt:lpstr>EPS資料!外部資料_834</vt:lpstr>
      <vt:lpstr>EPS資料!外部資料_835</vt:lpstr>
      <vt:lpstr>EPS資料!外部資料_836</vt:lpstr>
      <vt:lpstr>EPS資料!外部資料_837</vt:lpstr>
      <vt:lpstr>EPS資料!外部資料_838</vt:lpstr>
      <vt:lpstr>EPS資料!外部資料_839</vt:lpstr>
      <vt:lpstr>EPS資料!外部資料_84</vt:lpstr>
      <vt:lpstr>EPS資料!外部資料_840</vt:lpstr>
      <vt:lpstr>EPS資料!外部資料_841</vt:lpstr>
      <vt:lpstr>EPS資料!外部資料_842</vt:lpstr>
      <vt:lpstr>EPS資料!外部資料_843</vt:lpstr>
      <vt:lpstr>EPS資料!外部資料_844</vt:lpstr>
      <vt:lpstr>EPS資料!外部資料_845</vt:lpstr>
      <vt:lpstr>EPS資料!外部資料_846</vt:lpstr>
      <vt:lpstr>EPS資料!外部資料_847</vt:lpstr>
      <vt:lpstr>EPS資料!外部資料_848</vt:lpstr>
      <vt:lpstr>EPS資料!外部資料_849</vt:lpstr>
      <vt:lpstr>EPS資料!外部資料_85</vt:lpstr>
      <vt:lpstr>EPS資料!外部資料_850</vt:lpstr>
      <vt:lpstr>EPS資料!外部資料_851</vt:lpstr>
      <vt:lpstr>EPS資料!外部資料_852</vt:lpstr>
      <vt:lpstr>EPS資料!外部資料_853</vt:lpstr>
      <vt:lpstr>EPS資料!外部資料_854</vt:lpstr>
      <vt:lpstr>EPS資料!外部資料_855</vt:lpstr>
      <vt:lpstr>EPS資料!外部資料_856</vt:lpstr>
      <vt:lpstr>EPS資料!外部資料_857</vt:lpstr>
      <vt:lpstr>EPS資料!外部資料_858</vt:lpstr>
      <vt:lpstr>EPS資料!外部資料_859</vt:lpstr>
      <vt:lpstr>EPS資料!外部資料_86</vt:lpstr>
      <vt:lpstr>EPS資料!外部資料_860</vt:lpstr>
      <vt:lpstr>EPS資料!外部資料_861</vt:lpstr>
      <vt:lpstr>EPS資料!外部資料_862</vt:lpstr>
      <vt:lpstr>EPS資料!外部資料_863</vt:lpstr>
      <vt:lpstr>EPS資料!外部資料_864</vt:lpstr>
      <vt:lpstr>EPS資料!外部資料_865</vt:lpstr>
      <vt:lpstr>EPS資料!外部資料_866</vt:lpstr>
      <vt:lpstr>EPS資料!外部資料_867</vt:lpstr>
      <vt:lpstr>EPS資料!外部資料_868</vt:lpstr>
      <vt:lpstr>EPS資料!外部資料_869</vt:lpstr>
      <vt:lpstr>EPS資料!外部資料_87</vt:lpstr>
      <vt:lpstr>EPS資料!外部資料_870</vt:lpstr>
      <vt:lpstr>EPS資料!外部資料_871</vt:lpstr>
      <vt:lpstr>EPS資料!外部資料_872</vt:lpstr>
      <vt:lpstr>EPS資料!外部資料_873</vt:lpstr>
      <vt:lpstr>EPS資料!外部資料_874</vt:lpstr>
      <vt:lpstr>EPS資料!外部資料_875</vt:lpstr>
      <vt:lpstr>EPS資料!外部資料_876</vt:lpstr>
      <vt:lpstr>EPS資料!外部資料_877</vt:lpstr>
      <vt:lpstr>EPS資料!外部資料_878</vt:lpstr>
      <vt:lpstr>EPS資料!外部資料_879</vt:lpstr>
      <vt:lpstr>EPS資料!外部資料_88</vt:lpstr>
      <vt:lpstr>EPS資料!外部資料_880</vt:lpstr>
      <vt:lpstr>EPS資料!外部資料_881</vt:lpstr>
      <vt:lpstr>EPS資料!外部資料_882</vt:lpstr>
      <vt:lpstr>EPS資料!外部資料_883</vt:lpstr>
      <vt:lpstr>EPS資料!外部資料_884</vt:lpstr>
      <vt:lpstr>EPS資料!外部資料_885</vt:lpstr>
      <vt:lpstr>EPS資料!外部資料_886</vt:lpstr>
      <vt:lpstr>EPS資料!外部資料_887</vt:lpstr>
      <vt:lpstr>EPS資料!外部資料_888</vt:lpstr>
      <vt:lpstr>EPS資料!外部資料_889</vt:lpstr>
      <vt:lpstr>EPS資料!外部資料_89</vt:lpstr>
      <vt:lpstr>EPS資料!外部資料_890</vt:lpstr>
      <vt:lpstr>EPS資料!外部資料_891</vt:lpstr>
      <vt:lpstr>EPS資料!外部資料_892</vt:lpstr>
      <vt:lpstr>EPS資料!外部資料_893</vt:lpstr>
      <vt:lpstr>EPS資料!外部資料_894</vt:lpstr>
      <vt:lpstr>EPS資料!外部資料_895</vt:lpstr>
      <vt:lpstr>EPS資料!外部資料_896</vt:lpstr>
      <vt:lpstr>EPS資料!外部資料_897</vt:lpstr>
      <vt:lpstr>EPS資料!外部資料_898</vt:lpstr>
      <vt:lpstr>EPS資料!外部資料_899</vt:lpstr>
      <vt:lpstr>EPS資料!外部資料_9</vt:lpstr>
      <vt:lpstr>EPS資料!外部資料_90</vt:lpstr>
      <vt:lpstr>EPS資料!外部資料_900</vt:lpstr>
      <vt:lpstr>EPS資料!外部資料_901</vt:lpstr>
      <vt:lpstr>EPS資料!外部資料_902</vt:lpstr>
      <vt:lpstr>EPS資料!外部資料_903</vt:lpstr>
      <vt:lpstr>EPS資料!外部資料_904</vt:lpstr>
      <vt:lpstr>EPS資料!外部資料_905</vt:lpstr>
      <vt:lpstr>EPS資料!外部資料_906</vt:lpstr>
      <vt:lpstr>EPS資料!外部資料_907</vt:lpstr>
      <vt:lpstr>EPS資料!外部資料_908</vt:lpstr>
      <vt:lpstr>EPS資料!外部資料_909</vt:lpstr>
      <vt:lpstr>EPS資料!外部資料_91</vt:lpstr>
      <vt:lpstr>EPS資料!外部資料_910</vt:lpstr>
      <vt:lpstr>EPS資料!外部資料_911</vt:lpstr>
      <vt:lpstr>EPS資料!外部資料_912</vt:lpstr>
      <vt:lpstr>EPS資料!外部資料_913</vt:lpstr>
      <vt:lpstr>EPS資料!外部資料_914</vt:lpstr>
      <vt:lpstr>EPS資料!外部資料_915</vt:lpstr>
      <vt:lpstr>EPS資料!外部資料_916</vt:lpstr>
      <vt:lpstr>EPS資料!外部資料_917</vt:lpstr>
      <vt:lpstr>EPS資料!外部資料_918</vt:lpstr>
      <vt:lpstr>EPS資料!外部資料_919</vt:lpstr>
      <vt:lpstr>EPS資料!外部資料_92</vt:lpstr>
      <vt:lpstr>EPS資料!外部資料_920</vt:lpstr>
      <vt:lpstr>EPS資料!外部資料_921</vt:lpstr>
      <vt:lpstr>EPS資料!外部資料_922</vt:lpstr>
      <vt:lpstr>EPS資料!外部資料_923</vt:lpstr>
      <vt:lpstr>EPS資料!外部資料_924</vt:lpstr>
      <vt:lpstr>EPS資料!外部資料_925</vt:lpstr>
      <vt:lpstr>EPS資料!外部資料_926</vt:lpstr>
      <vt:lpstr>EPS資料!外部資料_927</vt:lpstr>
      <vt:lpstr>EPS資料!外部資料_928</vt:lpstr>
      <vt:lpstr>EPS資料!外部資料_929</vt:lpstr>
      <vt:lpstr>EPS資料!外部資料_93</vt:lpstr>
      <vt:lpstr>EPS資料!外部資料_930</vt:lpstr>
      <vt:lpstr>EPS資料!外部資料_931</vt:lpstr>
      <vt:lpstr>EPS資料!外部資料_932</vt:lpstr>
      <vt:lpstr>EPS資料!外部資料_933</vt:lpstr>
      <vt:lpstr>EPS資料!外部資料_934</vt:lpstr>
      <vt:lpstr>EPS資料!外部資料_935</vt:lpstr>
      <vt:lpstr>EPS資料!外部資料_936</vt:lpstr>
      <vt:lpstr>EPS資料!外部資料_937</vt:lpstr>
      <vt:lpstr>EPS資料!外部資料_938</vt:lpstr>
      <vt:lpstr>EPS資料!外部資料_939</vt:lpstr>
      <vt:lpstr>EPS資料!外部資料_94</vt:lpstr>
      <vt:lpstr>EPS資料!外部資料_940</vt:lpstr>
      <vt:lpstr>EPS資料!外部資料_941</vt:lpstr>
      <vt:lpstr>EPS資料!外部資料_942</vt:lpstr>
      <vt:lpstr>EPS資料!外部資料_943</vt:lpstr>
      <vt:lpstr>EPS資料!外部資料_944</vt:lpstr>
      <vt:lpstr>EPS資料!外部資料_945</vt:lpstr>
      <vt:lpstr>EPS資料!外部資料_946</vt:lpstr>
      <vt:lpstr>EPS資料!外部資料_947</vt:lpstr>
      <vt:lpstr>EPS資料!外部資料_948</vt:lpstr>
      <vt:lpstr>EPS資料!外部資料_949</vt:lpstr>
      <vt:lpstr>EPS資料!外部資料_95</vt:lpstr>
      <vt:lpstr>EPS資料!外部資料_950</vt:lpstr>
      <vt:lpstr>EPS資料!外部資料_951</vt:lpstr>
      <vt:lpstr>EPS資料!外部資料_952</vt:lpstr>
      <vt:lpstr>EPS資料!外部資料_953</vt:lpstr>
      <vt:lpstr>EPS資料!外部資料_954</vt:lpstr>
      <vt:lpstr>EPS資料!外部資料_955</vt:lpstr>
      <vt:lpstr>EPS資料!外部資料_956</vt:lpstr>
      <vt:lpstr>EPS資料!外部資料_957</vt:lpstr>
      <vt:lpstr>EPS資料!外部資料_958</vt:lpstr>
      <vt:lpstr>EPS資料!外部資料_959</vt:lpstr>
      <vt:lpstr>EPS資料!外部資料_96</vt:lpstr>
      <vt:lpstr>EPS資料!外部資料_960</vt:lpstr>
      <vt:lpstr>EPS資料!外部資料_961</vt:lpstr>
      <vt:lpstr>EPS資料!外部資料_962</vt:lpstr>
      <vt:lpstr>EPS資料!外部資料_963</vt:lpstr>
      <vt:lpstr>EPS資料!外部資料_964</vt:lpstr>
      <vt:lpstr>EPS資料!外部資料_965</vt:lpstr>
      <vt:lpstr>EPS資料!外部資料_966</vt:lpstr>
      <vt:lpstr>EPS資料!外部資料_967</vt:lpstr>
      <vt:lpstr>EPS資料!外部資料_968</vt:lpstr>
      <vt:lpstr>EPS資料!外部資料_969</vt:lpstr>
      <vt:lpstr>EPS資料!外部資料_97</vt:lpstr>
      <vt:lpstr>EPS資料!外部資料_970</vt:lpstr>
      <vt:lpstr>EPS資料!外部資料_971</vt:lpstr>
      <vt:lpstr>EPS資料!外部資料_972</vt:lpstr>
      <vt:lpstr>EPS資料!外部資料_973</vt:lpstr>
      <vt:lpstr>EPS資料!外部資料_974</vt:lpstr>
      <vt:lpstr>EPS資料!外部資料_975</vt:lpstr>
      <vt:lpstr>EPS資料!外部資料_976</vt:lpstr>
      <vt:lpstr>EPS資料!外部資料_977</vt:lpstr>
      <vt:lpstr>EPS資料!外部資料_978</vt:lpstr>
      <vt:lpstr>EPS資料!外部資料_979</vt:lpstr>
      <vt:lpstr>EPS資料!外部資料_98</vt:lpstr>
      <vt:lpstr>EPS資料!外部資料_980</vt:lpstr>
      <vt:lpstr>EPS資料!外部資料_981</vt:lpstr>
      <vt:lpstr>EPS資料!外部資料_982</vt:lpstr>
      <vt:lpstr>EPS資料!外部資料_983</vt:lpstr>
      <vt:lpstr>EPS資料!外部資料_984</vt:lpstr>
      <vt:lpstr>EPS資料!外部資料_985</vt:lpstr>
      <vt:lpstr>EPS資料!外部資料_986</vt:lpstr>
      <vt:lpstr>EPS資料!外部資料_987</vt:lpstr>
      <vt:lpstr>EPS資料!外部資料_988</vt:lpstr>
      <vt:lpstr>EPS資料!外部資料_989</vt:lpstr>
      <vt:lpstr>EPS資料!外部資料_99</vt:lpstr>
      <vt:lpstr>EPS資料!外部資料_990</vt:lpstr>
      <vt:lpstr>EPS資料!外部資料_991</vt:lpstr>
      <vt:lpstr>EPS資料!外部資料_992</vt:lpstr>
      <vt:lpstr>EPS資料!外部資料_993</vt:lpstr>
      <vt:lpstr>EPS資料!外部資料_994</vt:lpstr>
      <vt:lpstr>EPS資料!外部資料_995</vt:lpstr>
      <vt:lpstr>EPS資料!外部資料_996</vt:lpstr>
      <vt:lpstr>EPS資料!外部資料_997</vt:lpstr>
      <vt:lpstr>EPS資料!外部資料_998</vt:lpstr>
      <vt:lpstr>EPS資料!外部資料_999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eason1031</dc:creator>
  <cp:lastModifiedBy>藍少妘</cp:lastModifiedBy>
  <dcterms:created xsi:type="dcterms:W3CDTF">2024-05-13T15:23:41Z</dcterms:created>
  <dcterms:modified xsi:type="dcterms:W3CDTF">2024-06-02T16:35:02Z</dcterms:modified>
</cp:coreProperties>
</file>